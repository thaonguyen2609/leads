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1" activeTab="8" autoFilterDateGrouping="1"/>
  </bookViews>
  <sheets>
    <sheet name="THỰC ĐƠN VINALPHA" sheetId="1" state="visible" r:id="rId1"/>
    <sheet name="THỰC ĐƠN SGC" sheetId="2" state="visible" r:id="rId2"/>
    <sheet name="Thứ 2" sheetId="3" state="visible" r:id="rId3"/>
    <sheet name="Thứ 3" sheetId="4" state="visible" r:id="rId4"/>
    <sheet name="Thứ 4" sheetId="5" state="visible" r:id="rId5"/>
    <sheet name="Thứ 5" sheetId="6" state="visible" r:id="rId6"/>
    <sheet name="Thứ 6" sheetId="7" state="visible" r:id="rId7"/>
    <sheet name="Thứ 7" sheetId="8" state="visible" r:id="rId8"/>
    <sheet name="Chủ nhật" sheetId="9" state="visible" r:id="rId9"/>
    <sheet name="Báo giá" sheetId="10" state="visible" r:id="rId10"/>
    <sheet name="ORDER" sheetId="11" state="visible" r:id="rId11"/>
  </sheets>
  <externalReferences>
    <externalReference r:id="rId12"/>
    <externalReference r:id="rId13"/>
    <externalReference r:id="rId14"/>
  </externalReferences>
  <definedNames>
    <definedName name="_xlnm.Print_Area" localSheetId="2">'Thứ 2'!$A$2:$J$65</definedName>
    <definedName name="_xlnm.Print_Area" localSheetId="3">'Thứ 3'!$A$1:$G$61</definedName>
    <definedName name="_xlnm.Print_Area" localSheetId="4">'Thứ 4'!$A$1:$G$66</definedName>
    <definedName name="_xlnm.Print_Area" localSheetId="5">'Thứ 5'!$A$1:$G$64</definedName>
    <definedName name="_xlnm.Print_Area" localSheetId="6">'Thứ 6'!$A$1:$J$58</definedName>
    <definedName name="_xlnm.Print_Area" localSheetId="7">'Thứ 7'!$A$1:$H$60</definedName>
    <definedName name="_xlnm.Print_Area" localSheetId="8">'Chủ nhật'!$A$1:$J$53</definedName>
    <definedName name="_xlnm._FilterDatabase" localSheetId="9" hidden="1">'Báo giá'!$A$4:$M$2857</definedName>
    <definedName name="_xlnm._FilterDatabase" localSheetId="10" hidden="1">'ORDER'!$A$4:$S$37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(* #,##0_);_(* \(#,##0\);_(* &quot;-&quot;??_);_(@_)"/>
    <numFmt numFmtId="165" formatCode="_(* #,##0.0_);_(* \(#,##0.0\);_(* &quot;-&quot;??_);_(@_)"/>
    <numFmt numFmtId="166" formatCode="0.0%"/>
    <numFmt numFmtId="167" formatCode="###,###,###,###.00;\-###,###,###,###.00;;@"/>
    <numFmt numFmtId="168" formatCode="m/d/yyyy;@"/>
    <numFmt numFmtId="169" formatCode="_-* #,##0.0_-;\-* #,##0.0_-;_-* &quot;-&quot;?_-;_-@_-"/>
  </numFmts>
  <fonts count="5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11"/>
    </font>
    <font>
      <name val="Times New Roman"/>
      <family val="1"/>
      <b val="1"/>
      <color theme="1"/>
      <sz val="14"/>
    </font>
    <font>
      <name val="Times New Roman"/>
      <family val="1"/>
      <color theme="1"/>
      <sz val="14"/>
    </font>
    <font>
      <name val="Times New Roman"/>
      <charset val="163"/>
      <family val="1"/>
      <color theme="1"/>
      <sz val="14"/>
    </font>
    <font>
      <name val="Verdana"/>
      <family val="2"/>
      <sz val="8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6"/>
      <scheme val="minor"/>
    </font>
    <font>
      <name val="Calibri"/>
      <family val="2"/>
      <color theme="1"/>
      <sz val="18"/>
      <scheme val="minor"/>
    </font>
    <font>
      <name val="Calibri"/>
      <family val="2"/>
      <sz val="8"/>
      <scheme val="minor"/>
    </font>
    <font>
      <name val="Times New Roman"/>
      <family val="1"/>
      <color rgb="FFFF0000"/>
      <sz val="14"/>
    </font>
    <font>
      <name val="Times New Roman"/>
      <family val="1"/>
      <b val="1"/>
      <color rgb="FFFF0000"/>
      <sz val="14"/>
    </font>
    <font>
      <name val="Times New Roman"/>
      <family val="1"/>
      <color theme="1"/>
      <sz val="11"/>
    </font>
    <font>
      <name val="Times New Roman"/>
      <family val="1"/>
      <color theme="1"/>
      <sz val="9"/>
    </font>
    <font>
      <name val="Times New Roman"/>
      <family val="1"/>
      <sz val="11"/>
    </font>
    <font>
      <name val="Arial"/>
      <family val="2"/>
      <b val="1"/>
      <sz val="12"/>
    </font>
    <font>
      <name val="Calibri"/>
      <family val="2"/>
      <color theme="1"/>
      <sz val="12"/>
      <scheme val="minor"/>
    </font>
    <font>
      <name val="Verdana"/>
      <family val="2"/>
      <b val="1"/>
      <sz val="12"/>
    </font>
    <font>
      <name val="Verdana"/>
      <family val="2"/>
      <sz val="12"/>
    </font>
    <font>
      <name val="Segoe UI"/>
      <family val="2"/>
      <color rgb="FF081B3A"/>
      <sz val="12"/>
    </font>
    <font>
      <name val="Times New Roman"/>
      <family val="1"/>
      <color rgb="FFFF0000"/>
      <sz val="11"/>
    </font>
    <font>
      <name val="Verdana"/>
      <family val="2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color theme="1"/>
      <sz val="16"/>
    </font>
    <font>
      <name val="Times New Roman"/>
      <family val="1"/>
      <b val="1"/>
      <color theme="1"/>
      <sz val="20"/>
    </font>
    <font>
      <name val="Times New Roman"/>
      <family val="1"/>
      <b val="1"/>
      <sz val="20"/>
    </font>
    <font>
      <name val="Times New Roman"/>
      <family val="1"/>
      <b val="1"/>
      <color theme="1"/>
      <sz val="36"/>
    </font>
    <font>
      <name val="Times New Roman"/>
      <family val="1"/>
      <b val="1"/>
      <color rgb="FFFF0000"/>
      <sz val="16"/>
    </font>
    <font>
      <name val="Times New Roman"/>
      <family val="1"/>
      <sz val="16"/>
    </font>
    <font>
      <name val="Calibri"/>
      <family val="2"/>
      <sz val="12"/>
      <scheme val="minor"/>
    </font>
    <font>
      <name val="Times New Roman"/>
      <family val="1"/>
      <sz val="14"/>
    </font>
    <font>
      <name val="Verdana"/>
      <family val="2"/>
      <color rgb="FFFF0000"/>
      <sz val="12"/>
    </font>
    <font>
      <name val="Calibri"/>
      <family val="2"/>
      <color rgb="FFFF0000"/>
      <sz val="12"/>
      <scheme val="minor"/>
    </font>
    <font>
      <name val="Times New Roman"/>
      <family val="1"/>
      <b val="1"/>
      <sz val="14"/>
    </font>
    <font>
      <name val="Verdana"/>
      <family val="2"/>
      <sz val="14"/>
    </font>
    <font>
      <name val="Times New Roman"/>
      <family val="1"/>
      <b val="1"/>
      <sz val="16"/>
    </font>
    <font>
      <name val="Calibri"/>
      <family val="2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18"/>
    </font>
    <font>
      <name val="Times New Roman"/>
      <family val="1"/>
      <sz val="18"/>
    </font>
    <font>
      <name val="Times New Roman"/>
      <family val="1"/>
      <color theme="1"/>
      <sz val="20"/>
    </font>
    <font>
      <name val="Times New Roman"/>
      <charset val="163"/>
      <family val="1"/>
      <sz val="16"/>
    </font>
    <font>
      <name val="Times New Roman"/>
      <charset val="163"/>
      <family val="1"/>
      <color theme="1"/>
      <sz val="16"/>
    </font>
    <font>
      <name val="Times New Roman"/>
      <family val="1"/>
      <b val="1"/>
      <color rgb="FFFF0000"/>
      <sz val="18"/>
    </font>
    <font>
      <name val="Times New Roman"/>
      <family val="1"/>
      <b val="1"/>
      <color rgb="FF00B0F0"/>
      <sz val="18"/>
    </font>
    <font>
      <name val="Times New Roman"/>
      <charset val="163"/>
      <family val="1"/>
      <b val="1"/>
      <color rgb="FFFF0000"/>
      <sz val="18"/>
    </font>
    <font>
      <name val="Times New Roman"/>
      <charset val="163"/>
      <family val="1"/>
      <b val="1"/>
      <color theme="1"/>
      <sz val="18"/>
    </font>
    <font>
      <name val="Times New Roman"/>
      <charset val="163"/>
      <family val="1"/>
      <b val="1"/>
      <color rgb="FF00B0F0"/>
      <sz val="18"/>
    </font>
    <font>
      <name val="Times New Roman"/>
      <charset val="163"/>
      <family val="1"/>
      <b val="1"/>
      <sz val="18"/>
    </font>
    <font>
      <name val="Times New Roman"/>
      <family val="1"/>
      <color theme="1"/>
      <sz val="13"/>
    </font>
  </fonts>
  <fills count="1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00B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43" fontId="1" fillId="0" borderId="0"/>
    <xf numFmtId="9" fontId="1" fillId="0" borderId="0"/>
    <xf numFmtId="0" fontId="3" fillId="0" borderId="0"/>
    <xf numFmtId="43" fontId="1" fillId="0" borderId="0"/>
    <xf numFmtId="0" fontId="2" fillId="0" borderId="0"/>
    <xf numFmtId="0" fontId="7" fillId="0" borderId="0" applyAlignment="1">
      <alignment vertical="top"/>
    </xf>
  </cellStyleXfs>
  <cellXfs count="394">
    <xf numFmtId="0" fontId="0" fillId="0" borderId="0" pivotButton="0" quotePrefix="0" xfId="0"/>
    <xf numFmtId="0" fontId="5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49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5">
      <alignment horizontal="center" vertical="center"/>
    </xf>
    <xf numFmtId="164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5">
      <alignment vertical="center" wrapText="1"/>
    </xf>
    <xf numFmtId="0" fontId="5" fillId="0" borderId="7" applyAlignment="1" pivotButton="0" quotePrefix="0" xfId="0">
      <alignment vertical="center"/>
    </xf>
    <xf numFmtId="49" fontId="6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164" fontId="4" fillId="3" borderId="1" applyAlignment="1" pivotButton="0" quotePrefix="0" xfId="5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43" fontId="5" fillId="0" borderId="0" applyAlignment="1" pivotButton="0" quotePrefix="0" xfId="0">
      <alignment vertical="center"/>
    </xf>
    <xf numFmtId="43" fontId="4" fillId="0" borderId="0" applyAlignment="1" pivotButton="0" quotePrefix="0" xfId="0">
      <alignment horizontal="center" vertical="center" wrapText="1"/>
    </xf>
    <xf numFmtId="164" fontId="4" fillId="0" borderId="0" applyAlignment="1" pivotButton="0" quotePrefix="0" xfId="0">
      <alignment vertical="center"/>
    </xf>
    <xf numFmtId="164" fontId="4" fillId="0" borderId="1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0" borderId="7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164" fontId="4" fillId="0" borderId="1" applyAlignment="1" pivotButton="0" quotePrefix="0" xfId="5">
      <alignment horizontal="center" vertical="center"/>
    </xf>
    <xf numFmtId="10" fontId="4" fillId="0" borderId="1" applyAlignment="1" pivotButton="0" quotePrefix="0" xfId="6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10" fontId="4" fillId="0" borderId="2" applyAlignment="1" pivotButton="0" quotePrefix="0" xfId="6">
      <alignment horizontal="center" vertical="center"/>
    </xf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0" fillId="0" borderId="1" pivotButton="0" quotePrefix="0" xfId="0"/>
    <xf numFmtId="0" fontId="10" fillId="0" borderId="0" pivotButton="0" quotePrefix="0" xfId="0"/>
    <xf numFmtId="0" fontId="11" fillId="0" borderId="1" pivotButton="0" quotePrefix="0" xfId="0"/>
    <xf numFmtId="0" fontId="8" fillId="0" borderId="5" pivotButton="0" quotePrefix="0" xfId="0"/>
    <xf numFmtId="0" fontId="4" fillId="2" borderId="1" applyAlignment="1" pivotButton="0" quotePrefix="0" xfId="0">
      <alignment vertical="center" wrapText="1"/>
    </xf>
    <xf numFmtId="0" fontId="4" fillId="0" borderId="3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3" borderId="6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left" vertical="top" wrapText="1"/>
    </xf>
    <xf numFmtId="166" fontId="5" fillId="4" borderId="0" applyAlignment="1" pivotButton="0" quotePrefix="0" xfId="6">
      <alignment vertical="center"/>
    </xf>
    <xf numFmtId="0" fontId="13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0" fontId="4" fillId="5" borderId="2" applyAlignment="1" pivotButton="0" quotePrefix="0" xfId="0">
      <alignment vertical="center"/>
    </xf>
    <xf numFmtId="0" fontId="4" fillId="0" borderId="4" applyAlignment="1" pivotButton="0" quotePrefix="0" xfId="0">
      <alignment vertical="center" wrapText="1"/>
    </xf>
    <xf numFmtId="0" fontId="4" fillId="0" borderId="5" applyAlignment="1" pivotButton="0" quotePrefix="0" xfId="0">
      <alignment vertical="center" wrapText="1"/>
    </xf>
    <xf numFmtId="0" fontId="4" fillId="0" borderId="6" applyAlignment="1" pivotButton="0" quotePrefix="0" xfId="0">
      <alignment vertical="center" wrapText="1"/>
    </xf>
    <xf numFmtId="0" fontId="10" fillId="4" borderId="1" pivotButton="0" quotePrefix="0" xfId="0"/>
    <xf numFmtId="0" fontId="0" fillId="0" borderId="1" pivotButton="0" quotePrefix="0" xfId="0"/>
    <xf numFmtId="0" fontId="8" fillId="0" borderId="1" pivotButton="0" quotePrefix="0" xfId="0"/>
    <xf numFmtId="164" fontId="5" fillId="2" borderId="0" applyAlignment="1" pivotButton="0" quotePrefix="0" xfId="5">
      <alignment horizontal="center" vertical="center"/>
    </xf>
    <xf numFmtId="10" fontId="14" fillId="4" borderId="1" applyAlignment="1" pivotButton="0" quotePrefix="0" xfId="6">
      <alignment horizontal="center" vertical="center"/>
    </xf>
    <xf numFmtId="0" fontId="15" fillId="0" borderId="0" applyAlignment="1" pivotButton="0" quotePrefix="0" xfId="0">
      <alignment horizontal="center" vertical="center" wrapText="1"/>
    </xf>
    <xf numFmtId="0" fontId="15" fillId="0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left" vertical="top"/>
    </xf>
    <xf numFmtId="0" fontId="19" fillId="0" borderId="0" applyAlignment="1" pivotButton="0" quotePrefix="0" xfId="0">
      <alignment vertical="top"/>
    </xf>
    <xf numFmtId="0" fontId="20" fillId="0" borderId="0" applyAlignment="1" pivotButton="0" quotePrefix="0" xfId="0">
      <alignment vertical="top" wrapText="1"/>
    </xf>
    <xf numFmtId="0" fontId="20" fillId="0" borderId="0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center" vertical="center" wrapText="1"/>
    </xf>
    <xf numFmtId="49" fontId="19" fillId="0" borderId="0" applyAlignment="1" pivotButton="0" quotePrefix="0" xfId="0">
      <alignment horizontal="left" vertical="center" wrapText="1"/>
    </xf>
    <xf numFmtId="167" fontId="19" fillId="0" borderId="0" applyAlignment="1" pivotButton="0" quotePrefix="0" xfId="0">
      <alignment horizontal="center" vertical="center"/>
    </xf>
    <xf numFmtId="168" fontId="19" fillId="0" borderId="0" applyAlignment="1" pivotButton="0" quotePrefix="0" xfId="0">
      <alignment horizontal="center" vertical="top"/>
    </xf>
    <xf numFmtId="49" fontId="19" fillId="0" borderId="0" applyAlignment="1" pivotButton="0" quotePrefix="0" xfId="0">
      <alignment horizontal="left" vertical="top" wrapText="1"/>
    </xf>
    <xf numFmtId="164" fontId="19" fillId="0" borderId="0" applyAlignment="1" pivotButton="0" quotePrefix="0" xfId="5">
      <alignment vertical="top"/>
    </xf>
    <xf numFmtId="167" fontId="19" fillId="0" borderId="0" applyAlignment="1" pivotButton="0" quotePrefix="0" xfId="0">
      <alignment vertical="top"/>
    </xf>
    <xf numFmtId="0" fontId="22" fillId="0" borderId="0" pivotButton="0" quotePrefix="0" xfId="0"/>
    <xf numFmtId="0" fontId="21" fillId="0" borderId="1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49" fontId="24" fillId="0" borderId="1" applyAlignment="1" pivotButton="0" quotePrefix="0" xfId="0">
      <alignment horizontal="left" vertical="top" wrapText="1"/>
    </xf>
    <xf numFmtId="0" fontId="5" fillId="2" borderId="0" applyAlignment="1" pivotButton="0" quotePrefix="0" xfId="0">
      <alignment vertical="center"/>
    </xf>
    <xf numFmtId="0" fontId="13" fillId="2" borderId="0" applyAlignment="1" pivotButton="0" quotePrefix="0" xfId="0">
      <alignment vertical="center"/>
    </xf>
    <xf numFmtId="0" fontId="15" fillId="0" borderId="0" applyAlignment="1" pivotButton="0" quotePrefix="0" xfId="0">
      <alignment vertical="center" wrapText="1"/>
    </xf>
    <xf numFmtId="49" fontId="25" fillId="0" borderId="1" applyAlignment="1" pivotButton="0" quotePrefix="0" xfId="0">
      <alignment horizontal="left" vertical="center" wrapText="1"/>
    </xf>
    <xf numFmtId="164" fontId="27" fillId="2" borderId="1" applyAlignment="1" pivotButton="0" quotePrefix="0" xfId="5">
      <alignment horizontal="center" vertical="center"/>
    </xf>
    <xf numFmtId="0" fontId="26" fillId="0" borderId="4" applyAlignment="1" pivotButton="0" quotePrefix="0" xfId="0">
      <alignment vertical="center" wrapText="1"/>
    </xf>
    <xf numFmtId="0" fontId="26" fillId="0" borderId="5" applyAlignment="1" pivotButton="0" quotePrefix="0" xfId="0">
      <alignment vertical="center" wrapText="1"/>
    </xf>
    <xf numFmtId="0" fontId="26" fillId="0" borderId="4" applyAlignment="1" pivotButton="0" quotePrefix="0" xfId="0">
      <alignment horizontal="center" vertical="center" wrapText="1"/>
    </xf>
    <xf numFmtId="0" fontId="26" fillId="0" borderId="5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 wrapText="1"/>
    </xf>
    <xf numFmtId="0" fontId="21" fillId="2" borderId="1" applyAlignment="1" pivotButton="0" quotePrefix="0" xfId="0">
      <alignment horizontal="left" vertical="center" wrapText="1"/>
    </xf>
    <xf numFmtId="49" fontId="24" fillId="2" borderId="1" applyAlignment="1" pivotButton="0" quotePrefix="0" xfId="0">
      <alignment horizontal="left" vertical="center" wrapText="1"/>
    </xf>
    <xf numFmtId="0" fontId="26" fillId="2" borderId="3" applyAlignment="1" pivotButton="0" quotePrefix="0" xfId="0">
      <alignment horizontal="center" vertical="center" wrapText="1"/>
    </xf>
    <xf numFmtId="0" fontId="27" fillId="0" borderId="5" applyAlignment="1" pivotButton="0" quotePrefix="0" xfId="0">
      <alignment horizontal="center" vertical="center" wrapText="1"/>
    </xf>
    <xf numFmtId="165" fontId="27" fillId="0" borderId="1" applyAlignment="1" pivotButton="0" quotePrefix="0" xfId="0">
      <alignment horizontal="center" vertical="center" wrapText="1"/>
    </xf>
    <xf numFmtId="164" fontId="27" fillId="0" borderId="1" applyAlignment="1" pivotButton="0" quotePrefix="0" xfId="0">
      <alignment horizontal="center" vertical="center" wrapText="1"/>
    </xf>
    <xf numFmtId="49" fontId="27" fillId="0" borderId="1" applyAlignment="1" pivotButton="0" quotePrefix="0" xfId="0">
      <alignment horizontal="left" vertical="top" wrapText="1"/>
    </xf>
    <xf numFmtId="0" fontId="26" fillId="3" borderId="1" applyAlignment="1" pivotButton="0" quotePrefix="0" xfId="0">
      <alignment horizontal="center" vertical="center" wrapText="1"/>
    </xf>
    <xf numFmtId="164" fontId="26" fillId="3" borderId="1" applyAlignment="1" pivotButton="0" quotePrefix="0" xfId="5">
      <alignment horizontal="center" vertical="center" wrapText="1"/>
    </xf>
    <xf numFmtId="0" fontId="26" fillId="0" borderId="6" applyAlignment="1" pivotButton="0" quotePrefix="0" xfId="0">
      <alignment vertical="center" wrapText="1"/>
    </xf>
    <xf numFmtId="164" fontId="26" fillId="0" borderId="1" applyAlignment="1" pivotButton="0" quotePrefix="0" xfId="5">
      <alignment horizontal="center" vertical="center"/>
    </xf>
    <xf numFmtId="0" fontId="26" fillId="0" borderId="6" applyAlignment="1" pivotButton="0" quotePrefix="0" xfId="0">
      <alignment horizontal="center" vertical="center" wrapText="1"/>
    </xf>
    <xf numFmtId="164" fontId="26" fillId="0" borderId="1" applyAlignment="1" pivotButton="0" quotePrefix="0" xfId="0">
      <alignment horizontal="center" vertical="center" wrapText="1"/>
    </xf>
    <xf numFmtId="10" fontId="26" fillId="0" borderId="1" applyAlignment="1" pivotButton="0" quotePrefix="0" xfId="6">
      <alignment horizontal="center" vertical="center"/>
    </xf>
    <xf numFmtId="0" fontId="26" fillId="5" borderId="2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vertical="center" wrapText="1"/>
    </xf>
    <xf numFmtId="0" fontId="27" fillId="0" borderId="0" applyAlignment="1" pivotButton="0" quotePrefix="0" xfId="0">
      <alignment vertical="center" wrapText="1"/>
    </xf>
    <xf numFmtId="164" fontId="27" fillId="0" borderId="0" applyAlignment="1" pivotButton="0" quotePrefix="0" xfId="5">
      <alignment vertical="center" wrapText="1"/>
    </xf>
    <xf numFmtId="0" fontId="27" fillId="0" borderId="0" applyAlignment="1" pivotButton="0" quotePrefix="0" xfId="0">
      <alignment vertical="center"/>
    </xf>
    <xf numFmtId="0" fontId="26" fillId="2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/>
    </xf>
    <xf numFmtId="0" fontId="26" fillId="0" borderId="3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6" fillId="0" borderId="2" applyAlignment="1" pivotButton="0" quotePrefix="0" xfId="0">
      <alignment horizontal="center" vertical="center" wrapText="1"/>
    </xf>
    <xf numFmtId="10" fontId="26" fillId="0" borderId="2" applyAlignment="1" pivotButton="0" quotePrefix="0" xfId="6">
      <alignment horizontal="center" vertical="center"/>
    </xf>
    <xf numFmtId="0" fontId="26" fillId="2" borderId="9" applyAlignment="1" pivotButton="0" quotePrefix="0" xfId="0">
      <alignment horizontal="center" vertical="center" wrapText="1"/>
    </xf>
    <xf numFmtId="0" fontId="26" fillId="2" borderId="1" applyAlignment="1" pivotButton="0" quotePrefix="0" xfId="0">
      <alignment horizontal="center" vertical="center"/>
    </xf>
    <xf numFmtId="0" fontId="26" fillId="0" borderId="7" applyAlignment="1" pivotButton="0" quotePrefix="0" xfId="0">
      <alignment vertical="center"/>
    </xf>
    <xf numFmtId="0" fontId="26" fillId="0" borderId="7" applyAlignment="1" pivotButton="0" quotePrefix="0" xfId="0">
      <alignment horizontal="center" vertical="center"/>
    </xf>
    <xf numFmtId="0" fontId="27" fillId="0" borderId="7" applyAlignment="1" pivotButton="0" quotePrefix="0" xfId="0">
      <alignment vertical="center"/>
    </xf>
    <xf numFmtId="0" fontId="32" fillId="0" borderId="0" applyAlignment="1" pivotButton="0" quotePrefix="0" xfId="0">
      <alignment horizontal="left" vertical="center" wrapText="1"/>
    </xf>
    <xf numFmtId="49" fontId="27" fillId="0" borderId="1" applyAlignment="1" pivotButton="0" quotePrefix="0" xfId="0">
      <alignment horizontal="left" vertical="center" wrapText="1"/>
    </xf>
    <xf numFmtId="0" fontId="32" fillId="0" borderId="1" applyAlignment="1" pivotButton="0" quotePrefix="0" xfId="0">
      <alignment horizontal="left" vertical="center" wrapText="1"/>
    </xf>
    <xf numFmtId="49" fontId="33" fillId="0" borderId="0" applyAlignment="1" pivotButton="0" quotePrefix="0" xfId="0">
      <alignment horizontal="left" vertical="top" wrapText="1"/>
    </xf>
    <xf numFmtId="49" fontId="21" fillId="0" borderId="1" applyAlignment="1" pivotButton="0" quotePrefix="0" xfId="0">
      <alignment horizontal="left" vertical="center" wrapText="1"/>
    </xf>
    <xf numFmtId="49" fontId="19" fillId="0" borderId="1" applyAlignment="1" pivotButton="0" quotePrefix="0" xfId="0">
      <alignment horizontal="left" vertical="top" wrapText="1"/>
    </xf>
    <xf numFmtId="164" fontId="34" fillId="2" borderId="1" applyAlignment="1" pivotButton="0" quotePrefix="0" xfId="5">
      <alignment horizontal="center" vertical="center"/>
    </xf>
    <xf numFmtId="0" fontId="35" fillId="0" borderId="1" applyAlignment="1" pivotButton="0" quotePrefix="0" xfId="0">
      <alignment horizontal="left" vertical="center" wrapText="1"/>
    </xf>
    <xf numFmtId="0" fontId="37" fillId="3" borderId="1" applyAlignment="1" pivotButton="0" quotePrefix="0" xfId="0">
      <alignment horizontal="center" vertical="center" wrapText="1"/>
    </xf>
    <xf numFmtId="0" fontId="37" fillId="0" borderId="5" applyAlignment="1" pivotButton="0" quotePrefix="0" xfId="0">
      <alignment vertical="center" wrapText="1"/>
    </xf>
    <xf numFmtId="0" fontId="37" fillId="0" borderId="5" applyAlignment="1" pivotButton="0" quotePrefix="0" xfId="0">
      <alignment horizontal="center" vertical="center" wrapText="1"/>
    </xf>
    <xf numFmtId="49" fontId="34" fillId="0" borderId="1" applyAlignment="1" pivotButton="0" quotePrefix="0" xfId="0">
      <alignment horizontal="left" vertical="center" wrapText="1"/>
    </xf>
    <xf numFmtId="0" fontId="37" fillId="0" borderId="2" applyAlignment="1" pivotButton="0" quotePrefix="0" xfId="0">
      <alignment horizontal="center" vertical="center" wrapText="1"/>
    </xf>
    <xf numFmtId="0" fontId="34" fillId="0" borderId="7" applyAlignment="1" pivotButton="0" quotePrefix="0" xfId="0">
      <alignment vertical="center"/>
    </xf>
    <xf numFmtId="0" fontId="34" fillId="0" borderId="0" applyAlignment="1" pivotButton="0" quotePrefix="0" xfId="0">
      <alignment vertical="center"/>
    </xf>
    <xf numFmtId="49" fontId="38" fillId="0" borderId="1" applyAlignment="1" pivotButton="0" quotePrefix="0" xfId="0">
      <alignment vertical="center" wrapText="1"/>
    </xf>
    <xf numFmtId="0" fontId="34" fillId="0" borderId="0" applyAlignment="1" pivotButton="0" quotePrefix="0" xfId="0">
      <alignment vertical="center" wrapText="1"/>
    </xf>
    <xf numFmtId="49" fontId="36" fillId="0" borderId="1" applyAlignment="1" pivotButton="0" quotePrefix="0" xfId="0">
      <alignment horizontal="left" vertical="top" wrapText="1"/>
    </xf>
    <xf numFmtId="0" fontId="39" fillId="5" borderId="2" applyAlignment="1" pivotButton="0" quotePrefix="0" xfId="0">
      <alignment vertical="center"/>
    </xf>
    <xf numFmtId="0" fontId="39" fillId="3" borderId="1" applyAlignment="1" pivotButton="0" quotePrefix="0" xfId="0">
      <alignment horizontal="center" vertical="center" wrapText="1"/>
    </xf>
    <xf numFmtId="49" fontId="32" fillId="0" borderId="1" applyAlignment="1" pivotButton="0" quotePrefix="0" xfId="0">
      <alignment horizontal="left" vertical="top" wrapText="1"/>
    </xf>
    <xf numFmtId="0" fontId="39" fillId="0" borderId="5" applyAlignment="1" pivotButton="0" quotePrefix="0" xfId="0">
      <alignment vertical="center" wrapText="1"/>
    </xf>
    <xf numFmtId="0" fontId="39" fillId="0" borderId="5" applyAlignment="1" pivotButton="0" quotePrefix="0" xfId="0">
      <alignment horizontal="center" vertical="center" wrapText="1"/>
    </xf>
    <xf numFmtId="0" fontId="32" fillId="0" borderId="0" applyAlignment="1" pivotButton="0" quotePrefix="0" xfId="0">
      <alignment vertical="center" wrapText="1"/>
    </xf>
    <xf numFmtId="49" fontId="32" fillId="0" borderId="1" applyAlignment="1" pivotButton="0" quotePrefix="0" xfId="0">
      <alignment horizontal="left" vertical="center" wrapText="1"/>
    </xf>
    <xf numFmtId="0" fontId="39" fillId="0" borderId="2" applyAlignment="1" pivotButton="0" quotePrefix="0" xfId="0">
      <alignment horizontal="center" vertical="center" wrapText="1"/>
    </xf>
    <xf numFmtId="49" fontId="32" fillId="0" borderId="0" applyAlignment="1" pivotButton="0" quotePrefix="0" xfId="0">
      <alignment horizontal="left" vertical="top" wrapText="1"/>
    </xf>
    <xf numFmtId="0" fontId="32" fillId="0" borderId="7" applyAlignment="1" pivotButton="0" quotePrefix="0" xfId="0">
      <alignment vertical="center"/>
    </xf>
    <xf numFmtId="0" fontId="32" fillId="0" borderId="0" applyAlignment="1" pivotButton="0" quotePrefix="0" xfId="0">
      <alignment vertical="center"/>
    </xf>
    <xf numFmtId="49" fontId="32" fillId="0" borderId="0" applyAlignment="1" pivotButton="0" quotePrefix="0" xfId="0">
      <alignment vertical="center" wrapText="1"/>
    </xf>
    <xf numFmtId="169" fontId="26" fillId="0" borderId="5" applyAlignment="1" pivotButton="0" quotePrefix="0" xfId="0">
      <alignment horizontal="center" vertical="center" wrapText="1"/>
    </xf>
    <xf numFmtId="0" fontId="14" fillId="0" borderId="5" applyAlignment="1" pivotButton="0" quotePrefix="0" xfId="0">
      <alignment vertical="center" wrapText="1"/>
    </xf>
    <xf numFmtId="0" fontId="37" fillId="5" borderId="2" applyAlignment="1" pivotButton="0" quotePrefix="0" xfId="0">
      <alignment vertical="center"/>
    </xf>
    <xf numFmtId="49" fontId="40" fillId="0" borderId="1" applyAlignment="1" pivotButton="0" quotePrefix="0" xfId="0">
      <alignment horizontal="left" vertical="top" wrapText="1"/>
    </xf>
    <xf numFmtId="49" fontId="21" fillId="0" borderId="1" applyAlignment="1" pivotButton="0" quotePrefix="0" xfId="0">
      <alignment horizontal="left" vertical="top" wrapText="1"/>
    </xf>
    <xf numFmtId="49" fontId="33" fillId="0" borderId="1" applyAlignment="1" pivotButton="0" quotePrefix="0" xfId="0">
      <alignment horizontal="left" vertical="top" wrapText="1"/>
    </xf>
    <xf numFmtId="0" fontId="41" fillId="5" borderId="2" applyAlignment="1" pivotButton="0" quotePrefix="0" xfId="0">
      <alignment vertical="center"/>
    </xf>
    <xf numFmtId="0" fontId="41" fillId="3" borderId="1" applyAlignment="1" pivotButton="0" quotePrefix="0" xfId="0">
      <alignment horizontal="center" vertical="center" wrapText="1"/>
    </xf>
    <xf numFmtId="0" fontId="41" fillId="3" borderId="6" applyAlignment="1" pivotButton="0" quotePrefix="0" xfId="0">
      <alignment horizontal="center" vertical="center" wrapText="1"/>
    </xf>
    <xf numFmtId="164" fontId="41" fillId="3" borderId="1" applyAlignment="1" pivotButton="0" quotePrefix="0" xfId="5">
      <alignment horizontal="center" vertical="center" wrapText="1"/>
    </xf>
    <xf numFmtId="0" fontId="41" fillId="2" borderId="3" applyAlignment="1" pivotButton="0" quotePrefix="0" xfId="0">
      <alignment horizontal="center" vertical="center" wrapText="1"/>
    </xf>
    <xf numFmtId="49" fontId="42" fillId="0" borderId="1" applyAlignment="1" pivotButton="0" quotePrefix="0" xfId="0">
      <alignment horizontal="left" vertical="top" wrapText="1"/>
    </xf>
    <xf numFmtId="0" fontId="42" fillId="0" borderId="6" applyAlignment="1" pivotButton="0" quotePrefix="0" xfId="0">
      <alignment horizontal="center" vertical="center" wrapText="1"/>
    </xf>
    <xf numFmtId="164" fontId="42" fillId="2" borderId="1" applyAlignment="1" pivotButton="0" quotePrefix="0" xfId="5">
      <alignment horizontal="center" vertical="center"/>
    </xf>
    <xf numFmtId="165" fontId="42" fillId="0" borderId="1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left" vertical="center" wrapText="1"/>
    </xf>
    <xf numFmtId="0" fontId="42" fillId="0" borderId="5" applyAlignment="1" pivotButton="0" quotePrefix="0" xfId="0">
      <alignment horizontal="center" vertical="center" wrapText="1"/>
    </xf>
    <xf numFmtId="49" fontId="11" fillId="0" borderId="0" applyAlignment="1" pivotButton="0" quotePrefix="0" xfId="0">
      <alignment horizontal="left" vertical="top" wrapText="1"/>
    </xf>
    <xf numFmtId="0" fontId="28" fillId="3" borderId="1" applyAlignment="1" pivotButton="0" quotePrefix="0" xfId="0">
      <alignment horizontal="center" vertical="center" wrapText="1"/>
    </xf>
    <xf numFmtId="164" fontId="28" fillId="3" borderId="1" applyAlignment="1" pivotButton="0" quotePrefix="0" xfId="5">
      <alignment horizontal="center" vertical="center" wrapText="1"/>
    </xf>
    <xf numFmtId="0" fontId="28" fillId="2" borderId="3" applyAlignment="1" pivotButton="0" quotePrefix="0" xfId="0">
      <alignment horizontal="center" vertical="center" wrapText="1"/>
    </xf>
    <xf numFmtId="0" fontId="28" fillId="2" borderId="1" applyAlignment="1" pivotButton="0" quotePrefix="0" xfId="0">
      <alignment horizontal="center" vertical="center" wrapText="1"/>
    </xf>
    <xf numFmtId="0" fontId="44" fillId="0" borderId="1" applyAlignment="1" pivotButton="0" quotePrefix="0" xfId="0">
      <alignment horizontal="center" vertical="center"/>
    </xf>
    <xf numFmtId="164" fontId="44" fillId="2" borderId="1" applyAlignment="1" pivotButton="0" quotePrefix="0" xfId="5">
      <alignment horizontal="center" vertical="center"/>
    </xf>
    <xf numFmtId="165" fontId="44" fillId="0" borderId="1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 wrapText="1"/>
    </xf>
    <xf numFmtId="49" fontId="44" fillId="0" borderId="1" applyAlignment="1" pivotButton="0" quotePrefix="0" xfId="0">
      <alignment horizontal="left" vertical="center" wrapText="1"/>
    </xf>
    <xf numFmtId="0" fontId="44" fillId="0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vertical="center" wrapText="1"/>
    </xf>
    <xf numFmtId="0" fontId="27" fillId="0" borderId="0" applyAlignment="1" pivotButton="0" quotePrefix="0" xfId="0">
      <alignment horizontal="left" vertical="center" wrapText="1"/>
    </xf>
    <xf numFmtId="0" fontId="4" fillId="2" borderId="8" applyAlignment="1" pivotButton="0" quotePrefix="0" xfId="0">
      <alignment horizontal="center" vertical="center" wrapText="1"/>
    </xf>
    <xf numFmtId="0" fontId="39" fillId="0" borderId="0" applyAlignment="1" pivotButton="0" quotePrefix="0" xfId="0">
      <alignment vertical="center" wrapText="1"/>
    </xf>
    <xf numFmtId="10" fontId="26" fillId="0" borderId="0" applyAlignment="1" pivotButton="0" quotePrefix="0" xfId="6">
      <alignment horizontal="center" vertical="center"/>
    </xf>
    <xf numFmtId="0" fontId="26" fillId="2" borderId="8" applyAlignment="1" pivotButton="0" quotePrefix="0" xfId="0">
      <alignment vertical="center" wrapText="1"/>
    </xf>
    <xf numFmtId="0" fontId="26" fillId="2" borderId="9" applyAlignment="1" pivotButton="0" quotePrefix="0" xfId="0">
      <alignment vertical="center" wrapText="1"/>
    </xf>
    <xf numFmtId="0" fontId="26" fillId="2" borderId="3" applyAlignment="1" pivotButton="0" quotePrefix="0" xfId="0">
      <alignment vertical="center" wrapText="1"/>
    </xf>
    <xf numFmtId="0" fontId="4" fillId="2" borderId="3" applyAlignment="1" pivotButton="0" quotePrefix="0" xfId="0">
      <alignment vertical="center" wrapText="1"/>
    </xf>
    <xf numFmtId="0" fontId="4" fillId="2" borderId="8" applyAlignment="1" pivotButton="0" quotePrefix="0" xfId="0">
      <alignment vertical="center" wrapText="1"/>
    </xf>
    <xf numFmtId="0" fontId="4" fillId="2" borderId="9" applyAlignment="1" pivotButton="0" quotePrefix="0" xfId="0">
      <alignment vertical="center" wrapText="1"/>
    </xf>
    <xf numFmtId="0" fontId="26" fillId="0" borderId="2" applyAlignment="1" pivotButton="0" quotePrefix="0" xfId="0">
      <alignment vertical="center" wrapText="1"/>
    </xf>
    <xf numFmtId="0" fontId="37" fillId="0" borderId="0" applyAlignment="1" pivotButton="0" quotePrefix="0" xfId="0">
      <alignment vertical="center" wrapText="1"/>
    </xf>
    <xf numFmtId="10" fontId="4" fillId="0" borderId="0" applyAlignment="1" pivotButton="0" quotePrefix="0" xfId="6">
      <alignment horizontal="center" vertical="center"/>
    </xf>
    <xf numFmtId="0" fontId="26" fillId="2" borderId="8" applyAlignment="1" pivotButton="0" quotePrefix="0" xfId="0">
      <alignment horizontal="center" vertical="center" wrapText="1"/>
    </xf>
    <xf numFmtId="0" fontId="26" fillId="11" borderId="3" applyAlignment="1" pivotButton="0" quotePrefix="0" xfId="0">
      <alignment horizontal="center" vertical="center" wrapText="1"/>
    </xf>
    <xf numFmtId="0" fontId="45" fillId="0" borderId="0" applyAlignment="1" pivotButton="0" quotePrefix="0" xfId="0">
      <alignment horizontal="left" vertical="center" wrapText="1"/>
    </xf>
    <xf numFmtId="49" fontId="46" fillId="0" borderId="1" applyAlignment="1" pivotButton="0" quotePrefix="0" xfId="0">
      <alignment horizontal="left" vertical="center" wrapText="1"/>
    </xf>
    <xf numFmtId="49" fontId="36" fillId="0" borderId="0" applyAlignment="1" pivotButton="0" quotePrefix="0" xfId="0">
      <alignment horizontal="left" vertical="top" wrapText="1"/>
    </xf>
    <xf numFmtId="0" fontId="26" fillId="11" borderId="8" applyAlignment="1" pivotButton="0" quotePrefix="0" xfId="0">
      <alignment horizontal="center" vertical="center" wrapText="1"/>
    </xf>
    <xf numFmtId="0" fontId="45" fillId="0" borderId="1" applyAlignment="1" pivotButton="0" quotePrefix="0" xfId="0">
      <alignment horizontal="left" vertical="center" wrapText="1"/>
    </xf>
    <xf numFmtId="49" fontId="46" fillId="0" borderId="1" applyAlignment="1" pivotButton="0" quotePrefix="0" xfId="0">
      <alignment horizontal="left" vertical="top" wrapText="1"/>
    </xf>
    <xf numFmtId="0" fontId="45" fillId="4" borderId="1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left" vertical="center"/>
    </xf>
    <xf numFmtId="0" fontId="42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horizontal="left" vertical="center" wrapText="1"/>
    </xf>
    <xf numFmtId="0" fontId="41" fillId="6" borderId="1" applyAlignment="1" pivotButton="0" quotePrefix="0" xfId="0">
      <alignment horizontal="center" vertical="center" wrapText="1"/>
    </xf>
    <xf numFmtId="0" fontId="41" fillId="7" borderId="1" applyAlignment="1" pivotButton="0" quotePrefix="0" xfId="0">
      <alignment horizontal="center" vertical="center" wrapText="1"/>
    </xf>
    <xf numFmtId="0" fontId="41" fillId="8" borderId="1" applyAlignment="1" pivotButton="0" quotePrefix="0" xfId="0">
      <alignment horizontal="center" vertical="center" wrapText="1"/>
    </xf>
    <xf numFmtId="0" fontId="41" fillId="9" borderId="1" applyAlignment="1" pivotButton="0" quotePrefix="0" xfId="0">
      <alignment horizontal="center" vertical="center" wrapText="1"/>
    </xf>
    <xf numFmtId="0" fontId="42" fillId="11" borderId="1" applyAlignment="1" pivotButton="0" quotePrefix="0" xfId="0">
      <alignment horizontal="left" vertical="center" wrapText="1"/>
    </xf>
    <xf numFmtId="0" fontId="42" fillId="6" borderId="1" applyAlignment="1" pivotButton="0" quotePrefix="0" xfId="0">
      <alignment horizontal="left" vertical="center" wrapText="1"/>
    </xf>
    <xf numFmtId="0" fontId="43" fillId="7" borderId="1" applyAlignment="1" pivotButton="0" quotePrefix="0" xfId="0">
      <alignment horizontal="left" vertical="center" wrapText="1"/>
    </xf>
    <xf numFmtId="0" fontId="43" fillId="7" borderId="1" applyAlignment="1" pivotButton="0" quotePrefix="0" xfId="0">
      <alignment horizontal="center" vertical="center" wrapText="1"/>
    </xf>
    <xf numFmtId="0" fontId="42" fillId="8" borderId="1" applyAlignment="1" pivotButton="0" quotePrefix="0" xfId="0">
      <alignment horizontal="left" vertical="center"/>
    </xf>
    <xf numFmtId="0" fontId="43" fillId="8" borderId="1" applyAlignment="1" pivotButton="0" quotePrefix="0" xfId="0">
      <alignment horizontal="center" vertical="top" wrapText="1"/>
    </xf>
    <xf numFmtId="0" fontId="42" fillId="7" borderId="1" applyAlignment="1" pivotButton="0" quotePrefix="0" xfId="0">
      <alignment horizontal="left" vertical="center" wrapText="1"/>
    </xf>
    <xf numFmtId="0" fontId="43" fillId="8" borderId="1" applyAlignment="1" pivotButton="0" quotePrefix="0" xfId="0">
      <alignment horizontal="left" vertical="center"/>
    </xf>
    <xf numFmtId="0" fontId="42" fillId="9" borderId="1" applyAlignment="1" pivotButton="0" quotePrefix="0" xfId="0">
      <alignment horizontal="left" vertical="center" wrapText="1"/>
    </xf>
    <xf numFmtId="0" fontId="42" fillId="7" borderId="1" applyAlignment="1" pivotButton="0" quotePrefix="0" xfId="0">
      <alignment horizontal="left" vertical="center"/>
    </xf>
    <xf numFmtId="0" fontId="43" fillId="8" borderId="1" applyAlignment="1" pivotButton="0" quotePrefix="0" xfId="0">
      <alignment horizontal="center" vertical="center" wrapText="1"/>
    </xf>
    <xf numFmtId="0" fontId="43" fillId="7" borderId="1" applyAlignment="1" pivotButton="0" quotePrefix="0" xfId="0">
      <alignment horizontal="left" vertical="center"/>
    </xf>
    <xf numFmtId="0" fontId="43" fillId="0" borderId="0" applyAlignment="1" pivotButton="0" quotePrefix="0" xfId="0">
      <alignment horizontal="left" vertical="center"/>
    </xf>
    <xf numFmtId="0" fontId="43" fillId="0" borderId="0" applyAlignment="1" pivotButton="0" quotePrefix="0" xfId="0">
      <alignment horizontal="center" vertical="center" wrapText="1"/>
    </xf>
    <xf numFmtId="0" fontId="42" fillId="2" borderId="0" applyAlignment="1" pivotButton="0" quotePrefix="0" xfId="0">
      <alignment horizontal="left" vertical="center" wrapText="1"/>
    </xf>
    <xf numFmtId="0" fontId="42" fillId="9" borderId="0" applyAlignment="1" pivotButton="0" quotePrefix="0" xfId="0">
      <alignment horizontal="left" vertical="center" wrapText="1"/>
    </xf>
    <xf numFmtId="0" fontId="43" fillId="11" borderId="1" applyAlignment="1" pivotButton="0" quotePrefix="0" xfId="0">
      <alignment horizontal="left" vertical="center" wrapText="1"/>
    </xf>
    <xf numFmtId="0" fontId="43" fillId="6" borderId="1" applyAlignment="1" pivotButton="0" quotePrefix="0" xfId="0">
      <alignment horizontal="left" vertical="center" wrapText="1"/>
    </xf>
    <xf numFmtId="0" fontId="43" fillId="9" borderId="1" applyAlignment="1" pivotButton="0" quotePrefix="0" xfId="0">
      <alignment horizontal="left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left" vertical="center"/>
    </xf>
    <xf numFmtId="0" fontId="50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horizontal="left" vertical="center" wrapText="1"/>
    </xf>
    <xf numFmtId="0" fontId="50" fillId="6" borderId="1" applyAlignment="1" pivotButton="0" quotePrefix="0" xfId="0">
      <alignment horizontal="center" vertical="center" wrapText="1"/>
    </xf>
    <xf numFmtId="0" fontId="50" fillId="7" borderId="1" applyAlignment="1" pivotButton="0" quotePrefix="0" xfId="0">
      <alignment horizontal="center" vertical="center" wrapText="1"/>
    </xf>
    <xf numFmtId="0" fontId="50" fillId="8" borderId="1" applyAlignment="1" pivotButton="0" quotePrefix="0" xfId="0">
      <alignment horizontal="center" vertical="center" wrapText="1"/>
    </xf>
    <xf numFmtId="0" fontId="50" fillId="9" borderId="1" applyAlignment="1" pivotButton="0" quotePrefix="0" xfId="0">
      <alignment horizontal="center" vertical="center" wrapText="1"/>
    </xf>
    <xf numFmtId="0" fontId="50" fillId="11" borderId="1" applyAlignment="1" pivotButton="0" quotePrefix="0" xfId="0">
      <alignment horizontal="left" vertical="center" wrapText="1"/>
    </xf>
    <xf numFmtId="0" fontId="50" fillId="6" borderId="1" applyAlignment="1" pivotButton="0" quotePrefix="0" xfId="0">
      <alignment horizontal="left" vertical="center" wrapText="1"/>
    </xf>
    <xf numFmtId="0" fontId="52" fillId="7" borderId="1" applyAlignment="1" pivotButton="0" quotePrefix="0" xfId="0">
      <alignment horizontal="left" vertical="center" wrapText="1"/>
    </xf>
    <xf numFmtId="0" fontId="52" fillId="7" borderId="1" applyAlignment="1" pivotButton="0" quotePrefix="0" xfId="0">
      <alignment horizontal="center" vertical="center" wrapText="1"/>
    </xf>
    <xf numFmtId="0" fontId="50" fillId="8" borderId="1" applyAlignment="1" pivotButton="0" quotePrefix="0" xfId="0">
      <alignment horizontal="left" vertical="center"/>
    </xf>
    <xf numFmtId="0" fontId="52" fillId="8" borderId="1" applyAlignment="1" pivotButton="0" quotePrefix="0" xfId="0">
      <alignment horizontal="center" vertical="top" wrapText="1"/>
    </xf>
    <xf numFmtId="0" fontId="50" fillId="7" borderId="1" applyAlignment="1" pivotButton="0" quotePrefix="0" xfId="0">
      <alignment horizontal="left" vertical="center" wrapText="1"/>
    </xf>
    <xf numFmtId="0" fontId="52" fillId="8" borderId="1" applyAlignment="1" pivotButton="0" quotePrefix="0" xfId="0">
      <alignment horizontal="left" vertical="center"/>
    </xf>
    <xf numFmtId="0" fontId="50" fillId="9" borderId="1" applyAlignment="1" pivotButton="0" quotePrefix="0" xfId="0">
      <alignment horizontal="left" vertical="center" wrapText="1"/>
    </xf>
    <xf numFmtId="0" fontId="50" fillId="7" borderId="1" applyAlignment="1" pivotButton="0" quotePrefix="0" xfId="0">
      <alignment horizontal="left" vertical="center"/>
    </xf>
    <xf numFmtId="0" fontId="52" fillId="8" borderId="1" applyAlignment="1" pivotButton="0" quotePrefix="0" xfId="0">
      <alignment horizontal="center" vertical="center" wrapText="1"/>
    </xf>
    <xf numFmtId="0" fontId="52" fillId="7" borderId="1" applyAlignment="1" pivotButton="0" quotePrefix="0" xfId="0">
      <alignment horizontal="left" vertical="center"/>
    </xf>
    <xf numFmtId="0" fontId="52" fillId="0" borderId="0" applyAlignment="1" pivotButton="0" quotePrefix="0" xfId="0">
      <alignment horizontal="left" vertical="center"/>
    </xf>
    <xf numFmtId="0" fontId="52" fillId="0" borderId="0" applyAlignment="1" pivotButton="0" quotePrefix="0" xfId="0">
      <alignment horizontal="center" vertical="center" wrapText="1"/>
    </xf>
    <xf numFmtId="0" fontId="50" fillId="2" borderId="0" applyAlignment="1" pivotButton="0" quotePrefix="0" xfId="0">
      <alignment horizontal="left" vertical="center" wrapText="1"/>
    </xf>
    <xf numFmtId="0" fontId="50" fillId="9" borderId="0" applyAlignment="1" pivotButton="0" quotePrefix="0" xfId="0">
      <alignment horizontal="left" vertical="center" wrapText="1"/>
    </xf>
    <xf numFmtId="0" fontId="52" fillId="11" borderId="1" applyAlignment="1" pivotButton="0" quotePrefix="0" xfId="0">
      <alignment horizontal="left" vertical="center" wrapText="1"/>
    </xf>
    <xf numFmtId="0" fontId="52" fillId="6" borderId="1" applyAlignment="1" pivotButton="0" quotePrefix="0" xfId="0">
      <alignment horizontal="left" vertical="center" wrapText="1"/>
    </xf>
    <xf numFmtId="0" fontId="52" fillId="9" borderId="1" applyAlignment="1" pivotButton="0" quotePrefix="0" xfId="0">
      <alignment horizontal="left" vertical="center" wrapText="1"/>
    </xf>
    <xf numFmtId="0" fontId="43" fillId="7" borderId="1" applyAlignment="1" pivotButton="0" quotePrefix="0" xfId="0">
      <alignment horizontal="center" vertical="top" wrapText="1"/>
    </xf>
    <xf numFmtId="49" fontId="21" fillId="2" borderId="1" applyAlignment="1" pivotButton="0" quotePrefix="0" xfId="0">
      <alignment horizontal="left" vertical="top" wrapText="1"/>
    </xf>
    <xf numFmtId="0" fontId="4" fillId="12" borderId="1" applyAlignment="1" pivotButton="0" quotePrefix="0" xfId="0">
      <alignment horizontal="center" vertical="center" wrapText="1"/>
    </xf>
    <xf numFmtId="0" fontId="53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left" vertical="center" wrapText="1"/>
    </xf>
    <xf numFmtId="0" fontId="28" fillId="5" borderId="2" applyAlignment="1" pivotButton="0" quotePrefix="0" xfId="0">
      <alignment vertical="center"/>
    </xf>
    <xf numFmtId="0" fontId="28" fillId="5" borderId="5" applyAlignment="1" pivotButton="0" quotePrefix="0" xfId="0">
      <alignment vertical="center"/>
    </xf>
    <xf numFmtId="0" fontId="29" fillId="10" borderId="2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21" fillId="4" borderId="0" applyAlignment="1" pivotButton="0" quotePrefix="0" xfId="0">
      <alignment horizontal="left" vertical="center" wrapText="1"/>
    </xf>
    <xf numFmtId="0" fontId="4" fillId="5" borderId="5" applyAlignment="1" pivotButton="0" quotePrefix="0" xfId="0">
      <alignment vertical="center"/>
    </xf>
    <xf numFmtId="0" fontId="42" fillId="0" borderId="3" applyAlignment="1" pivotButton="0" quotePrefix="0" xfId="0">
      <alignment horizontal="center" vertical="center" wrapText="1"/>
    </xf>
    <xf numFmtId="0" fontId="42" fillId="0" borderId="8" applyAlignment="1" pivotButton="0" quotePrefix="0" xfId="0">
      <alignment horizontal="center" vertical="center" wrapText="1"/>
    </xf>
    <xf numFmtId="0" fontId="42" fillId="0" borderId="9" applyAlignment="1" pivotButton="0" quotePrefix="0" xfId="0">
      <alignment horizontal="center" vertical="center" wrapText="1"/>
    </xf>
    <xf numFmtId="0" fontId="43" fillId="9" borderId="4" applyAlignment="1" pivotButton="0" quotePrefix="0" xfId="0">
      <alignment horizontal="center" vertical="center" wrapText="1"/>
    </xf>
    <xf numFmtId="0" fontId="43" fillId="9" borderId="6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/>
    </xf>
    <xf numFmtId="0" fontId="42" fillId="9" borderId="4" applyAlignment="1" pivotButton="0" quotePrefix="0" xfId="0">
      <alignment horizontal="center" vertical="center" wrapText="1"/>
    </xf>
    <xf numFmtId="0" fontId="42" fillId="9" borderId="6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left" vertical="center" wrapText="1"/>
    </xf>
    <xf numFmtId="0" fontId="48" fillId="0" borderId="0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left" vertical="center" wrapText="1"/>
    </xf>
    <xf numFmtId="0" fontId="42" fillId="0" borderId="0" applyAlignment="1" pivotButton="0" quotePrefix="0" xfId="0">
      <alignment horizontal="left" vertical="center" wrapText="1"/>
    </xf>
    <xf numFmtId="0" fontId="41" fillId="0" borderId="3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6" borderId="4" applyAlignment="1" pivotButton="0" quotePrefix="0" xfId="0">
      <alignment horizontal="center" vertical="center" wrapText="1"/>
    </xf>
    <xf numFmtId="0" fontId="41" fillId="6" borderId="6" applyAlignment="1" pivotButton="0" quotePrefix="0" xfId="0">
      <alignment horizontal="center" vertical="center" wrapText="1"/>
    </xf>
    <xf numFmtId="0" fontId="41" fillId="7" borderId="4" applyAlignment="1" pivotButton="0" quotePrefix="0" xfId="0">
      <alignment horizontal="center" vertical="center" wrapText="1"/>
    </xf>
    <xf numFmtId="0" fontId="41" fillId="7" borderId="6" applyAlignment="1" pivotButton="0" quotePrefix="0" xfId="0">
      <alignment horizontal="center" vertical="center" wrapText="1"/>
    </xf>
    <xf numFmtId="0" fontId="41" fillId="8" borderId="4" applyAlignment="1" pivotButton="0" quotePrefix="0" xfId="0">
      <alignment horizontal="center" vertical="center" wrapText="1"/>
    </xf>
    <xf numFmtId="0" fontId="41" fillId="8" borderId="6" applyAlignment="1" pivotButton="0" quotePrefix="0" xfId="0">
      <alignment horizontal="center" vertical="center" wrapText="1"/>
    </xf>
    <xf numFmtId="0" fontId="41" fillId="9" borderId="4" applyAlignment="1" pivotButton="0" quotePrefix="0" xfId="0">
      <alignment horizontal="center" vertical="center" wrapText="1"/>
    </xf>
    <xf numFmtId="0" fontId="41" fillId="9" borderId="6" applyAlignment="1" pivotButton="0" quotePrefix="0" xfId="0">
      <alignment horizontal="center" vertical="center" wrapText="1"/>
    </xf>
    <xf numFmtId="0" fontId="50" fillId="0" borderId="3" applyAlignment="1" pivotButton="0" quotePrefix="0" xfId="0">
      <alignment horizontal="center" vertical="center" wrapText="1"/>
    </xf>
    <xf numFmtId="0" fontId="50" fillId="0" borderId="8" applyAlignment="1" pivotButton="0" quotePrefix="0" xfId="0">
      <alignment horizontal="center" vertical="center" wrapText="1"/>
    </xf>
    <xf numFmtId="0" fontId="50" fillId="0" borderId="9" applyAlignment="1" pivotButton="0" quotePrefix="0" xfId="0">
      <alignment horizontal="center" vertical="center" wrapText="1"/>
    </xf>
    <xf numFmtId="0" fontId="52" fillId="9" borderId="4" applyAlignment="1" pivotButton="0" quotePrefix="0" xfId="0">
      <alignment horizontal="center" vertical="center" wrapText="1"/>
    </xf>
    <xf numFmtId="0" fontId="52" fillId="9" borderId="6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center" vertical="center"/>
    </xf>
    <xf numFmtId="0" fontId="50" fillId="9" borderId="4" applyAlignment="1" pivotButton="0" quotePrefix="0" xfId="0">
      <alignment horizontal="center" vertical="center" wrapText="1"/>
    </xf>
    <xf numFmtId="0" fontId="50" fillId="9" borderId="6" applyAlignment="1" pivotButton="0" quotePrefix="0" xfId="0">
      <alignment horizontal="center" vertical="center" wrapText="1"/>
    </xf>
    <xf numFmtId="0" fontId="49" fillId="0" borderId="0" applyAlignment="1" pivotButton="0" quotePrefix="0" xfId="0">
      <alignment horizontal="left" vertical="center" wrapText="1"/>
    </xf>
    <xf numFmtId="0" fontId="51" fillId="0" borderId="0" applyAlignment="1" pivotButton="0" quotePrefix="0" xfId="0">
      <alignment horizontal="center" vertical="center" wrapText="1"/>
    </xf>
    <xf numFmtId="0" fontId="50" fillId="0" borderId="0" applyAlignment="1" pivotButton="0" quotePrefix="0" xfId="0">
      <alignment horizontal="left" vertical="center" wrapText="1"/>
    </xf>
    <xf numFmtId="0" fontId="50" fillId="6" borderId="4" applyAlignment="1" pivotButton="0" quotePrefix="0" xfId="0">
      <alignment horizontal="center" vertical="center" wrapText="1"/>
    </xf>
    <xf numFmtId="0" fontId="50" fillId="6" borderId="6" applyAlignment="1" pivotButton="0" quotePrefix="0" xfId="0">
      <alignment horizontal="center" vertical="center" wrapText="1"/>
    </xf>
    <xf numFmtId="0" fontId="50" fillId="7" borderId="4" applyAlignment="1" pivotButton="0" quotePrefix="0" xfId="0">
      <alignment horizontal="center" vertical="center" wrapText="1"/>
    </xf>
    <xf numFmtId="0" fontId="50" fillId="7" borderId="6" applyAlignment="1" pivotButton="0" quotePrefix="0" xfId="0">
      <alignment horizontal="center" vertical="center" wrapText="1"/>
    </xf>
    <xf numFmtId="0" fontId="50" fillId="8" borderId="4" applyAlignment="1" pivotButton="0" quotePrefix="0" xfId="0">
      <alignment horizontal="center" vertical="center" wrapText="1"/>
    </xf>
    <xf numFmtId="0" fontId="50" fillId="8" borderId="6" applyAlignment="1" pivotButton="0" quotePrefix="0" xfId="0">
      <alignment horizontal="center" vertical="center" wrapText="1"/>
    </xf>
    <xf numFmtId="0" fontId="26" fillId="2" borderId="3" applyAlignment="1" pivotButton="0" quotePrefix="0" xfId="0">
      <alignment horizontal="center" vertical="center" wrapText="1"/>
    </xf>
    <xf numFmtId="0" fontId="26" fillId="2" borderId="8" applyAlignment="1" pivotButton="0" quotePrefix="0" xfId="0">
      <alignment horizontal="center" vertical="center" wrapText="1"/>
    </xf>
    <xf numFmtId="0" fontId="31" fillId="0" borderId="2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5" borderId="2" applyAlignment="1" pivotButton="0" quotePrefix="0" xfId="0">
      <alignment horizontal="center" vertical="center"/>
    </xf>
    <xf numFmtId="0" fontId="26" fillId="11" borderId="3" applyAlignment="1" pivotButton="0" quotePrefix="0" xfId="0">
      <alignment horizontal="center" vertical="center" wrapText="1"/>
    </xf>
    <xf numFmtId="0" fontId="26" fillId="11" borderId="8" applyAlignment="1" pivotButton="0" quotePrefix="0" xfId="0">
      <alignment horizontal="center" vertical="center" wrapText="1"/>
    </xf>
    <xf numFmtId="0" fontId="26" fillId="2" borderId="9" applyAlignment="1" pivotButton="0" quotePrefix="0" xfId="0">
      <alignment horizontal="center" vertical="center" wrapText="1"/>
    </xf>
    <xf numFmtId="0" fontId="41" fillId="5" borderId="2" applyAlignment="1" pivotButton="0" quotePrefix="0" xfId="0">
      <alignment horizontal="center" vertical="center"/>
    </xf>
    <xf numFmtId="0" fontId="41" fillId="2" borderId="3" applyAlignment="1" pivotButton="0" quotePrefix="0" xfId="0">
      <alignment horizontal="center" vertical="center" wrapText="1"/>
    </xf>
    <xf numFmtId="0" fontId="41" fillId="2" borderId="8" applyAlignment="1" pivotButton="0" quotePrefix="0" xfId="0">
      <alignment horizontal="center" vertical="center" wrapText="1"/>
    </xf>
    <xf numFmtId="0" fontId="28" fillId="4" borderId="3" applyAlignment="1" pivotButton="0" quotePrefix="0" xfId="0">
      <alignment horizontal="center" vertical="center" wrapText="1"/>
    </xf>
    <xf numFmtId="0" fontId="28" fillId="4" borderId="8" applyAlignment="1" pivotButton="0" quotePrefix="0" xfId="0">
      <alignment horizontal="center" vertical="center" wrapText="1"/>
    </xf>
    <xf numFmtId="0" fontId="28" fillId="4" borderId="9" applyAlignment="1" pivotButton="0" quotePrefix="0" xfId="0">
      <alignment horizontal="center" vertical="center" wrapText="1"/>
    </xf>
    <xf numFmtId="0" fontId="28" fillId="2" borderId="3" applyAlignment="1" pivotButton="0" quotePrefix="0" xfId="0">
      <alignment horizontal="center" vertical="center" wrapText="1"/>
    </xf>
    <xf numFmtId="0" fontId="28" fillId="2" borderId="8" applyAlignment="1" pivotButton="0" quotePrefix="0" xfId="0">
      <alignment horizontal="center" vertical="center" wrapText="1"/>
    </xf>
    <xf numFmtId="0" fontId="28" fillId="2" borderId="9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left" vertical="center" wrapText="1"/>
    </xf>
    <xf numFmtId="0" fontId="4" fillId="0" borderId="5" applyAlignment="1" pivotButton="0" quotePrefix="0" xfId="0">
      <alignment horizontal="left" vertical="center" wrapText="1"/>
    </xf>
    <xf numFmtId="0" fontId="4" fillId="2" borderId="9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/>
    </xf>
    <xf numFmtId="0" fontId="41" fillId="0" borderId="10" applyAlignment="1" pivotButton="0" quotePrefix="0" xfId="0">
      <alignment horizontal="center" vertical="center" wrapText="1"/>
    </xf>
    <xf numFmtId="0" fontId="41" fillId="6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41" fillId="7" borderId="10" applyAlignment="1" pivotButton="0" quotePrefix="0" xfId="0">
      <alignment horizontal="center" vertical="center" wrapText="1"/>
    </xf>
    <xf numFmtId="0" fontId="41" fillId="8" borderId="10" applyAlignment="1" pivotButton="0" quotePrefix="0" xfId="0">
      <alignment horizontal="center" vertical="center" wrapText="1"/>
    </xf>
    <xf numFmtId="0" fontId="41" fillId="9" borderId="10" applyAlignment="1" pivotButton="0" quotePrefix="0" xfId="0">
      <alignment horizontal="center" vertical="center" wrapText="1"/>
    </xf>
    <xf numFmtId="0" fontId="0" fillId="0" borderId="9" pivotButton="0" quotePrefix="0" xfId="0"/>
    <xf numFmtId="0" fontId="42" fillId="0" borderId="10" applyAlignment="1" pivotButton="0" quotePrefix="0" xfId="0">
      <alignment horizontal="center" vertical="center" wrapText="1"/>
    </xf>
    <xf numFmtId="0" fontId="42" fillId="9" borderId="10" applyAlignment="1" pivotButton="0" quotePrefix="0" xfId="0">
      <alignment horizontal="center" vertical="center" wrapText="1"/>
    </xf>
    <xf numFmtId="0" fontId="0" fillId="0" borderId="8" pivotButton="0" quotePrefix="0" xfId="0"/>
    <xf numFmtId="0" fontId="43" fillId="9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horizontal="center" vertical="center" wrapText="1"/>
    </xf>
    <xf numFmtId="0" fontId="50" fillId="6" borderId="10" applyAlignment="1" pivotButton="0" quotePrefix="0" xfId="0">
      <alignment horizontal="center" vertical="center" wrapText="1"/>
    </xf>
    <xf numFmtId="0" fontId="50" fillId="7" borderId="10" applyAlignment="1" pivotButton="0" quotePrefix="0" xfId="0">
      <alignment horizontal="center" vertical="center" wrapText="1"/>
    </xf>
    <xf numFmtId="0" fontId="50" fillId="8" borderId="10" applyAlignment="1" pivotButton="0" quotePrefix="0" xfId="0">
      <alignment horizontal="center" vertical="center" wrapText="1"/>
    </xf>
    <xf numFmtId="0" fontId="50" fillId="9" borderId="10" applyAlignment="1" pivotButton="0" quotePrefix="0" xfId="0">
      <alignment horizontal="center" vertical="center" wrapText="1"/>
    </xf>
    <xf numFmtId="0" fontId="52" fillId="9" borderId="10" applyAlignment="1" pivotButton="0" quotePrefix="0" xfId="0">
      <alignment horizontal="center" vertical="center" wrapText="1"/>
    </xf>
    <xf numFmtId="164" fontId="5" fillId="0" borderId="0" applyAlignment="1" pivotButton="0" quotePrefix="0" xfId="5">
      <alignment vertical="center" wrapText="1"/>
    </xf>
    <xf numFmtId="0" fontId="0" fillId="0" borderId="2" pivotButton="0" quotePrefix="0" xfId="0"/>
    <xf numFmtId="164" fontId="26" fillId="3" borderId="1" applyAlignment="1" pivotButton="0" quotePrefix="0" xfId="5">
      <alignment horizontal="center" vertical="center" wrapText="1"/>
    </xf>
    <xf numFmtId="164" fontId="27" fillId="2" borderId="1" applyAlignment="1" pivotButton="0" quotePrefix="0" xfId="5">
      <alignment horizontal="center" vertical="center"/>
    </xf>
    <xf numFmtId="165" fontId="27" fillId="0" borderId="1" applyAlignment="1" pivotButton="0" quotePrefix="0" xfId="0">
      <alignment horizontal="center" vertical="center" wrapText="1"/>
    </xf>
    <xf numFmtId="164" fontId="27" fillId="0" borderId="1" applyAlignment="1" pivotButton="0" quotePrefix="0" xfId="0">
      <alignment horizontal="center" vertical="center" wrapText="1"/>
    </xf>
    <xf numFmtId="164" fontId="26" fillId="0" borderId="1" applyAlignment="1" pivotButton="0" quotePrefix="0" xfId="5">
      <alignment horizontal="center" vertical="center"/>
    </xf>
    <xf numFmtId="164" fontId="26" fillId="0" borderId="1" applyAlignment="1" pivotButton="0" quotePrefix="0" xfId="0">
      <alignment horizontal="center" vertical="center" wrapText="1"/>
    </xf>
    <xf numFmtId="164" fontId="27" fillId="0" borderId="0" applyAlignment="1" pivotButton="0" quotePrefix="0" xfId="5">
      <alignment vertical="center" wrapText="1"/>
    </xf>
    <xf numFmtId="0" fontId="0" fillId="0" borderId="15" pivotButton="0" quotePrefix="0" xfId="0"/>
    <xf numFmtId="0" fontId="26" fillId="2" borderId="10" applyAlignment="1" pivotButton="0" quotePrefix="0" xfId="0">
      <alignment horizontal="center" vertical="center" wrapText="1"/>
    </xf>
    <xf numFmtId="43" fontId="5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43" fontId="4" fillId="0" borderId="0" applyAlignment="1" pivotButton="0" quotePrefix="0" xfId="0">
      <alignment horizontal="center" vertical="center" wrapText="1"/>
    </xf>
    <xf numFmtId="166" fontId="5" fillId="4" borderId="0" applyAlignment="1" pivotButton="0" quotePrefix="0" xfId="6">
      <alignment vertical="center"/>
    </xf>
    <xf numFmtId="164" fontId="41" fillId="3" borderId="1" applyAlignment="1" pivotButton="0" quotePrefix="0" xfId="5">
      <alignment horizontal="center" vertical="center" wrapText="1"/>
    </xf>
    <xf numFmtId="164" fontId="42" fillId="2" borderId="1" applyAlignment="1" pivotButton="0" quotePrefix="0" xfId="5">
      <alignment horizontal="center" vertical="center"/>
    </xf>
    <xf numFmtId="165" fontId="42" fillId="0" borderId="1" applyAlignment="1" pivotButton="0" quotePrefix="0" xfId="0">
      <alignment horizontal="center" vertical="center" wrapText="1"/>
    </xf>
    <xf numFmtId="164" fontId="28" fillId="3" borderId="1" applyAlignment="1" pivotButton="0" quotePrefix="0" xfId="5">
      <alignment horizontal="center" vertical="center" wrapText="1"/>
    </xf>
    <xf numFmtId="0" fontId="28" fillId="4" borderId="10" applyAlignment="1" pivotButton="0" quotePrefix="0" xfId="0">
      <alignment horizontal="center" vertical="center" wrapText="1"/>
    </xf>
    <xf numFmtId="0" fontId="28" fillId="2" borderId="10" applyAlignment="1" pivotButton="0" quotePrefix="0" xfId="0">
      <alignment horizontal="center" vertical="center" wrapText="1"/>
    </xf>
    <xf numFmtId="164" fontId="44" fillId="2" borderId="1" applyAlignment="1" pivotButton="0" quotePrefix="0" xfId="5">
      <alignment horizontal="center" vertical="center"/>
    </xf>
    <xf numFmtId="165" fontId="44" fillId="0" borderId="1" applyAlignment="1" pivotButton="0" quotePrefix="0" xfId="0">
      <alignment horizontal="center" vertical="center" wrapText="1"/>
    </xf>
    <xf numFmtId="164" fontId="5" fillId="2" borderId="1" applyAlignment="1" pivotButton="0" quotePrefix="0" xfId="5">
      <alignment horizontal="center" vertical="center"/>
    </xf>
    <xf numFmtId="164" fontId="5" fillId="2" borderId="0" applyAlignment="1" pivotButton="0" quotePrefix="0" xfId="5">
      <alignment horizontal="center" vertical="center"/>
    </xf>
    <xf numFmtId="0" fontId="0" fillId="0" borderId="14" pivotButton="0" quotePrefix="0" xfId="0"/>
    <xf numFmtId="169" fontId="26" fillId="0" borderId="5" applyAlignment="1" pivotButton="0" quotePrefix="0" xfId="0">
      <alignment horizontal="center" vertical="center" wrapText="1"/>
    </xf>
    <xf numFmtId="164" fontId="4" fillId="3" borderId="1" applyAlignment="1" pivotButton="0" quotePrefix="0" xfId="5">
      <alignment horizontal="center" vertical="center" wrapText="1"/>
    </xf>
    <xf numFmtId="165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5">
      <alignment horizontal="center" vertical="center"/>
    </xf>
    <xf numFmtId="0" fontId="0" fillId="0" borderId="5" pivotButton="0" quotePrefix="0" xfId="0"/>
    <xf numFmtId="164" fontId="4" fillId="0" borderId="1" applyAlignment="1" pivotButton="0" quotePrefix="0" xfId="0">
      <alignment horizontal="center" vertical="center" wrapText="1"/>
    </xf>
    <xf numFmtId="0" fontId="4" fillId="2" borderId="10" applyAlignment="1" pivotButton="0" quotePrefix="0" xfId="0">
      <alignment horizontal="center" vertical="center" wrapText="1"/>
    </xf>
    <xf numFmtId="164" fontId="34" fillId="2" borderId="1" applyAlignment="1" pivotButton="0" quotePrefix="0" xfId="5">
      <alignment horizontal="center" vertical="center"/>
    </xf>
    <xf numFmtId="0" fontId="4" fillId="4" borderId="10" applyAlignment="1" pivotButton="0" quotePrefix="0" xfId="0">
      <alignment horizontal="center" vertical="center" wrapText="1"/>
    </xf>
    <xf numFmtId="164" fontId="19" fillId="0" borderId="0" applyAlignment="1" pivotButton="0" quotePrefix="0" xfId="5">
      <alignment vertical="top"/>
    </xf>
  </cellXfs>
  <cellStyles count="11">
    <cellStyle name="Normal" xfId="0" builtinId="0"/>
    <cellStyle name="Normal 3 2" xfId="1"/>
    <cellStyle name="Normal 2 2" xfId="2"/>
    <cellStyle name="Normal 4" xfId="3"/>
    <cellStyle name="Normal 2 2 2" xfId="4"/>
    <cellStyle name="Comma" xfId="5" builtinId="3"/>
    <cellStyle name="Percent" xfId="6" builtinId="5"/>
    <cellStyle name="Excel Built-in Normal" xfId="7"/>
    <cellStyle name="Comma 5" xfId="8"/>
    <cellStyle name="Normal 3" xfId="9"/>
    <cellStyle name="Normal 2" xf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externalLink" Target="/xl/externalLinks/externalLink1.xml" Id="rId12" /><Relationship Type="http://schemas.openxmlformats.org/officeDocument/2006/relationships/externalLink" Target="/xl/externalLinks/externalLink2.xml" Id="rId13" /><Relationship Type="http://schemas.openxmlformats.org/officeDocument/2006/relationships/externalLink" Target="/xl/externalLinks/externalLink3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i3hp7\Downloads\M&#7851;u%20in%20gi&#7845;y%20b&#225;o%20gi&#225;%20-%2020260410104438.xlsx" TargetMode="External" Id="rId2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C:\CV%20Tu&#7845;n\B&#7870;P%20VC%2025\B&#7842;NG%20CH&#7888;T%20SU&#7844;T%20&#258;N%20H&#7856;NG%20NG&#192;Y%20MA.xlsx" TargetMode="External" Id="rId2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CV%20Tu&#7845;n/C&#225;c%20b&#7871;p%20ph&#7909;%20tr&#225;ch/L59%20NGH&#7878;%20AN/Th&#225;ng%209/&#272;&#416;N%20H&#192;NG%20TH&#193;NG%209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Main"/>
    </sheetNames>
    <sheetDataSet>
      <sheetData sheetId="0">
        <row r="1">
          <cell r="C1"/>
        </row>
        <row r="18">
          <cell r="C18" t="str">
            <v>Xoài xanh 2-3 quả/kg</v>
          </cell>
          <cell r="D18"/>
          <cell r="E18" t="str">
            <v>kg</v>
          </cell>
          <cell r="F18" t="str">
            <v>VND</v>
          </cell>
          <cell r="G18">
            <v>22000</v>
          </cell>
        </row>
        <row r="19">
          <cell r="C19" t="str">
            <v>Táo đỏ gala 4-5 quả/kg</v>
          </cell>
          <cell r="D19"/>
          <cell r="E19" t="str">
            <v>kg</v>
          </cell>
          <cell r="F19" t="str">
            <v>VND</v>
          </cell>
          <cell r="G19">
            <v>150000</v>
          </cell>
        </row>
        <row r="20">
          <cell r="C20" t="str">
            <v>Bưởi bóc vỏ</v>
          </cell>
          <cell r="D20"/>
          <cell r="E20" t="str">
            <v>quả</v>
          </cell>
          <cell r="F20" t="str">
            <v>VND</v>
          </cell>
          <cell r="G20">
            <v>16000</v>
          </cell>
        </row>
        <row r="21">
          <cell r="C21" t="str">
            <v>Mía tím sơ chế</v>
          </cell>
          <cell r="D21"/>
          <cell r="E21" t="str">
            <v>kg</v>
          </cell>
          <cell r="F21" t="str">
            <v>VND</v>
          </cell>
          <cell r="G21">
            <v>20000</v>
          </cell>
        </row>
        <row r="22">
          <cell r="C22" t="str">
            <v>Qủa chanh leo</v>
          </cell>
          <cell r="D22"/>
          <cell r="E22" t="str">
            <v>kg</v>
          </cell>
          <cell r="F22" t="str">
            <v>VND</v>
          </cell>
          <cell r="G22">
            <v>35000</v>
          </cell>
        </row>
        <row r="23">
          <cell r="C23" t="str">
            <v>Qủa Chuối tiêu chín</v>
          </cell>
          <cell r="D23"/>
          <cell r="E23" t="str">
            <v>quả</v>
          </cell>
          <cell r="F23" t="str">
            <v>VND</v>
          </cell>
          <cell r="G23">
            <v>1600</v>
          </cell>
        </row>
        <row r="24">
          <cell r="C24" t="str">
            <v>Quả ổi 3-5 quả/kg</v>
          </cell>
          <cell r="D24"/>
          <cell r="E24" t="str">
            <v>kg</v>
          </cell>
          <cell r="F24" t="str">
            <v>VND</v>
          </cell>
          <cell r="G24">
            <v>18000</v>
          </cell>
        </row>
        <row r="25">
          <cell r="C25" t="str">
            <v>Cam sành 4-6 quả/kg</v>
          </cell>
          <cell r="D25"/>
          <cell r="E25" t="str">
            <v>kg</v>
          </cell>
          <cell r="F25" t="str">
            <v>VND</v>
          </cell>
          <cell r="G25">
            <v>17000</v>
          </cell>
        </row>
        <row r="26">
          <cell r="C26" t="str">
            <v>Qủa Quýt</v>
          </cell>
          <cell r="D26"/>
          <cell r="E26" t="str">
            <v>kg</v>
          </cell>
          <cell r="F26" t="str">
            <v>VND</v>
          </cell>
          <cell r="G26">
            <v>30000</v>
          </cell>
        </row>
        <row r="27">
          <cell r="C27" t="str">
            <v>Bưởi da xanh</v>
          </cell>
          <cell r="D27"/>
          <cell r="E27" t="str">
            <v>kg</v>
          </cell>
          <cell r="F27" t="str">
            <v>VND</v>
          </cell>
          <cell r="G27">
            <v>55000</v>
          </cell>
        </row>
        <row r="28">
          <cell r="C28" t="str">
            <v>Quả Thanh long</v>
          </cell>
          <cell r="D28"/>
          <cell r="E28" t="str">
            <v>kg</v>
          </cell>
          <cell r="F28" t="str">
            <v>VND</v>
          </cell>
          <cell r="G28">
            <v>19000</v>
          </cell>
        </row>
        <row r="29">
          <cell r="C29" t="str">
            <v>Dưa hấu 1,8- 3kg/quả</v>
          </cell>
          <cell r="D29"/>
          <cell r="E29" t="str">
            <v>kg</v>
          </cell>
          <cell r="F29" t="str">
            <v>VND</v>
          </cell>
          <cell r="G29">
            <v>15000</v>
          </cell>
        </row>
        <row r="30">
          <cell r="C30" t="str">
            <v>Bắp cải trắng</v>
          </cell>
          <cell r="D30"/>
          <cell r="E30" t="str">
            <v>kg</v>
          </cell>
          <cell r="F30" t="str">
            <v>VND</v>
          </cell>
          <cell r="G30">
            <v>8500</v>
          </cell>
        </row>
        <row r="31">
          <cell r="C31" t="str">
            <v>Bắp cải tím (kg)</v>
          </cell>
          <cell r="D31"/>
          <cell r="E31" t="str">
            <v>kg</v>
          </cell>
          <cell r="F31" t="str">
            <v>VND</v>
          </cell>
          <cell r="G31">
            <v>21000</v>
          </cell>
        </row>
        <row r="32">
          <cell r="C32" t="str">
            <v>Bầu quả</v>
          </cell>
          <cell r="D32"/>
          <cell r="E32" t="str">
            <v>kg</v>
          </cell>
          <cell r="F32" t="str">
            <v>VND</v>
          </cell>
          <cell r="G32">
            <v>18000</v>
          </cell>
        </row>
        <row r="33">
          <cell r="C33" t="str">
            <v>Bí đỏ dài</v>
          </cell>
          <cell r="D33"/>
          <cell r="E33" t="str">
            <v>kg</v>
          </cell>
          <cell r="F33" t="str">
            <v>VND</v>
          </cell>
          <cell r="G33">
            <v>12000</v>
          </cell>
        </row>
        <row r="34">
          <cell r="C34" t="str">
            <v>Cà pháo</v>
          </cell>
          <cell r="D34"/>
          <cell r="E34" t="str">
            <v>kg</v>
          </cell>
          <cell r="F34" t="str">
            <v>VND</v>
          </cell>
          <cell r="G34">
            <v>21000</v>
          </cell>
        </row>
        <row r="35">
          <cell r="C35" t="str">
            <v>Cà rốt</v>
          </cell>
          <cell r="D35"/>
          <cell r="E35" t="str">
            <v>kg</v>
          </cell>
          <cell r="F35" t="str">
            <v>VND</v>
          </cell>
          <cell r="G35">
            <v>13000</v>
          </cell>
        </row>
        <row r="36">
          <cell r="C36" t="str">
            <v>Ngô ngọt tách hạt</v>
          </cell>
          <cell r="D36"/>
          <cell r="E36" t="str">
            <v>kg</v>
          </cell>
          <cell r="F36" t="str">
            <v>VND</v>
          </cell>
          <cell r="G36">
            <v>42000</v>
          </cell>
        </row>
        <row r="37">
          <cell r="C37" t="str">
            <v>Cà tím dài</v>
          </cell>
          <cell r="D37"/>
          <cell r="E37" t="str">
            <v>kg</v>
          </cell>
          <cell r="F37" t="str">
            <v>VND</v>
          </cell>
          <cell r="G37">
            <v>15000</v>
          </cell>
        </row>
        <row r="38">
          <cell r="C38" t="str">
            <v>Cải bẹ</v>
          </cell>
          <cell r="D38"/>
          <cell r="E38" t="str">
            <v>kg</v>
          </cell>
          <cell r="F38" t="str">
            <v>VND</v>
          </cell>
          <cell r="G38">
            <v>11000</v>
          </cell>
        </row>
        <row r="39">
          <cell r="C39" t="str">
            <v>Cải chíp</v>
          </cell>
          <cell r="D39"/>
          <cell r="E39" t="str">
            <v>kg</v>
          </cell>
          <cell r="F39" t="str">
            <v>VND</v>
          </cell>
          <cell r="G39">
            <v>10500</v>
          </cell>
        </row>
        <row r="40">
          <cell r="C40" t="str">
            <v>Cải ngồng</v>
          </cell>
          <cell r="D40"/>
          <cell r="E40" t="str">
            <v>kg</v>
          </cell>
          <cell r="F40" t="str">
            <v>VND</v>
          </cell>
          <cell r="G40">
            <v>12000</v>
          </cell>
        </row>
        <row r="41">
          <cell r="C41" t="str">
            <v>Cải thảo</v>
          </cell>
          <cell r="D41"/>
          <cell r="E41" t="str">
            <v>kg</v>
          </cell>
          <cell r="F41" t="str">
            <v>VND</v>
          </cell>
          <cell r="G41">
            <v>10000</v>
          </cell>
        </row>
        <row r="42">
          <cell r="C42" t="str">
            <v>Giềng củ</v>
          </cell>
          <cell r="D42"/>
          <cell r="E42" t="str">
            <v>kg</v>
          </cell>
          <cell r="F42" t="str">
            <v>VND</v>
          </cell>
          <cell r="G42">
            <v>21000</v>
          </cell>
        </row>
        <row r="43">
          <cell r="C43" t="str">
            <v>Cải xanh cắt gốc (kg)</v>
          </cell>
          <cell r="D43"/>
          <cell r="E43" t="str">
            <v>kg</v>
          </cell>
          <cell r="F43" t="str">
            <v>VND</v>
          </cell>
          <cell r="G43">
            <v>21000</v>
          </cell>
        </row>
        <row r="44">
          <cell r="C44" t="str">
            <v>Cần tây</v>
          </cell>
          <cell r="D44"/>
          <cell r="E44" t="str">
            <v>kg</v>
          </cell>
          <cell r="F44" t="str">
            <v>VND</v>
          </cell>
          <cell r="G44">
            <v>28000</v>
          </cell>
        </row>
        <row r="45">
          <cell r="C45" t="str">
            <v>Củ cải</v>
          </cell>
          <cell r="D45"/>
          <cell r="E45" t="str">
            <v>kg</v>
          </cell>
          <cell r="F45" t="str">
            <v>VND</v>
          </cell>
          <cell r="G45">
            <v>9000</v>
          </cell>
        </row>
        <row r="46">
          <cell r="C46" t="str">
            <v>Cùi dừa</v>
          </cell>
          <cell r="D46"/>
          <cell r="E46" t="str">
            <v>kg</v>
          </cell>
          <cell r="F46" t="str">
            <v>VND</v>
          </cell>
          <cell r="G46">
            <v>70000</v>
          </cell>
        </row>
        <row r="47">
          <cell r="C47" t="str">
            <v>Cùi dừa nạo sợi</v>
          </cell>
          <cell r="D47"/>
          <cell r="E47" t="str">
            <v>kg</v>
          </cell>
          <cell r="F47" t="str">
            <v>VND</v>
          </cell>
          <cell r="G47">
            <v>70000</v>
          </cell>
        </row>
        <row r="48">
          <cell r="C48" t="str">
            <v>Chanh quả</v>
          </cell>
          <cell r="D48"/>
          <cell r="E48" t="str">
            <v>kg</v>
          </cell>
          <cell r="F48" t="str">
            <v>VND</v>
          </cell>
          <cell r="G48">
            <v>55000</v>
          </cell>
        </row>
        <row r="49">
          <cell r="C49" t="str">
            <v>Chuối xanh</v>
          </cell>
          <cell r="D49"/>
          <cell r="E49" t="str">
            <v>kg</v>
          </cell>
          <cell r="F49" t="str">
            <v>VND</v>
          </cell>
          <cell r="G49">
            <v>11500</v>
          </cell>
        </row>
        <row r="50">
          <cell r="C50" t="str">
            <v>Cải ngọt cắt gốc</v>
          </cell>
          <cell r="D50"/>
          <cell r="E50" t="str">
            <v>kg</v>
          </cell>
          <cell r="F50" t="str">
            <v>VND</v>
          </cell>
          <cell r="G50">
            <v>11000</v>
          </cell>
        </row>
        <row r="51">
          <cell r="C51" t="str">
            <v>Dứa chín sơ chế (kg)</v>
          </cell>
          <cell r="D51"/>
          <cell r="E51" t="str">
            <v>kg</v>
          </cell>
          <cell r="F51" t="str">
            <v>VND</v>
          </cell>
          <cell r="G51">
            <v>39000</v>
          </cell>
        </row>
        <row r="52">
          <cell r="C52" t="str">
            <v>Dưa chuột</v>
          </cell>
          <cell r="D52"/>
          <cell r="E52" t="str">
            <v>kg</v>
          </cell>
          <cell r="F52" t="str">
            <v>VND</v>
          </cell>
          <cell r="G52">
            <v>17000</v>
          </cell>
        </row>
        <row r="53">
          <cell r="C53" t="str">
            <v>Chuối xanh sơ chế</v>
          </cell>
          <cell r="D53"/>
          <cell r="E53" t="str">
            <v>kg</v>
          </cell>
          <cell r="F53" t="str">
            <v>VND</v>
          </cell>
          <cell r="G53">
            <v>19000</v>
          </cell>
        </row>
        <row r="54">
          <cell r="C54" t="str">
            <v>Đậu cô ve</v>
          </cell>
          <cell r="D54"/>
          <cell r="E54" t="str">
            <v>kg</v>
          </cell>
          <cell r="F54" t="str">
            <v>VND</v>
          </cell>
          <cell r="G54">
            <v>22000</v>
          </cell>
        </row>
        <row r="55">
          <cell r="C55" t="str">
            <v>Đu đủ</v>
          </cell>
          <cell r="D55"/>
          <cell r="E55" t="str">
            <v>kg</v>
          </cell>
          <cell r="F55" t="str">
            <v>VND</v>
          </cell>
          <cell r="G55">
            <v>12000</v>
          </cell>
        </row>
        <row r="56">
          <cell r="C56" t="str">
            <v>Gừng củ</v>
          </cell>
          <cell r="D56"/>
          <cell r="E56" t="str">
            <v>kg</v>
          </cell>
          <cell r="F56" t="str">
            <v>VND</v>
          </cell>
          <cell r="G56">
            <v>24000</v>
          </cell>
        </row>
        <row r="57">
          <cell r="C57" t="str">
            <v>Giá đỗ</v>
          </cell>
          <cell r="D57"/>
          <cell r="E57" t="str">
            <v>kg</v>
          </cell>
          <cell r="F57" t="str">
            <v>VND</v>
          </cell>
          <cell r="G57">
            <v>10000</v>
          </cell>
        </row>
        <row r="58">
          <cell r="C58" t="str">
            <v>Giềng xay</v>
          </cell>
          <cell r="D58"/>
          <cell r="E58" t="str">
            <v>kg</v>
          </cell>
          <cell r="F58" t="str">
            <v>VND</v>
          </cell>
          <cell r="G58">
            <v>16000</v>
          </cell>
        </row>
        <row r="59">
          <cell r="C59" t="str">
            <v>Hành lá</v>
          </cell>
          <cell r="D59"/>
          <cell r="E59" t="str">
            <v>kg</v>
          </cell>
          <cell r="F59" t="str">
            <v>VND</v>
          </cell>
          <cell r="G59">
            <v>25000</v>
          </cell>
        </row>
        <row r="60">
          <cell r="C60" t="str">
            <v>Hành tây</v>
          </cell>
          <cell r="D60"/>
          <cell r="E60" t="str">
            <v>kg</v>
          </cell>
          <cell r="F60" t="str">
            <v>VND</v>
          </cell>
          <cell r="G60">
            <v>9500</v>
          </cell>
        </row>
        <row r="61">
          <cell r="C61" t="str">
            <v>Hoa chuối thái sợi</v>
          </cell>
          <cell r="D61"/>
          <cell r="E61" t="str">
            <v>kg</v>
          </cell>
          <cell r="F61" t="str">
            <v>VND</v>
          </cell>
          <cell r="G61">
            <v>41000</v>
          </cell>
        </row>
        <row r="62">
          <cell r="C62" t="str">
            <v>Kinh giới (kg)</v>
          </cell>
          <cell r="D62"/>
          <cell r="E62" t="str">
            <v>kg</v>
          </cell>
          <cell r="F62" t="str">
            <v>VND</v>
          </cell>
          <cell r="G62">
            <v>25000</v>
          </cell>
        </row>
        <row r="63">
          <cell r="C63" t="str">
            <v>Khoai môn</v>
          </cell>
          <cell r="D63"/>
          <cell r="E63" t="str">
            <v>kg</v>
          </cell>
          <cell r="F63" t="str">
            <v>VND</v>
          </cell>
          <cell r="G63">
            <v>19000</v>
          </cell>
        </row>
        <row r="64">
          <cell r="C64" t="str">
            <v>Khoai tây</v>
          </cell>
          <cell r="D64"/>
          <cell r="E64" t="str">
            <v>kg</v>
          </cell>
          <cell r="F64" t="str">
            <v>VND</v>
          </cell>
          <cell r="G64">
            <v>13000</v>
          </cell>
        </row>
        <row r="65">
          <cell r="C65" t="str">
            <v>Lá chanh (kg)</v>
          </cell>
          <cell r="D65"/>
          <cell r="E65" t="str">
            <v>kg</v>
          </cell>
          <cell r="F65" t="str">
            <v>VND</v>
          </cell>
          <cell r="G65">
            <v>100000</v>
          </cell>
        </row>
        <row r="66">
          <cell r="C66" t="str">
            <v>Lá lốt không cành kg</v>
          </cell>
          <cell r="D66"/>
          <cell r="E66" t="str">
            <v>kg</v>
          </cell>
          <cell r="F66" t="str">
            <v>VND</v>
          </cell>
          <cell r="G66">
            <v>60000</v>
          </cell>
        </row>
        <row r="67">
          <cell r="C67" t="str">
            <v>Lá mắc mật (kg)</v>
          </cell>
          <cell r="D67"/>
          <cell r="E67" t="str">
            <v>kg</v>
          </cell>
          <cell r="F67" t="str">
            <v>VND</v>
          </cell>
          <cell r="G67">
            <v>26000</v>
          </cell>
        </row>
        <row r="68">
          <cell r="C68" t="str">
            <v>Măng củ</v>
          </cell>
          <cell r="D68"/>
          <cell r="E68" t="str">
            <v>kg</v>
          </cell>
          <cell r="F68" t="str">
            <v>VND</v>
          </cell>
          <cell r="G68">
            <v>31000</v>
          </cell>
        </row>
        <row r="69">
          <cell r="C69" t="str">
            <v>Măng lá</v>
          </cell>
          <cell r="D69"/>
          <cell r="E69" t="str">
            <v>kg</v>
          </cell>
          <cell r="F69" t="str">
            <v>VND</v>
          </cell>
          <cell r="G69">
            <v>31000</v>
          </cell>
        </row>
        <row r="70">
          <cell r="C70" t="str">
            <v>Mướp đắng</v>
          </cell>
          <cell r="D70"/>
          <cell r="E70" t="str">
            <v>kg</v>
          </cell>
          <cell r="F70" t="str">
            <v>VND</v>
          </cell>
          <cell r="G70">
            <v>24000</v>
          </cell>
        </row>
        <row r="71">
          <cell r="C71" t="str">
            <v>Ngô ngọt (bắp)</v>
          </cell>
          <cell r="D71"/>
          <cell r="E71" t="str">
            <v>Bắp</v>
          </cell>
          <cell r="F71" t="str">
            <v>VND</v>
          </cell>
          <cell r="G71">
            <v>10000</v>
          </cell>
        </row>
        <row r="72">
          <cell r="C72" t="str">
            <v>Nấm hương tươi</v>
          </cell>
          <cell r="D72"/>
          <cell r="E72" t="str">
            <v>kg</v>
          </cell>
          <cell r="F72" t="str">
            <v>VND</v>
          </cell>
          <cell r="G72">
            <v>135000</v>
          </cell>
        </row>
        <row r="73">
          <cell r="C73" t="str">
            <v>Ngải cứu (kg)</v>
          </cell>
          <cell r="D73"/>
          <cell r="E73" t="str">
            <v>kg</v>
          </cell>
          <cell r="F73" t="str">
            <v>VND</v>
          </cell>
          <cell r="G73">
            <v>28000</v>
          </cell>
        </row>
        <row r="74">
          <cell r="C74" t="str">
            <v>Nghệ củ</v>
          </cell>
          <cell r="D74"/>
          <cell r="E74" t="str">
            <v>kg</v>
          </cell>
          <cell r="F74" t="str">
            <v>VND</v>
          </cell>
          <cell r="G74">
            <v>32000</v>
          </cell>
        </row>
        <row r="75">
          <cell r="C75" t="str">
            <v>Ngô bao tử</v>
          </cell>
          <cell r="D75"/>
          <cell r="E75" t="str">
            <v>kg</v>
          </cell>
          <cell r="F75" t="str">
            <v>VND</v>
          </cell>
          <cell r="G75">
            <v>78000</v>
          </cell>
        </row>
        <row r="76">
          <cell r="C76" t="str">
            <v>Ớt cay</v>
          </cell>
          <cell r="D76"/>
          <cell r="E76" t="str">
            <v>kg</v>
          </cell>
          <cell r="F76" t="str">
            <v>VND</v>
          </cell>
          <cell r="G76">
            <v>35000</v>
          </cell>
        </row>
        <row r="77">
          <cell r="C77" t="str">
            <v>ớt chuông</v>
          </cell>
          <cell r="D77"/>
          <cell r="E77" t="str">
            <v>kg</v>
          </cell>
          <cell r="F77" t="str">
            <v>VND</v>
          </cell>
          <cell r="G77">
            <v>40000</v>
          </cell>
        </row>
        <row r="78">
          <cell r="C78" t="str">
            <v>ớt sừng xanh</v>
          </cell>
          <cell r="D78"/>
          <cell r="E78" t="str">
            <v>kg</v>
          </cell>
          <cell r="F78" t="str">
            <v>VND</v>
          </cell>
          <cell r="G78">
            <v>40000</v>
          </cell>
        </row>
        <row r="79">
          <cell r="C79" t="str">
            <v>Rau mồng tơi</v>
          </cell>
          <cell r="D79"/>
          <cell r="E79" t="str">
            <v>kg</v>
          </cell>
          <cell r="F79" t="str">
            <v>VND</v>
          </cell>
          <cell r="G79">
            <v>20000</v>
          </cell>
        </row>
        <row r="80">
          <cell r="C80" t="str">
            <v>Rau mùi ta</v>
          </cell>
          <cell r="D80"/>
          <cell r="E80" t="str">
            <v>kg</v>
          </cell>
          <cell r="F80" t="str">
            <v>VND</v>
          </cell>
          <cell r="G80">
            <v>30000</v>
          </cell>
        </row>
        <row r="81">
          <cell r="C81" t="str">
            <v>Rau mùi tàu</v>
          </cell>
          <cell r="D81"/>
          <cell r="E81" t="str">
            <v>kg</v>
          </cell>
          <cell r="F81" t="str">
            <v>VND</v>
          </cell>
          <cell r="G81">
            <v>34000</v>
          </cell>
        </row>
        <row r="82">
          <cell r="C82" t="str">
            <v>Rau muống cắt gốc</v>
          </cell>
          <cell r="D82"/>
          <cell r="E82" t="str">
            <v>kg</v>
          </cell>
          <cell r="F82" t="str">
            <v>VND</v>
          </cell>
          <cell r="G82">
            <v>15000</v>
          </cell>
        </row>
        <row r="83">
          <cell r="C83" t="str">
            <v>Rau ngổ</v>
          </cell>
          <cell r="D83"/>
          <cell r="E83" t="str">
            <v>kg</v>
          </cell>
          <cell r="F83" t="str">
            <v>VND</v>
          </cell>
          <cell r="G83">
            <v>27000</v>
          </cell>
        </row>
        <row r="84">
          <cell r="C84" t="str">
            <v>Rau răm</v>
          </cell>
          <cell r="D84"/>
          <cell r="E84" t="str">
            <v>kg</v>
          </cell>
          <cell r="F84" t="str">
            <v>VND</v>
          </cell>
          <cell r="G84">
            <v>27000</v>
          </cell>
        </row>
        <row r="85">
          <cell r="C85" t="str">
            <v>Rau xà lách</v>
          </cell>
          <cell r="D85"/>
          <cell r="E85" t="str">
            <v>kg</v>
          </cell>
          <cell r="F85" t="str">
            <v>VND</v>
          </cell>
          <cell r="G85">
            <v>15000</v>
          </cell>
        </row>
        <row r="86">
          <cell r="C86" t="str">
            <v>Rau ngót</v>
          </cell>
          <cell r="D86"/>
          <cell r="E86" t="str">
            <v>kg</v>
          </cell>
          <cell r="F86" t="str">
            <v>VND</v>
          </cell>
          <cell r="G86">
            <v>41000</v>
          </cell>
        </row>
        <row r="87">
          <cell r="C87" t="str">
            <v>Su su</v>
          </cell>
          <cell r="D87"/>
          <cell r="E87" t="str">
            <v>kg</v>
          </cell>
          <cell r="F87" t="str">
            <v>VND</v>
          </cell>
          <cell r="G87">
            <v>9000</v>
          </cell>
        </row>
        <row r="88">
          <cell r="C88" t="str">
            <v>Súp lơ trắng</v>
          </cell>
          <cell r="D88"/>
          <cell r="E88" t="str">
            <v>kg</v>
          </cell>
          <cell r="F88" t="str">
            <v>VND</v>
          </cell>
          <cell r="G88">
            <v>28000</v>
          </cell>
        </row>
        <row r="89">
          <cell r="C89" t="str">
            <v>Súp lơ xanh</v>
          </cell>
          <cell r="D89"/>
          <cell r="E89" t="str">
            <v>kg</v>
          </cell>
          <cell r="F89" t="str">
            <v>VND</v>
          </cell>
          <cell r="G89">
            <v>30000</v>
          </cell>
        </row>
        <row r="90">
          <cell r="C90" t="str">
            <v>Tía tô</v>
          </cell>
          <cell r="D90"/>
          <cell r="E90" t="str">
            <v>kg</v>
          </cell>
          <cell r="F90" t="str">
            <v>VND</v>
          </cell>
          <cell r="G90">
            <v>20000</v>
          </cell>
        </row>
        <row r="91">
          <cell r="C91" t="str">
            <v>Tỏi khô</v>
          </cell>
          <cell r="D91"/>
          <cell r="E91" t="str">
            <v>kg</v>
          </cell>
          <cell r="F91" t="str">
            <v>VND</v>
          </cell>
          <cell r="G91">
            <v>36000</v>
          </cell>
        </row>
        <row r="92">
          <cell r="C92" t="str">
            <v>Tỏi khô bóc</v>
          </cell>
          <cell r="D92"/>
          <cell r="E92" t="str">
            <v>kg</v>
          </cell>
          <cell r="F92" t="str">
            <v>VND</v>
          </cell>
          <cell r="G92">
            <v>45000</v>
          </cell>
        </row>
        <row r="93">
          <cell r="C93" t="str">
            <v>Thì là</v>
          </cell>
          <cell r="D93"/>
          <cell r="E93" t="str">
            <v>kg</v>
          </cell>
          <cell r="F93" t="str">
            <v>VND</v>
          </cell>
          <cell r="G93">
            <v>35000</v>
          </cell>
        </row>
        <row r="94">
          <cell r="C94" t="str">
            <v>Sả củ</v>
          </cell>
          <cell r="D94"/>
          <cell r="E94" t="str">
            <v>kg</v>
          </cell>
          <cell r="F94" t="str">
            <v>VND</v>
          </cell>
          <cell r="G94">
            <v>19000</v>
          </cell>
        </row>
        <row r="95">
          <cell r="C95" t="str">
            <v>Nấm đùi gà</v>
          </cell>
          <cell r="D95"/>
          <cell r="E95" t="str">
            <v>kg</v>
          </cell>
          <cell r="F95" t="str">
            <v>VND</v>
          </cell>
          <cell r="G95">
            <v>40000</v>
          </cell>
        </row>
        <row r="96">
          <cell r="C96" t="str">
            <v>Măng tây</v>
          </cell>
          <cell r="D96"/>
          <cell r="E96" t="str">
            <v>kg</v>
          </cell>
          <cell r="F96" t="str">
            <v>VND</v>
          </cell>
          <cell r="G96">
            <v>130000</v>
          </cell>
        </row>
        <row r="97">
          <cell r="C97" t="str">
            <v>Rau xà lách xoăn</v>
          </cell>
          <cell r="D97"/>
          <cell r="E97" t="str">
            <v>kg</v>
          </cell>
          <cell r="F97" t="str">
            <v>VND</v>
          </cell>
          <cell r="G97">
            <v>20000</v>
          </cell>
        </row>
        <row r="98">
          <cell r="C98" t="str">
            <v>ớt sừng đỏ</v>
          </cell>
          <cell r="D98"/>
          <cell r="E98" t="str">
            <v>kg</v>
          </cell>
          <cell r="F98" t="str">
            <v>VND</v>
          </cell>
          <cell r="G98">
            <v>45000</v>
          </cell>
        </row>
        <row r="99">
          <cell r="C99" t="str">
            <v>Bí đỏ dài gọt vỏ</v>
          </cell>
          <cell r="D99"/>
          <cell r="E99" t="str">
            <v>kg</v>
          </cell>
          <cell r="F99" t="str">
            <v>VND</v>
          </cell>
          <cell r="G99">
            <v>19000</v>
          </cell>
        </row>
        <row r="100">
          <cell r="C100" t="str">
            <v>Bí xanh dài</v>
          </cell>
          <cell r="D100"/>
          <cell r="E100" t="str">
            <v>kg</v>
          </cell>
          <cell r="F100" t="str">
            <v>VND</v>
          </cell>
          <cell r="G100">
            <v>13000</v>
          </cell>
        </row>
        <row r="101">
          <cell r="C101" t="str">
            <v>Cà chua to</v>
          </cell>
          <cell r="D101"/>
          <cell r="E101" t="str">
            <v>kg</v>
          </cell>
          <cell r="F101" t="str">
            <v>VND</v>
          </cell>
          <cell r="G101">
            <v>14000</v>
          </cell>
        </row>
        <row r="102">
          <cell r="C102" t="str">
            <v>Củ đậu 3-5 củ/kg</v>
          </cell>
          <cell r="D102"/>
          <cell r="E102" t="str">
            <v>kg</v>
          </cell>
          <cell r="F102" t="str">
            <v>VND</v>
          </cell>
          <cell r="G102">
            <v>13000</v>
          </cell>
        </row>
        <row r="103">
          <cell r="C103" t="str">
            <v>Đậu phụ kg</v>
          </cell>
          <cell r="D103"/>
          <cell r="E103" t="str">
            <v>kg</v>
          </cell>
          <cell r="F103" t="str">
            <v>VND</v>
          </cell>
          <cell r="G103">
            <v>19500</v>
          </cell>
        </row>
        <row r="104">
          <cell r="C104" t="str">
            <v>Hành khô</v>
          </cell>
          <cell r="D104"/>
          <cell r="E104" t="str">
            <v>kg</v>
          </cell>
          <cell r="F104" t="str">
            <v>VND</v>
          </cell>
          <cell r="G104">
            <v>22000</v>
          </cell>
        </row>
        <row r="105">
          <cell r="C105" t="str">
            <v>Hành khô  bóc vỏ</v>
          </cell>
          <cell r="D105"/>
          <cell r="E105" t="str">
            <v>kg</v>
          </cell>
          <cell r="F105" t="str">
            <v>VND</v>
          </cell>
          <cell r="G105">
            <v>27000</v>
          </cell>
        </row>
        <row r="106">
          <cell r="C106" t="str">
            <v>Quả quất</v>
          </cell>
          <cell r="D106"/>
          <cell r="E106" t="str">
            <v>kg</v>
          </cell>
          <cell r="F106" t="str">
            <v>VND</v>
          </cell>
          <cell r="G106">
            <v>30000</v>
          </cell>
        </row>
        <row r="107">
          <cell r="C107" t="str">
            <v>Dọc mồng</v>
          </cell>
          <cell r="D107"/>
          <cell r="E107" t="str">
            <v>kg</v>
          </cell>
          <cell r="F107" t="str">
            <v>VND</v>
          </cell>
          <cell r="G107">
            <v>30000</v>
          </cell>
        </row>
        <row r="108">
          <cell r="C108" t="str">
            <v>Tiêu xanh</v>
          </cell>
          <cell r="D108"/>
          <cell r="E108" t="str">
            <v>kg</v>
          </cell>
          <cell r="F108" t="str">
            <v>VND</v>
          </cell>
          <cell r="G108">
            <v>140000</v>
          </cell>
        </row>
        <row r="109">
          <cell r="C109" t="str">
            <v>Nấm hải sản</v>
          </cell>
          <cell r="D109"/>
          <cell r="E109" t="str">
            <v>kg</v>
          </cell>
          <cell r="F109" t="str">
            <v>VND</v>
          </cell>
          <cell r="G109">
            <v>65000</v>
          </cell>
        </row>
        <row r="110">
          <cell r="C110" t="str">
            <v>Cà chua nhỏ</v>
          </cell>
          <cell r="D110"/>
          <cell r="E110" t="str">
            <v>kg</v>
          </cell>
          <cell r="F110" t="str">
            <v>VND</v>
          </cell>
          <cell r="G110">
            <v>13000</v>
          </cell>
        </row>
        <row r="111">
          <cell r="C111" t="str">
            <v>Me khô</v>
          </cell>
          <cell r="D111"/>
          <cell r="E111" t="str">
            <v>kg</v>
          </cell>
          <cell r="F111" t="str">
            <v>VND</v>
          </cell>
          <cell r="G111">
            <v>36000</v>
          </cell>
        </row>
        <row r="112">
          <cell r="C112" t="str">
            <v>nấm kim</v>
          </cell>
          <cell r="D112"/>
          <cell r="E112" t="str">
            <v>Gói</v>
          </cell>
          <cell r="F112" t="str">
            <v>VND</v>
          </cell>
          <cell r="G112">
            <v>8500</v>
          </cell>
        </row>
        <row r="113">
          <cell r="C113" t="str">
            <v>Húng bạc hà</v>
          </cell>
          <cell r="D113"/>
          <cell r="E113" t="str">
            <v>kg</v>
          </cell>
          <cell r="F113" t="str">
            <v>VND</v>
          </cell>
          <cell r="G113">
            <v>30000</v>
          </cell>
        </row>
        <row r="114">
          <cell r="C114" t="str">
            <v>Măng trúc Phú vinh 400g/gói</v>
          </cell>
          <cell r="D114"/>
          <cell r="E114" t="str">
            <v>Gói</v>
          </cell>
          <cell r="F114" t="str">
            <v>VND</v>
          </cell>
          <cell r="G114">
            <v>24000</v>
          </cell>
        </row>
        <row r="115">
          <cell r="C115" t="str">
            <v>Bí Ngồi</v>
          </cell>
          <cell r="D115"/>
          <cell r="E115" t="str">
            <v>kg</v>
          </cell>
          <cell r="F115" t="str">
            <v>VND</v>
          </cell>
          <cell r="G115">
            <v>23000</v>
          </cell>
        </row>
        <row r="116">
          <cell r="C116" t="str">
            <v>Dưa cải bẹ muối</v>
          </cell>
          <cell r="D116"/>
          <cell r="E116" t="str">
            <v>kg</v>
          </cell>
          <cell r="F116" t="str">
            <v>VND</v>
          </cell>
          <cell r="G116">
            <v>19000</v>
          </cell>
        </row>
        <row r="117">
          <cell r="C117" t="str">
            <v>Lá lồm</v>
          </cell>
          <cell r="D117"/>
          <cell r="E117" t="str">
            <v>kg</v>
          </cell>
          <cell r="F117" t="str">
            <v>VND</v>
          </cell>
          <cell r="G117">
            <v>80000</v>
          </cell>
        </row>
        <row r="118">
          <cell r="C118" t="str">
            <v>Dứa xanh sơ chế (kg)</v>
          </cell>
          <cell r="D118"/>
          <cell r="E118" t="str">
            <v>kg</v>
          </cell>
          <cell r="F118" t="str">
            <v>VND</v>
          </cell>
          <cell r="G118">
            <v>39000</v>
          </cell>
        </row>
        <row r="119">
          <cell r="C119" t="str">
            <v>Tỏi tây</v>
          </cell>
          <cell r="D119"/>
          <cell r="E119" t="str">
            <v>kg</v>
          </cell>
          <cell r="F119" t="str">
            <v>VND</v>
          </cell>
          <cell r="G119">
            <v>35000</v>
          </cell>
        </row>
        <row r="120">
          <cell r="C120" t="str">
            <v>Cà chua bi</v>
          </cell>
          <cell r="D120"/>
          <cell r="E120" t="str">
            <v>kg</v>
          </cell>
          <cell r="F120" t="str">
            <v>VND</v>
          </cell>
          <cell r="G120">
            <v>30000</v>
          </cell>
        </row>
        <row r="121">
          <cell r="C121" t="str">
            <v>Su hào</v>
          </cell>
          <cell r="D121"/>
          <cell r="E121" t="str">
            <v>kg</v>
          </cell>
          <cell r="F121" t="str">
            <v>VND</v>
          </cell>
          <cell r="G121">
            <v>10000</v>
          </cell>
        </row>
        <row r="122">
          <cell r="C122" t="str">
            <v>Lặc lè</v>
          </cell>
          <cell r="D122"/>
          <cell r="E122" t="str">
            <v>kg</v>
          </cell>
          <cell r="F122" t="str">
            <v>VND</v>
          </cell>
          <cell r="G122">
            <v>40000</v>
          </cell>
        </row>
        <row r="123">
          <cell r="C123" t="str">
            <v>Cải cúc kg</v>
          </cell>
          <cell r="D123"/>
          <cell r="E123" t="str">
            <v>kg</v>
          </cell>
          <cell r="F123" t="str">
            <v>VND</v>
          </cell>
          <cell r="G123">
            <v>25000</v>
          </cell>
        </row>
        <row r="124">
          <cell r="C124" t="str">
            <v>Măng lá 15-16 cái/kg</v>
          </cell>
          <cell r="D124"/>
          <cell r="E124" t="str">
            <v>kg</v>
          </cell>
          <cell r="F124" t="str">
            <v>VND</v>
          </cell>
          <cell r="G124">
            <v>31000</v>
          </cell>
        </row>
        <row r="125">
          <cell r="C125" t="str">
            <v>Dứa quả xanh (kg)</v>
          </cell>
          <cell r="D125"/>
          <cell r="E125" t="str">
            <v>kg</v>
          </cell>
          <cell r="F125" t="str">
            <v>VND</v>
          </cell>
          <cell r="G125">
            <v>23000</v>
          </cell>
        </row>
        <row r="126">
          <cell r="C126" t="str">
            <v>Su su sơ chế</v>
          </cell>
          <cell r="D126"/>
          <cell r="E126" t="str">
            <v>kg</v>
          </cell>
          <cell r="F126" t="str">
            <v>VND</v>
          </cell>
          <cell r="G126">
            <v>13500</v>
          </cell>
        </row>
        <row r="127">
          <cell r="C127" t="str">
            <v>Khoai lang ruột vàng</v>
          </cell>
          <cell r="D127"/>
          <cell r="E127" t="str">
            <v>kg</v>
          </cell>
          <cell r="F127" t="str">
            <v>VND</v>
          </cell>
          <cell r="G127">
            <v>30000</v>
          </cell>
        </row>
        <row r="128">
          <cell r="C128" t="str">
            <v>Khoai tây sơ chế</v>
          </cell>
          <cell r="D128"/>
          <cell r="E128" t="str">
            <v>kg</v>
          </cell>
          <cell r="F128" t="str">
            <v>VND</v>
          </cell>
          <cell r="G128">
            <v>16500</v>
          </cell>
        </row>
        <row r="129">
          <cell r="C129" t="str">
            <v>Củ sen</v>
          </cell>
          <cell r="D129"/>
          <cell r="E129" t="str">
            <v>kg</v>
          </cell>
          <cell r="F129" t="str">
            <v>VND</v>
          </cell>
          <cell r="G129">
            <v>60000</v>
          </cell>
        </row>
        <row r="130">
          <cell r="C130" t="str">
            <v>Ngọn su su (kg)</v>
          </cell>
          <cell r="D130"/>
          <cell r="E130" t="str">
            <v>kg</v>
          </cell>
          <cell r="F130" t="str">
            <v>VND</v>
          </cell>
          <cell r="G130">
            <v>27000</v>
          </cell>
        </row>
        <row r="131">
          <cell r="C131" t="str">
            <v>Trứng cút bóc vỏ</v>
          </cell>
          <cell r="D131"/>
          <cell r="E131" t="str">
            <v>quả</v>
          </cell>
          <cell r="F131" t="str">
            <v>VND</v>
          </cell>
          <cell r="G131">
            <v>850</v>
          </cell>
        </row>
        <row r="132">
          <cell r="C132" t="str">
            <v>Trứng vịt lộn</v>
          </cell>
          <cell r="D132"/>
          <cell r="E132" t="str">
            <v>quả</v>
          </cell>
          <cell r="F132" t="str">
            <v>VND</v>
          </cell>
          <cell r="G132">
            <v>4600</v>
          </cell>
        </row>
        <row r="133">
          <cell r="C133" t="str">
            <v>Trứng gà CN 1,9-2.1kg/khay</v>
          </cell>
          <cell r="D133"/>
          <cell r="E133" t="str">
            <v>quả</v>
          </cell>
          <cell r="F133" t="str">
            <v>VND</v>
          </cell>
          <cell r="G133">
            <v>2600</v>
          </cell>
        </row>
        <row r="134">
          <cell r="C134" t="str">
            <v>Trứng vịt 1.9-2kg/khay</v>
          </cell>
          <cell r="D134"/>
          <cell r="E134" t="str">
            <v>quả</v>
          </cell>
          <cell r="F134" t="str">
            <v>VND</v>
          </cell>
          <cell r="G134">
            <v>3500</v>
          </cell>
        </row>
        <row r="135">
          <cell r="C135" t="str">
            <v>Bún.</v>
          </cell>
          <cell r="D135"/>
          <cell r="E135" t="str">
            <v>kg</v>
          </cell>
          <cell r="F135" t="str">
            <v>VND</v>
          </cell>
          <cell r="G135">
            <v>11500</v>
          </cell>
        </row>
        <row r="136">
          <cell r="C136" t="str">
            <v>Phở tươi</v>
          </cell>
          <cell r="D136"/>
          <cell r="E136" t="str">
            <v>kg</v>
          </cell>
          <cell r="F136" t="str">
            <v>VND</v>
          </cell>
          <cell r="G136">
            <v>12500</v>
          </cell>
        </row>
        <row r="137">
          <cell r="C137" t="str">
            <v>Bún tươi sợi to</v>
          </cell>
          <cell r="D137"/>
          <cell r="E137" t="str">
            <v>kg</v>
          </cell>
          <cell r="F137" t="str">
            <v>VND</v>
          </cell>
          <cell r="G137">
            <v>12000</v>
          </cell>
        </row>
        <row r="138">
          <cell r="C138" t="str">
            <v>Quẩy</v>
          </cell>
          <cell r="D138"/>
          <cell r="E138" t="str">
            <v>Cái</v>
          </cell>
          <cell r="F138" t="str">
            <v>VND</v>
          </cell>
          <cell r="G138">
            <v>950</v>
          </cell>
        </row>
        <row r="139">
          <cell r="C139" t="str">
            <v>Thịt vịt sơ chế bỏ đầu, cổ cánh 2-2.5kg/con.</v>
          </cell>
          <cell r="D139"/>
          <cell r="E139" t="str">
            <v>kg</v>
          </cell>
          <cell r="F139" t="str">
            <v>VND</v>
          </cell>
          <cell r="G139">
            <v>85000</v>
          </cell>
        </row>
        <row r="140">
          <cell r="C140" t="str">
            <v>Thịt gà CN không đầu, cổ cánh &gt;1.8kg/con</v>
          </cell>
          <cell r="D140"/>
          <cell r="E140" t="str">
            <v>kg</v>
          </cell>
          <cell r="F140" t="str">
            <v>VND</v>
          </cell>
          <cell r="G140">
            <v>68000</v>
          </cell>
        </row>
        <row r="141">
          <cell r="C141" t="str">
            <v>Ức gà không xương</v>
          </cell>
          <cell r="D141"/>
          <cell r="E141" t="str">
            <v>kg</v>
          </cell>
          <cell r="F141" t="str">
            <v>VND</v>
          </cell>
          <cell r="G141">
            <v>75000</v>
          </cell>
        </row>
        <row r="142">
          <cell r="C142" t="str">
            <v>Cánh gà CN tươi 7-8 cái/kg</v>
          </cell>
          <cell r="D142"/>
          <cell r="E142" t="str">
            <v>kg</v>
          </cell>
          <cell r="F142" t="str">
            <v>VND</v>
          </cell>
          <cell r="G142">
            <v>80000</v>
          </cell>
        </row>
        <row r="143">
          <cell r="C143" t="str">
            <v>Đùi gà 1/4 CN</v>
          </cell>
          <cell r="D143"/>
          <cell r="E143" t="str">
            <v>kg</v>
          </cell>
          <cell r="F143" t="str">
            <v>VND</v>
          </cell>
          <cell r="G143">
            <v>85000</v>
          </cell>
        </row>
        <row r="144">
          <cell r="C144" t="str">
            <v>Thịt ba chỉ</v>
          </cell>
          <cell r="D144"/>
          <cell r="E144" t="str">
            <v>kg</v>
          </cell>
          <cell r="F144" t="str">
            <v>VND</v>
          </cell>
          <cell r="G144">
            <v>140000</v>
          </cell>
        </row>
        <row r="145">
          <cell r="C145" t="str">
            <v>Thịt chân giò rút xương</v>
          </cell>
          <cell r="D145"/>
          <cell r="E145" t="str">
            <v>kg</v>
          </cell>
          <cell r="F145" t="str">
            <v>VND</v>
          </cell>
          <cell r="G145">
            <v>128000</v>
          </cell>
        </row>
        <row r="146">
          <cell r="C146" t="str">
            <v>Thịt lợn mông sấn</v>
          </cell>
          <cell r="D146"/>
          <cell r="E146" t="str">
            <v>kg</v>
          </cell>
          <cell r="F146" t="str">
            <v>VND</v>
          </cell>
          <cell r="G146">
            <v>110000</v>
          </cell>
        </row>
        <row r="147">
          <cell r="C147" t="str">
            <v>Thịt mỡ lợn</v>
          </cell>
          <cell r="D147"/>
          <cell r="E147" t="str">
            <v>kg</v>
          </cell>
          <cell r="F147" t="str">
            <v>VND</v>
          </cell>
          <cell r="G147">
            <v>80000</v>
          </cell>
        </row>
        <row r="148">
          <cell r="C148" t="str">
            <v>Thịt nạc mông</v>
          </cell>
          <cell r="D148"/>
          <cell r="E148" t="str">
            <v>kg</v>
          </cell>
          <cell r="F148" t="str">
            <v>VND</v>
          </cell>
          <cell r="G148">
            <v>125000</v>
          </cell>
        </row>
        <row r="149">
          <cell r="C149" t="str">
            <v>Thịt nạc vai</v>
          </cell>
          <cell r="D149"/>
          <cell r="E149" t="str">
            <v>kg</v>
          </cell>
          <cell r="F149" t="str">
            <v>VND</v>
          </cell>
          <cell r="G149">
            <v>130000</v>
          </cell>
        </row>
        <row r="150">
          <cell r="C150" t="str">
            <v>Thịt nách</v>
          </cell>
          <cell r="D150"/>
          <cell r="E150" t="str">
            <v>kg</v>
          </cell>
          <cell r="F150" t="str">
            <v>VND</v>
          </cell>
          <cell r="G150">
            <v>115000</v>
          </cell>
        </row>
        <row r="151">
          <cell r="C151" t="str">
            <v>Thịt nạc  thăn</v>
          </cell>
          <cell r="D151"/>
          <cell r="E151" t="str">
            <v>kg</v>
          </cell>
          <cell r="F151" t="str">
            <v>VND</v>
          </cell>
          <cell r="G151">
            <v>129000</v>
          </cell>
        </row>
        <row r="152">
          <cell r="C152" t="str">
            <v>Thịt lợn vai sấn</v>
          </cell>
          <cell r="D152"/>
          <cell r="E152" t="str">
            <v>kg</v>
          </cell>
          <cell r="F152" t="str">
            <v>VND</v>
          </cell>
          <cell r="G152">
            <v>113000</v>
          </cell>
        </row>
        <row r="153">
          <cell r="C153" t="str">
            <v>Thịt xay</v>
          </cell>
          <cell r="D153"/>
          <cell r="E153" t="str">
            <v>kg</v>
          </cell>
          <cell r="F153" t="str">
            <v>VND</v>
          </cell>
          <cell r="G153">
            <v>128000</v>
          </cell>
        </row>
        <row r="154">
          <cell r="C154" t="str">
            <v>Tai heo</v>
          </cell>
          <cell r="D154"/>
          <cell r="E154" t="str">
            <v>kg</v>
          </cell>
          <cell r="F154" t="str">
            <v>VND</v>
          </cell>
          <cell r="G154">
            <v>155000</v>
          </cell>
        </row>
        <row r="155">
          <cell r="C155" t="str">
            <v>Tiết lợn kg</v>
          </cell>
          <cell r="D155"/>
          <cell r="E155" t="str">
            <v>kg</v>
          </cell>
          <cell r="F155" t="str">
            <v>VND</v>
          </cell>
          <cell r="G155">
            <v>15000</v>
          </cell>
        </row>
        <row r="156">
          <cell r="C156" t="str">
            <v>Giò sống</v>
          </cell>
          <cell r="D156"/>
          <cell r="E156" t="str">
            <v>kg</v>
          </cell>
          <cell r="F156" t="str">
            <v>VND</v>
          </cell>
          <cell r="G156">
            <v>100000</v>
          </cell>
        </row>
        <row r="157">
          <cell r="C157" t="str">
            <v>Xương ống</v>
          </cell>
          <cell r="D157"/>
          <cell r="E157" t="str">
            <v>kg</v>
          </cell>
          <cell r="F157" t="str">
            <v>VND</v>
          </cell>
          <cell r="G157">
            <v>48000</v>
          </cell>
        </row>
        <row r="158">
          <cell r="C158" t="str">
            <v>Gan lợn</v>
          </cell>
          <cell r="D158"/>
          <cell r="E158" t="str">
            <v>kg</v>
          </cell>
          <cell r="F158" t="str">
            <v>VND</v>
          </cell>
          <cell r="G158">
            <v>44000</v>
          </cell>
        </row>
        <row r="159">
          <cell r="C159" t="str">
            <v>Thịt bò cổ</v>
          </cell>
          <cell r="D159"/>
          <cell r="E159" t="str">
            <v>kg</v>
          </cell>
          <cell r="F159" t="str">
            <v>VND</v>
          </cell>
          <cell r="G159">
            <v>190000</v>
          </cell>
        </row>
        <row r="160">
          <cell r="C160" t="str">
            <v>Thịt bò mông</v>
          </cell>
          <cell r="D160"/>
          <cell r="E160" t="str">
            <v>kg</v>
          </cell>
          <cell r="F160" t="str">
            <v>VND</v>
          </cell>
          <cell r="G160">
            <v>250000</v>
          </cell>
        </row>
        <row r="161">
          <cell r="C161" t="str">
            <v>Nạm bò tươi</v>
          </cell>
          <cell r="D161"/>
          <cell r="E161" t="str">
            <v>kg</v>
          </cell>
          <cell r="F161" t="str">
            <v>VND</v>
          </cell>
          <cell r="G161">
            <v>185000</v>
          </cell>
        </row>
        <row r="162">
          <cell r="C162" t="str">
            <v>diềm bò tươi</v>
          </cell>
          <cell r="D162"/>
          <cell r="E162" t="str">
            <v>kg</v>
          </cell>
          <cell r="F162" t="str">
            <v>VND</v>
          </cell>
          <cell r="G162">
            <v>255000</v>
          </cell>
        </row>
        <row r="163">
          <cell r="C163" t="str">
            <v>Rẻ sườn bò</v>
          </cell>
          <cell r="D163"/>
          <cell r="E163" t="str">
            <v>kg</v>
          </cell>
          <cell r="F163" t="str">
            <v>VND</v>
          </cell>
          <cell r="G163">
            <v>190000</v>
          </cell>
        </row>
        <row r="164">
          <cell r="C164" t="str">
            <v>Thịt bắp bò</v>
          </cell>
          <cell r="D164"/>
          <cell r="E164" t="str">
            <v>kg</v>
          </cell>
          <cell r="F164" t="str">
            <v>VND</v>
          </cell>
          <cell r="G164">
            <v>270000</v>
          </cell>
        </row>
        <row r="165">
          <cell r="C165" t="str">
            <v>bánh tẻ 140-160g</v>
          </cell>
          <cell r="D165"/>
          <cell r="E165" t="str">
            <v>Cái</v>
          </cell>
          <cell r="F165" t="str">
            <v>VND</v>
          </cell>
          <cell r="G165">
            <v>7000</v>
          </cell>
        </row>
        <row r="166">
          <cell r="C166" t="str">
            <v>Bánh cuốn</v>
          </cell>
          <cell r="D166"/>
          <cell r="E166" t="str">
            <v>kg</v>
          </cell>
          <cell r="F166" t="str">
            <v>VND</v>
          </cell>
          <cell r="G166">
            <v>23000</v>
          </cell>
        </row>
        <row r="167">
          <cell r="C167" t="str">
            <v>Bánh giò 240-260gr( cái)</v>
          </cell>
          <cell r="D167"/>
          <cell r="E167" t="str">
            <v>Cái</v>
          </cell>
          <cell r="F167" t="str">
            <v>VND</v>
          </cell>
          <cell r="G167">
            <v>9000</v>
          </cell>
        </row>
        <row r="168">
          <cell r="C168" t="str">
            <v>Dầu ăn orchid 19.8 lít / thùng</v>
          </cell>
          <cell r="D168"/>
          <cell r="E168" t="str">
            <v>Lít</v>
          </cell>
          <cell r="F168" t="str">
            <v>VND</v>
          </cell>
          <cell r="G168">
            <v>36400</v>
          </cell>
        </row>
        <row r="169">
          <cell r="C169" t="str">
            <v>Dầu ăn Cái Lân 19,8L/thùng</v>
          </cell>
          <cell r="D169"/>
          <cell r="E169" t="str">
            <v>Lít</v>
          </cell>
          <cell r="F169" t="str">
            <v>VND</v>
          </cell>
          <cell r="G169">
            <v>38000</v>
          </cell>
        </row>
        <row r="170">
          <cell r="C170" t="str">
            <v>Sủi Cảo nhân thịt Hacao (1kg/túi)</v>
          </cell>
          <cell r="D170"/>
          <cell r="E170" t="str">
            <v>kg</v>
          </cell>
          <cell r="F170" t="str">
            <v>VND</v>
          </cell>
          <cell r="G170">
            <v>51000</v>
          </cell>
        </row>
        <row r="171">
          <cell r="C171" t="str">
            <v>Cá ba sa sơ chế bỏ đầu 0.8-1.2kg/con, 10kg/thùng</v>
          </cell>
          <cell r="D171"/>
          <cell r="E171" t="str">
            <v>kg</v>
          </cell>
          <cell r="F171" t="str">
            <v>VND</v>
          </cell>
          <cell r="G171">
            <v>46000</v>
          </cell>
        </row>
        <row r="172">
          <cell r="C172" t="str">
            <v>Cua xay đông lạnh</v>
          </cell>
          <cell r="D172"/>
          <cell r="E172" t="str">
            <v>kg</v>
          </cell>
          <cell r="F172" t="str">
            <v>VND</v>
          </cell>
          <cell r="G172">
            <v>64000</v>
          </cell>
        </row>
        <row r="173">
          <cell r="C173" t="str">
            <v>Cá cơm ĐL 12kg/thùng</v>
          </cell>
          <cell r="D173"/>
          <cell r="E173" t="str">
            <v>kg</v>
          </cell>
          <cell r="F173" t="str">
            <v>VND</v>
          </cell>
          <cell r="G173">
            <v>25000</v>
          </cell>
        </row>
        <row r="174">
          <cell r="C174" t="str">
            <v>Thịt vịt ĐL không đầu cổ chân, size 2-2,5kg/con, 13-15kg/thùng</v>
          </cell>
          <cell r="D174"/>
          <cell r="E174" t="str">
            <v>kg</v>
          </cell>
          <cell r="F174" t="str">
            <v>VND</v>
          </cell>
          <cell r="G174">
            <v>72000</v>
          </cell>
        </row>
        <row r="175">
          <cell r="C175" t="str">
            <v>Đùi chọi mái ĐL Hàn Quốc 15kg/thùng</v>
          </cell>
          <cell r="D175"/>
          <cell r="E175" t="str">
            <v>kg</v>
          </cell>
          <cell r="F175" t="str">
            <v>VND</v>
          </cell>
          <cell r="G175">
            <v>58500</v>
          </cell>
        </row>
        <row r="176">
          <cell r="C176" t="str">
            <v>Gà góc 1/4 đông lạnh Mỹ 15kg/thùng</v>
          </cell>
          <cell r="D176"/>
          <cell r="E176" t="str">
            <v>kg</v>
          </cell>
          <cell r="F176" t="str">
            <v>VND</v>
          </cell>
          <cell r="G176">
            <v>47000</v>
          </cell>
        </row>
        <row r="177">
          <cell r="C177" t="str">
            <v>Thịt nạc vai ĐL Brazin ( 17-28)kg/thùng</v>
          </cell>
          <cell r="D177"/>
          <cell r="E177" t="str">
            <v>kg</v>
          </cell>
          <cell r="F177" t="str">
            <v>VND</v>
          </cell>
          <cell r="G177">
            <v>87000</v>
          </cell>
        </row>
        <row r="178">
          <cell r="C178" t="str">
            <v>Móng giò ĐL Nga 10kg/thùng</v>
          </cell>
          <cell r="D178"/>
          <cell r="E178" t="str">
            <v>kg</v>
          </cell>
          <cell r="F178" t="str">
            <v>VND</v>
          </cell>
          <cell r="G178">
            <v>26000</v>
          </cell>
        </row>
        <row r="179">
          <cell r="C179" t="str">
            <v>Tỏi gà ĐL Mỹ 4-6 cái/kg, 15 kg/thùng</v>
          </cell>
          <cell r="D179"/>
          <cell r="E179" t="str">
            <v>kg</v>
          </cell>
          <cell r="F179" t="str">
            <v>VND</v>
          </cell>
          <cell r="G179">
            <v>45000</v>
          </cell>
        </row>
        <row r="180">
          <cell r="C180" t="str">
            <v>Thịt dẻ sườn trâu 123 ĐL Ấn Độ 20kg/thùng</v>
          </cell>
          <cell r="D180"/>
          <cell r="E180" t="str">
            <v>kg</v>
          </cell>
          <cell r="F180" t="str">
            <v>VND</v>
          </cell>
          <cell r="G180">
            <v>104000</v>
          </cell>
        </row>
        <row r="181">
          <cell r="C181" t="str">
            <v>Sườn cánh buồm ĐL Ba Lan 10kg/thùng</v>
          </cell>
          <cell r="D181"/>
          <cell r="E181" t="str">
            <v>kg</v>
          </cell>
          <cell r="F181" t="str">
            <v>VND</v>
          </cell>
          <cell r="G181">
            <v>83000</v>
          </cell>
        </row>
        <row r="182">
          <cell r="C182" t="str">
            <v>Thịt vai trâu Ấn Độ M65 20kg/thùng</v>
          </cell>
          <cell r="D182"/>
          <cell r="E182" t="str">
            <v>kg</v>
          </cell>
          <cell r="F182" t="str">
            <v>VND</v>
          </cell>
          <cell r="G182">
            <v>139000</v>
          </cell>
        </row>
        <row r="183">
          <cell r="C183" t="str">
            <v>Tim heo đông lạnh Mỹ 10kg/thùng</v>
          </cell>
          <cell r="D183"/>
          <cell r="E183" t="str">
            <v>kg</v>
          </cell>
          <cell r="F183" t="str">
            <v>VND</v>
          </cell>
          <cell r="G183">
            <v>37000</v>
          </cell>
        </row>
        <row r="184">
          <cell r="C184" t="str">
            <v>Sườn cốt-lết Brazil 17-19kg/thùng</v>
          </cell>
          <cell r="D184"/>
          <cell r="E184" t="str">
            <v>kg</v>
          </cell>
          <cell r="F184" t="str">
            <v>VND</v>
          </cell>
          <cell r="G184">
            <v>72500</v>
          </cell>
        </row>
        <row r="185">
          <cell r="C185" t="str">
            <v>Khoanh giò đông lạnh Tây Ban Nha, 10kg/thùng</v>
          </cell>
          <cell r="D185"/>
          <cell r="E185" t="str">
            <v>kg</v>
          </cell>
          <cell r="F185" t="str">
            <v>VND</v>
          </cell>
          <cell r="G185">
            <v>58000</v>
          </cell>
        </row>
        <row r="186">
          <cell r="C186" t="str">
            <v>Sườn vai ĐL Nga 15kg/thùng</v>
          </cell>
          <cell r="D186"/>
          <cell r="E186" t="str">
            <v>kg</v>
          </cell>
          <cell r="F186" t="str">
            <v>VND</v>
          </cell>
          <cell r="G186">
            <v>53000</v>
          </cell>
        </row>
        <row r="187">
          <cell r="C187" t="str">
            <v>Thịt trâu nạm ấn độ M19, 18kg/thùng</v>
          </cell>
          <cell r="D187"/>
          <cell r="E187" t="str">
            <v>kg</v>
          </cell>
          <cell r="F187" t="str">
            <v>VND</v>
          </cell>
          <cell r="G187">
            <v>93000</v>
          </cell>
        </row>
        <row r="188">
          <cell r="C188" t="str">
            <v>Thịt ba chỉ heo không xương, có da ĐL (Thanh)</v>
          </cell>
          <cell r="D188"/>
          <cell r="E188" t="str">
            <v>kg</v>
          </cell>
          <cell r="F188" t="str">
            <v>VND</v>
          </cell>
          <cell r="G188">
            <v>65500</v>
          </cell>
        </row>
        <row r="189">
          <cell r="C189" t="str">
            <v>Thịt Trâu ĐL Má Đào 20kg/thùng</v>
          </cell>
          <cell r="D189"/>
          <cell r="E189" t="str">
            <v>kg</v>
          </cell>
          <cell r="F189" t="str">
            <v>VND</v>
          </cell>
          <cell r="G189">
            <v>104000</v>
          </cell>
        </row>
        <row r="190">
          <cell r="C190" t="str">
            <v>Móng giò đông lạnh cắt khoanh</v>
          </cell>
          <cell r="D190"/>
          <cell r="E190" t="str">
            <v>kg</v>
          </cell>
          <cell r="F190" t="str">
            <v>VND</v>
          </cell>
          <cell r="G190">
            <v>29500</v>
          </cell>
        </row>
        <row r="191">
          <cell r="C191" t="str">
            <v>Gà dai nguyên con Hàn Quốc 1.1-1.3kg/con, 15-16kg /thùng</v>
          </cell>
          <cell r="D191"/>
          <cell r="E191" t="str">
            <v>kg</v>
          </cell>
          <cell r="F191" t="str">
            <v>VND</v>
          </cell>
          <cell r="G191">
            <v>45000</v>
          </cell>
        </row>
        <row r="192">
          <cell r="C192" t="str">
            <v>Gà dai nguyên con hàn Quốc 1.3-1.6kg/con, 14kg /thùng</v>
          </cell>
          <cell r="D192"/>
          <cell r="E192" t="str">
            <v>kg</v>
          </cell>
          <cell r="F192" t="str">
            <v>VND</v>
          </cell>
          <cell r="G192">
            <v>47000</v>
          </cell>
        </row>
        <row r="193">
          <cell r="C193" t="str">
            <v>Bì lợn</v>
          </cell>
          <cell r="D193"/>
          <cell r="E193" t="str">
            <v>kg</v>
          </cell>
          <cell r="F193" t="str">
            <v>VND</v>
          </cell>
          <cell r="G193">
            <v>30000</v>
          </cell>
        </row>
        <row r="194">
          <cell r="C194" t="str">
            <v>Cá chi chi ngọt</v>
          </cell>
          <cell r="D194"/>
          <cell r="E194" t="str">
            <v>kg</v>
          </cell>
          <cell r="F194" t="str">
            <v>VND</v>
          </cell>
          <cell r="G194">
            <v>139000</v>
          </cell>
        </row>
        <row r="195">
          <cell r="C195" t="str">
            <v>Rau cần</v>
          </cell>
          <cell r="D195"/>
          <cell r="E195" t="str">
            <v>kg</v>
          </cell>
          <cell r="F195" t="str">
            <v>VND</v>
          </cell>
          <cell r="G195">
            <v>15000</v>
          </cell>
        </row>
        <row r="196">
          <cell r="C196" t="str">
            <v>Lá lốt (kg)</v>
          </cell>
          <cell r="D196"/>
          <cell r="E196" t="str">
            <v>kg</v>
          </cell>
          <cell r="F196" t="str">
            <v>VND</v>
          </cell>
          <cell r="G196">
            <v>60000</v>
          </cell>
        </row>
        <row r="197">
          <cell r="C197" t="str">
            <v>Húng chó</v>
          </cell>
          <cell r="D197"/>
          <cell r="E197" t="str">
            <v>kg</v>
          </cell>
          <cell r="F197" t="str">
            <v>VND</v>
          </cell>
          <cell r="G197">
            <v>35000</v>
          </cell>
        </row>
        <row r="198">
          <cell r="C198" t="str">
            <v>Ngao</v>
          </cell>
          <cell r="D198"/>
          <cell r="E198" t="str">
            <v>kg</v>
          </cell>
          <cell r="F198" t="str">
            <v>VND</v>
          </cell>
          <cell r="G198">
            <v>24000</v>
          </cell>
        </row>
        <row r="199">
          <cell r="C199" t="str">
            <v>Cua đồng xay</v>
          </cell>
          <cell r="D199"/>
          <cell r="E199" t="str">
            <v>kg</v>
          </cell>
          <cell r="F199" t="str">
            <v>VND</v>
          </cell>
          <cell r="G199">
            <v>134000</v>
          </cell>
        </row>
        <row r="200">
          <cell r="C200" t="str">
            <v>Bánh cuốn nhân mộc nhĩ</v>
          </cell>
          <cell r="D200"/>
          <cell r="E200" t="str">
            <v>kg</v>
          </cell>
          <cell r="F200" t="str">
            <v>VND</v>
          </cell>
          <cell r="G200">
            <v>21000</v>
          </cell>
        </row>
        <row r="201">
          <cell r="C201" t="str">
            <v>Bánh bao thập cẩm nhân trứng cút 110g</v>
          </cell>
          <cell r="D201"/>
          <cell r="E201" t="str">
            <v>Cái</v>
          </cell>
          <cell r="F201" t="str">
            <v>VND</v>
          </cell>
          <cell r="G201">
            <v>10000</v>
          </cell>
        </row>
        <row r="202">
          <cell r="C202" t="str">
            <v>Mướp hương</v>
          </cell>
          <cell r="D202"/>
          <cell r="E202" t="str">
            <v>kg</v>
          </cell>
          <cell r="F202" t="str">
            <v>VND</v>
          </cell>
          <cell r="G202">
            <v>20000</v>
          </cell>
        </row>
        <row r="203">
          <cell r="C203" t="str">
            <v>Lạc nhân</v>
          </cell>
          <cell r="D203"/>
          <cell r="E203" t="str">
            <v>kg</v>
          </cell>
          <cell r="F203" t="str">
            <v>VND</v>
          </cell>
          <cell r="G203">
            <v>50000</v>
          </cell>
        </row>
        <row r="204">
          <cell r="C204" t="str">
            <v>Rau má</v>
          </cell>
          <cell r="D204"/>
          <cell r="E204" t="str">
            <v>kg</v>
          </cell>
          <cell r="F204" t="str">
            <v>VND</v>
          </cell>
          <cell r="G204">
            <v>35000</v>
          </cell>
        </row>
        <row r="205">
          <cell r="C205" t="str">
            <v>Nước dừa</v>
          </cell>
          <cell r="D205"/>
          <cell r="E205" t="str">
            <v>Lít</v>
          </cell>
          <cell r="F205" t="str">
            <v>VND</v>
          </cell>
          <cell r="G205">
            <v>40000</v>
          </cell>
        </row>
        <row r="206">
          <cell r="C206" t="str">
            <v>Bánh rán 50g/cái</v>
          </cell>
          <cell r="D206"/>
          <cell r="E206" t="str">
            <v>Cái</v>
          </cell>
          <cell r="F206" t="str">
            <v>VND</v>
          </cell>
          <cell r="G206">
            <v>2500</v>
          </cell>
        </row>
        <row r="207">
          <cell r="C207" t="str">
            <v>Xúc xích ĐV Romas 0.5kg/gói</v>
          </cell>
          <cell r="D207"/>
          <cell r="E207" t="str">
            <v>kg</v>
          </cell>
          <cell r="F207" t="str">
            <v>VND</v>
          </cell>
          <cell r="G207">
            <v>76000</v>
          </cell>
        </row>
        <row r="208">
          <cell r="C208" t="str">
            <v>Giò lụa đông lạnh Dabaco</v>
          </cell>
          <cell r="D208"/>
          <cell r="E208" t="str">
            <v>kg</v>
          </cell>
          <cell r="F208" t="str">
            <v>VND</v>
          </cell>
          <cell r="G208">
            <v>75000</v>
          </cell>
        </row>
        <row r="209">
          <cell r="C209" t="str">
            <v>Củ cải khô</v>
          </cell>
          <cell r="D209"/>
          <cell r="E209" t="str">
            <v>kg</v>
          </cell>
          <cell r="F209" t="str">
            <v>VND</v>
          </cell>
          <cell r="G209">
            <v>90000</v>
          </cell>
        </row>
        <row r="210">
          <cell r="C210" t="str">
            <v>Cá nục gai sơ chế bỏ đầu 15 - 20 con/kg</v>
          </cell>
          <cell r="D210"/>
          <cell r="E210" t="str">
            <v>kg</v>
          </cell>
          <cell r="F210" t="str">
            <v>VND</v>
          </cell>
          <cell r="G210">
            <v>45000</v>
          </cell>
        </row>
        <row r="211">
          <cell r="C211" t="str">
            <v>Xôi Khúc 250g</v>
          </cell>
          <cell r="D211"/>
          <cell r="E211" t="str">
            <v>Cái</v>
          </cell>
          <cell r="F211" t="str">
            <v>VND</v>
          </cell>
          <cell r="G211">
            <v>10000</v>
          </cell>
        </row>
      </sheetData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Sheet1"/>
    </sheetNames>
    <sheetDataSet>
      <sheetData sheetId="0">
        <row r="2">
          <cell r="F2"/>
          <cell r="G2"/>
          <cell r="H2"/>
        </row>
        <row r="4">
          <cell r="F4" t="str">
            <v>Trưa</v>
          </cell>
          <cell r="G4" t="str">
            <v>Tối</v>
          </cell>
          <cell r="H4" t="str">
            <v>Người nhận cơm</v>
          </cell>
        </row>
        <row r="5">
          <cell r="F5">
            <v>5</v>
          </cell>
          <cell r="G5">
            <v>5</v>
          </cell>
          <cell r="H5"/>
        </row>
        <row r="6">
          <cell r="F6">
            <v>37</v>
          </cell>
          <cell r="G6">
            <v>37</v>
          </cell>
          <cell r="H6"/>
        </row>
        <row r="7">
          <cell r="F7">
            <v>16</v>
          </cell>
          <cell r="G7">
            <v>16</v>
          </cell>
          <cell r="H7" t="str">
            <v>Vũ Đình Hiền</v>
          </cell>
        </row>
        <row r="8">
          <cell r="F8">
            <v>17</v>
          </cell>
          <cell r="G8">
            <v>17</v>
          </cell>
          <cell r="H8" t="str">
            <v>Trần Quốc Vân 0812378882</v>
          </cell>
        </row>
        <row r="9">
          <cell r="F9">
            <v>16</v>
          </cell>
          <cell r="G9">
            <v>16</v>
          </cell>
          <cell r="H9" t="str">
            <v>Đinh Văn Hòa</v>
          </cell>
        </row>
        <row r="10">
          <cell r="F10">
            <v>25</v>
          </cell>
          <cell r="G10">
            <v>25</v>
          </cell>
          <cell r="H10" t="str">
            <v>Lê Văn Chung</v>
          </cell>
        </row>
        <row r="11">
          <cell r="F11">
            <v>25</v>
          </cell>
          <cell r="G11">
            <v>25</v>
          </cell>
          <cell r="H11" t="str">
            <v>Lê Văn Hiệp 0967980861</v>
          </cell>
        </row>
        <row r="12">
          <cell r="F12">
            <v>28</v>
          </cell>
          <cell r="G12">
            <v>28</v>
          </cell>
          <cell r="H12" t="str">
            <v>Hoàng Đình Phúc, Nguyễn Văn Chiến</v>
          </cell>
        </row>
        <row r="13">
          <cell r="F13">
            <v>14</v>
          </cell>
          <cell r="G13">
            <v>14</v>
          </cell>
          <cell r="H13" t="str">
            <v>Lê Tuấn Anh 0868736618 (mỗi bữa 10 suất chay)</v>
          </cell>
        </row>
        <row r="14">
          <cell r="F14">
            <v>14</v>
          </cell>
          <cell r="G14">
            <v>14</v>
          </cell>
          <cell r="H14"/>
        </row>
        <row r="15">
          <cell r="F15">
            <v>60</v>
          </cell>
          <cell r="G15">
            <v>60</v>
          </cell>
          <cell r="H15"/>
        </row>
        <row r="16">
          <cell r="F16">
            <v>14</v>
          </cell>
          <cell r="G16">
            <v>14</v>
          </cell>
          <cell r="H16" t="str">
            <v>Vũ Đình Hòa 0963187145</v>
          </cell>
        </row>
        <row r="17">
          <cell r="F17">
            <v>26</v>
          </cell>
          <cell r="G17">
            <v>26</v>
          </cell>
          <cell r="H17" t="str">
            <v>Lê Đình Thành</v>
          </cell>
        </row>
        <row r="18">
          <cell r="F18">
            <v>36</v>
          </cell>
          <cell r="G18">
            <v>36</v>
          </cell>
          <cell r="H18" t="str">
            <v>Mai Hồng</v>
          </cell>
        </row>
        <row r="19">
          <cell r="F19">
            <v>25</v>
          </cell>
          <cell r="G19">
            <v>25</v>
          </cell>
          <cell r="H19" t="str">
            <v>Đặng Đình Thông</v>
          </cell>
        </row>
        <row r="20">
          <cell r="F20">
            <v>15</v>
          </cell>
          <cell r="G20">
            <v>15</v>
          </cell>
          <cell r="H20" t="str">
            <v>Nguyễn Đức Đoàn</v>
          </cell>
        </row>
        <row r="21">
          <cell r="F21">
            <v>22</v>
          </cell>
          <cell r="G21">
            <v>22</v>
          </cell>
          <cell r="H21" t="str">
            <v>Hoàng Văn Tân</v>
          </cell>
        </row>
        <row r="22">
          <cell r="F22"/>
          <cell r="G22"/>
          <cell r="H22"/>
        </row>
        <row r="23">
          <cell r="F23"/>
          <cell r="G23"/>
          <cell r="H23"/>
        </row>
        <row r="24">
          <cell r="F24"/>
          <cell r="G24"/>
          <cell r="H24"/>
        </row>
        <row r="25">
          <cell r="F25"/>
          <cell r="G25"/>
          <cell r="H25"/>
        </row>
        <row r="26">
          <cell r="F26"/>
          <cell r="G26"/>
          <cell r="H26"/>
        </row>
        <row r="27">
          <cell r="F27"/>
          <cell r="G27"/>
          <cell r="H27"/>
        </row>
        <row r="28">
          <cell r="F28"/>
          <cell r="G28"/>
          <cell r="H28"/>
        </row>
      </sheetData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1,9"/>
      <sheetName val="2.9"/>
      <sheetName val="3,9"/>
      <sheetName val="4,9"/>
      <sheetName val="5,9"/>
      <sheetName val="6,9"/>
      <sheetName val="8,9"/>
      <sheetName val="9,9"/>
      <sheetName val="10,8"/>
      <sheetName val="HK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,1"/>
      <sheetName val="BG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>
        <row r="1">
          <cell r="D1" t="str">
            <v>Tên hàng</v>
          </cell>
          <cell r="E1" t="str">
            <v>ĐVT</v>
          </cell>
          <cell r="F1" t="str">
            <v>NCC</v>
          </cell>
          <cell r="G1" t="str">
            <v>Đơn giá</v>
          </cell>
          <cell r="I1" t="str">
            <v>Mã hàng</v>
          </cell>
        </row>
        <row r="2">
          <cell r="D2" t="str">
            <v>Bún.</v>
          </cell>
          <cell r="E2" t="str">
            <v>kg</v>
          </cell>
          <cell r="F2" t="str">
            <v>CÔNG TY CỔ PHẦN DỊCH VỤ TỔNG HỢP TÂM NHUNG</v>
          </cell>
          <cell r="G2">
            <v>12000</v>
          </cell>
          <cell r="I2" t="str">
            <v>NLG0001</v>
          </cell>
        </row>
        <row r="3">
          <cell r="D3" t="str">
            <v>Mỳ tôm kokomy 30 gói/ thùng</v>
          </cell>
          <cell r="E3" t="str">
            <v>Gói</v>
          </cell>
          <cell r="F3" t="str">
            <v>CÔNG TY CỔ PHẦN DỊCH VỤ TỔNG HỢP TÂM NHUNG</v>
          </cell>
          <cell r="G3">
            <v>2800</v>
          </cell>
          <cell r="H3" t="str">
            <v>Check</v>
          </cell>
          <cell r="I3" t="str">
            <v>NLG0020</v>
          </cell>
        </row>
        <row r="4">
          <cell r="D4" t="str">
            <v>Miến dong</v>
          </cell>
          <cell r="E4" t="str">
            <v>kg</v>
          </cell>
          <cell r="F4" t="str">
            <v>CÔNG TY CỔ PHẦN DỊCH VỤ TỔNG HỢP TÂM NHUNG</v>
          </cell>
          <cell r="G4">
            <v>33000</v>
          </cell>
          <cell r="H4" t="str">
            <v>Check</v>
          </cell>
          <cell r="I4" t="str">
            <v>NLG0027</v>
          </cell>
        </row>
        <row r="5">
          <cell r="D5" t="str">
            <v>Bánh cuốn</v>
          </cell>
          <cell r="E5" t="str">
            <v>kg</v>
          </cell>
          <cell r="F5" t="str">
            <v>CÔNG TY CỔ PHẦN DỊCH VỤ TỔNG HỢP TÂM NHUNG</v>
          </cell>
          <cell r="G5">
            <v>16000</v>
          </cell>
          <cell r="H5"/>
          <cell r="I5" t="str">
            <v>NLG0043</v>
          </cell>
        </row>
        <row r="6">
          <cell r="D6" t="str">
            <v>Bánh phở</v>
          </cell>
          <cell r="E6" t="str">
            <v>kg</v>
          </cell>
          <cell r="F6" t="str">
            <v>CÔNG TY CỔ PHẦN DỊCH VỤ TỔNG HỢP TÂM NHUNG</v>
          </cell>
          <cell r="G6">
            <v>13000</v>
          </cell>
          <cell r="H6"/>
          <cell r="I6" t="str">
            <v>NLG0051</v>
          </cell>
        </row>
        <row r="7">
          <cell r="D7" t="str">
            <v>Bánh đa nem</v>
          </cell>
          <cell r="E7" t="str">
            <v>Lá</v>
          </cell>
          <cell r="F7" t="str">
            <v>CÔNG TY CỔ PHẦN DỊCH VỤ TỔNG HỢP TÂM NHUNG</v>
          </cell>
          <cell r="G7">
            <v>200</v>
          </cell>
          <cell r="H7"/>
          <cell r="I7" t="str">
            <v>NLG0062</v>
          </cell>
        </row>
        <row r="8">
          <cell r="D8" t="str">
            <v>Miến gạo</v>
          </cell>
          <cell r="E8" t="str">
            <v>kg</v>
          </cell>
          <cell r="F8" t="str">
            <v>CÔNG TY CỔ PHẦN DỊCH VỤ TỔNG HỢP TÂM NHUNG</v>
          </cell>
          <cell r="G8">
            <v>27000</v>
          </cell>
          <cell r="H8"/>
          <cell r="I8" t="str">
            <v>NLG0070</v>
          </cell>
        </row>
        <row r="9">
          <cell r="D9" t="str">
            <v>Bánh mướt</v>
          </cell>
          <cell r="E9" t="str">
            <v>kg</v>
          </cell>
          <cell r="F9" t="str">
            <v>CÔNG TY CỔ PHẦN DỊCH VỤ TỔNG HỢP TÂM NHUNG</v>
          </cell>
          <cell r="G9">
            <v>16000</v>
          </cell>
          <cell r="H9"/>
          <cell r="I9" t="str">
            <v>NLG0131</v>
          </cell>
        </row>
        <row r="10">
          <cell r="D10" t="str">
            <v>Củ đậu</v>
          </cell>
          <cell r="E10" t="str">
            <v>kg</v>
          </cell>
          <cell r="F10" t="str">
            <v>CÔNG TY CỔ PHẦN DỊCH VỤ TỔNG HỢP TÂM NHUNG</v>
          </cell>
          <cell r="G10">
            <v>14000</v>
          </cell>
          <cell r="H10"/>
          <cell r="I10" t="str">
            <v>NLQ0001</v>
          </cell>
        </row>
        <row r="11">
          <cell r="D11" t="str">
            <v>Qủa Chuối tiêu chín</v>
          </cell>
          <cell r="E11" t="str">
            <v>quả</v>
          </cell>
          <cell r="F11" t="str">
            <v>CÔNG TY CỔ PHẦN DỊCH VỤ TỔNG HỢP TÂM NHUNG</v>
          </cell>
          <cell r="G11">
            <v>1400</v>
          </cell>
          <cell r="H11"/>
          <cell r="I11" t="str">
            <v>NLQ0011</v>
          </cell>
        </row>
        <row r="12">
          <cell r="D12" t="str">
            <v>Dưa hấu 1,8- 3kg/quả</v>
          </cell>
          <cell r="E12" t="str">
            <v>kg</v>
          </cell>
          <cell r="F12" t="str">
            <v>CÔNG TY CỔ PHẦN DỊCH VỤ TỔNG HỢP TÂM NHUNG</v>
          </cell>
          <cell r="G12">
            <v>12000</v>
          </cell>
          <cell r="H12"/>
          <cell r="I12" t="str">
            <v>NLQ0013</v>
          </cell>
        </row>
        <row r="13">
          <cell r="D13" t="str">
            <v>Quả ổi 3-5 quả/kg</v>
          </cell>
          <cell r="E13" t="str">
            <v>kg</v>
          </cell>
          <cell r="F13" t="str">
            <v>CÔNG TY CỔ PHẦN DỊCH VỤ TỔNG HỢP TÂM NHUNG</v>
          </cell>
          <cell r="G13">
            <v>12000</v>
          </cell>
          <cell r="H13"/>
          <cell r="I13" t="str">
            <v>NLQ0016</v>
          </cell>
        </row>
        <row r="14">
          <cell r="D14" t="str">
            <v>Quả Thanh long</v>
          </cell>
          <cell r="E14" t="str">
            <v>kg</v>
          </cell>
          <cell r="F14" t="str">
            <v>CÔNG TY CỔ PHẦN DỊCH VỤ TỔNG HỢP TÂM NHUNG</v>
          </cell>
          <cell r="G14">
            <v>33000</v>
          </cell>
          <cell r="H14"/>
          <cell r="I14" t="str">
            <v>NLQ0022</v>
          </cell>
        </row>
        <row r="15">
          <cell r="D15" t="str">
            <v>Quả Xoài</v>
          </cell>
          <cell r="E15" t="str">
            <v>kg</v>
          </cell>
          <cell r="F15" t="str">
            <v>CÔNG TY CỔ PHẦN DỊCH VỤ TỔNG HỢP TÂM NHUNG</v>
          </cell>
          <cell r="G15">
            <v>25000</v>
          </cell>
          <cell r="H15"/>
          <cell r="I15" t="str">
            <v>NLQ0024</v>
          </cell>
        </row>
        <row r="16">
          <cell r="D16" t="str">
            <v>Xoài xanh 2-3 quả/kg</v>
          </cell>
          <cell r="E16" t="str">
            <v>kg</v>
          </cell>
          <cell r="F16" t="str">
            <v>CÔNG TY CỔ PHẦN DỊCH VỤ TỔNG HỢP TÂM NHUNG</v>
          </cell>
          <cell r="G16">
            <v>25000</v>
          </cell>
          <cell r="H16"/>
          <cell r="I16" t="str">
            <v>NLQ0036</v>
          </cell>
        </row>
        <row r="17">
          <cell r="D17" t="str">
            <v>Xoài chín 3-4 quả/kg</v>
          </cell>
          <cell r="E17" t="str">
            <v>kg</v>
          </cell>
          <cell r="F17" t="str">
            <v>CÔNG TY CỔ PHẦN DỊCH VỤ TỔNG HỢP TÂM NHUNG</v>
          </cell>
          <cell r="G17">
            <v>28000</v>
          </cell>
          <cell r="H17"/>
          <cell r="I17" t="str">
            <v>NLQ0038</v>
          </cell>
        </row>
        <row r="18">
          <cell r="D18" t="str">
            <v>Bưởi da xanh</v>
          </cell>
          <cell r="E18" t="str">
            <v>kg</v>
          </cell>
          <cell r="F18" t="str">
            <v>CÔNG TY CỔ PHẦN DỊCH VỤ TỔNG HỢP TÂM NHUNG</v>
          </cell>
          <cell r="G18">
            <v>35000</v>
          </cell>
          <cell r="H18"/>
          <cell r="I18" t="str">
            <v>NLQ0040</v>
          </cell>
        </row>
        <row r="19">
          <cell r="D19" t="str">
            <v>Dưa lưới 1.5-2kg/quả</v>
          </cell>
          <cell r="E19" t="str">
            <v>kg</v>
          </cell>
          <cell r="F19" t="str">
            <v>CÔNG TY CỔ PHẦN DỊCH VỤ TỔNG HỢP TÂM NHUNG</v>
          </cell>
          <cell r="G19">
            <v>35000</v>
          </cell>
          <cell r="H19"/>
          <cell r="I19" t="str">
            <v>NLQ0047</v>
          </cell>
        </row>
        <row r="20">
          <cell r="D20" t="str">
            <v>Bắp cải trắng</v>
          </cell>
          <cell r="E20" t="str">
            <v>kg</v>
          </cell>
          <cell r="F20" t="str">
            <v>CÔNG TY CỔ PHẦN DỊCH VỤ TỔNG HỢP TÂM NHUNG</v>
          </cell>
          <cell r="G20">
            <v>10000</v>
          </cell>
          <cell r="H20"/>
          <cell r="I20" t="str">
            <v>NLR0001</v>
          </cell>
        </row>
        <row r="21">
          <cell r="D21" t="str">
            <v>Bắp cải tím (kg)</v>
          </cell>
          <cell r="E21" t="str">
            <v>kg</v>
          </cell>
          <cell r="F21" t="str">
            <v>CÔNG TY CỔ PHẦN DỊCH VỤ TỔNG HỢP TÂM NHUNG</v>
          </cell>
          <cell r="G21">
            <v>22000</v>
          </cell>
          <cell r="H21" t="str">
            <v>Check</v>
          </cell>
          <cell r="I21" t="str">
            <v>NLR0002</v>
          </cell>
        </row>
        <row r="22">
          <cell r="D22" t="str">
            <v>Bầu quả</v>
          </cell>
          <cell r="E22" t="str">
            <v>kg</v>
          </cell>
          <cell r="F22" t="str">
            <v>CÔNG TY CỔ PHẦN DỊCH VỤ TỔNG HỢP TÂM NHUNG</v>
          </cell>
          <cell r="G22">
            <v>16000</v>
          </cell>
          <cell r="H22" t="str">
            <v>Check</v>
          </cell>
          <cell r="I22" t="str">
            <v>NLR0003</v>
          </cell>
        </row>
        <row r="23">
          <cell r="D23" t="str">
            <v>Bí đỏ dài</v>
          </cell>
          <cell r="E23" t="str">
            <v>kg</v>
          </cell>
          <cell r="F23" t="str">
            <v>CÔNG TY CỔ PHẦN DỊCH VỤ TỔNG HỢP TÂM NHUNG</v>
          </cell>
          <cell r="G23">
            <v>10000</v>
          </cell>
          <cell r="H23"/>
          <cell r="I23" t="str">
            <v>NLR0008</v>
          </cell>
        </row>
        <row r="24">
          <cell r="D24" t="str">
            <v>Bí ngô non</v>
          </cell>
          <cell r="E24" t="str">
            <v>kg</v>
          </cell>
          <cell r="F24" t="str">
            <v>CÔNG TY CỔ PHẦN DỊCH VỤ TỔNG HỢP TÂM NHUNG</v>
          </cell>
          <cell r="G24">
            <v>14000</v>
          </cell>
          <cell r="H24"/>
          <cell r="I24" t="str">
            <v>NLR0009</v>
          </cell>
        </row>
        <row r="25">
          <cell r="D25" t="str">
            <v>Cà pháo</v>
          </cell>
          <cell r="E25" t="str">
            <v>kg</v>
          </cell>
          <cell r="F25" t="str">
            <v>CÔNG TY CỔ PHẦN DỊCH VỤ TỔNG HỢP TÂM NHUNG</v>
          </cell>
          <cell r="G25">
            <v>18000</v>
          </cell>
          <cell r="H25"/>
          <cell r="I25" t="str">
            <v>NLR0015</v>
          </cell>
        </row>
        <row r="26">
          <cell r="D26" t="str">
            <v>Cà pháo cắt tai</v>
          </cell>
          <cell r="E26" t="str">
            <v>kg</v>
          </cell>
          <cell r="F26" t="str">
            <v>CÔNG TY CỔ PHẦN DỊCH VỤ TỔNG HỢP TÂM NHUNG</v>
          </cell>
          <cell r="G26">
            <v>22000</v>
          </cell>
          <cell r="H26"/>
          <cell r="I26" t="str">
            <v>NLR0016</v>
          </cell>
        </row>
        <row r="27">
          <cell r="D27" t="str">
            <v>Cà rốt</v>
          </cell>
          <cell r="E27" t="str">
            <v>kg</v>
          </cell>
          <cell r="F27" t="str">
            <v>CÔNG TY CỔ PHẦN DỊCH VỤ TỔNG HỢP TÂM NHUNG</v>
          </cell>
          <cell r="G27">
            <v>12000</v>
          </cell>
          <cell r="H27"/>
          <cell r="I27" t="str">
            <v>NLR0018</v>
          </cell>
        </row>
        <row r="28">
          <cell r="D28" t="str">
            <v>Cà tím dài</v>
          </cell>
          <cell r="E28" t="str">
            <v>kg</v>
          </cell>
          <cell r="F28" t="str">
            <v>CÔNG TY CỔ PHẦN DỊCH VỤ TỔNG HỢP TÂM NHUNG</v>
          </cell>
          <cell r="G28">
            <v>11500</v>
          </cell>
          <cell r="H28" t="str">
            <v>Check</v>
          </cell>
          <cell r="I28" t="str">
            <v>NLR0024</v>
          </cell>
        </row>
        <row r="29">
          <cell r="D29" t="str">
            <v>Cải bẹ</v>
          </cell>
          <cell r="E29" t="str">
            <v>kg</v>
          </cell>
          <cell r="F29" t="str">
            <v>CÔNG TY CỔ PHẦN DỊCH VỤ TỔNG HỢP TÂM NHUNG</v>
          </cell>
          <cell r="G29">
            <v>11000</v>
          </cell>
          <cell r="H29" t="str">
            <v>Check</v>
          </cell>
          <cell r="I29" t="str">
            <v>NLR0025</v>
          </cell>
        </row>
        <row r="30">
          <cell r="D30" t="str">
            <v>Cải canh (kg)</v>
          </cell>
          <cell r="E30" t="str">
            <v>kg</v>
          </cell>
          <cell r="F30" t="str">
            <v>CÔNG TY CỔ PHẦN DỊCH VỤ TỔNG HỢP TÂM NHUNG</v>
          </cell>
          <cell r="G30">
            <v>15000</v>
          </cell>
          <cell r="H30" t="str">
            <v>Check</v>
          </cell>
          <cell r="I30" t="str">
            <v>NLR0026</v>
          </cell>
        </row>
        <row r="31">
          <cell r="D31" t="str">
            <v>Cải chíp</v>
          </cell>
          <cell r="E31" t="str">
            <v>kg</v>
          </cell>
          <cell r="F31" t="str">
            <v>CÔNG TY CỔ PHẦN DỊCH VỤ TỔNG HỢP TÂM NHUNG</v>
          </cell>
          <cell r="G31">
            <v>15000</v>
          </cell>
          <cell r="H31"/>
          <cell r="I31" t="str">
            <v>NLR0029</v>
          </cell>
        </row>
        <row r="32">
          <cell r="D32" t="str">
            <v>Cải ngọt cắt gốc</v>
          </cell>
          <cell r="E32" t="str">
            <v>kg</v>
          </cell>
          <cell r="F32" t="str">
            <v>CÔNG TY CỔ PHẦN DỊCH VỤ TỔNG HỢP TÂM NHUNG</v>
          </cell>
          <cell r="G32">
            <v>15000</v>
          </cell>
          <cell r="H32"/>
          <cell r="I32" t="str">
            <v>NLR0032</v>
          </cell>
        </row>
        <row r="33">
          <cell r="D33" t="str">
            <v>Cải thảo</v>
          </cell>
          <cell r="E33" t="str">
            <v>kg</v>
          </cell>
          <cell r="F33" t="str">
            <v>CÔNG TY CỔ PHẦN DỊCH VỤ TỔNG HỢP TÂM NHUNG</v>
          </cell>
          <cell r="G33">
            <v>11500</v>
          </cell>
          <cell r="H33" t="str">
            <v>Check</v>
          </cell>
          <cell r="I33" t="str">
            <v>NLR0034</v>
          </cell>
        </row>
        <row r="34">
          <cell r="D34" t="str">
            <v>Giềng củ</v>
          </cell>
          <cell r="E34" t="str">
            <v>kg</v>
          </cell>
          <cell r="F34" t="str">
            <v>CÔNG TY CỔ PHẦN DỊCH VỤ TỔNG HỢP TÂM NHUNG</v>
          </cell>
          <cell r="G34">
            <v>18000</v>
          </cell>
          <cell r="H34" t="str">
            <v>Check</v>
          </cell>
          <cell r="I34" t="str">
            <v>NLR0038</v>
          </cell>
        </row>
        <row r="35">
          <cell r="D35" t="str">
            <v>Cần tây</v>
          </cell>
          <cell r="E35" t="str">
            <v>kg</v>
          </cell>
          <cell r="F35" t="str">
            <v>CÔNG TY CỔ PHẦN DỊCH VỤ TỔNG HỢP TÂM NHUNG</v>
          </cell>
          <cell r="G35">
            <v>26000</v>
          </cell>
          <cell r="H35" t="str">
            <v>Check</v>
          </cell>
          <cell r="I35" t="str">
            <v>NLR0042</v>
          </cell>
        </row>
        <row r="36">
          <cell r="D36" t="str">
            <v>Củ cải</v>
          </cell>
          <cell r="E36" t="str">
            <v>kg</v>
          </cell>
          <cell r="F36" t="str">
            <v>CÔNG TY CỔ PHẦN DỊCH VỤ TỔNG HỢP TÂM NHUNG</v>
          </cell>
          <cell r="G36">
            <v>10000</v>
          </cell>
          <cell r="H36" t="str">
            <v>Check</v>
          </cell>
          <cell r="I36" t="str">
            <v>NLR0044</v>
          </cell>
        </row>
        <row r="37">
          <cell r="D37" t="str">
            <v>Cùi dừa</v>
          </cell>
          <cell r="E37" t="str">
            <v>kg</v>
          </cell>
          <cell r="F37" t="str">
            <v>CÔNG TY CỔ PHẦN DỊCH VỤ TỔNG HỢP TÂM NHUNG</v>
          </cell>
          <cell r="G37">
            <v>60000</v>
          </cell>
          <cell r="H37" t="str">
            <v>Check</v>
          </cell>
          <cell r="I37" t="str">
            <v>NLR0047</v>
          </cell>
        </row>
        <row r="38">
          <cell r="D38" t="str">
            <v>Chanh quả</v>
          </cell>
          <cell r="E38" t="str">
            <v>kg</v>
          </cell>
          <cell r="F38" t="str">
            <v>CÔNG TY CỔ PHẦN DỊCH VỤ TỔNG HỢP TÂM NHUNG</v>
          </cell>
          <cell r="G38">
            <v>15000</v>
          </cell>
          <cell r="H38" t="str">
            <v>Check</v>
          </cell>
          <cell r="I38" t="str">
            <v>NLR0049</v>
          </cell>
        </row>
        <row r="39">
          <cell r="D39" t="str">
            <v>Chuối xanh</v>
          </cell>
          <cell r="E39" t="str">
            <v>kg</v>
          </cell>
          <cell r="F39" t="str">
            <v>CÔNG TY CỔ PHẦN DỊCH VỤ TỔNG HỢP TÂM NHUNG</v>
          </cell>
          <cell r="G39">
            <v>9000</v>
          </cell>
          <cell r="H39"/>
          <cell r="I39" t="str">
            <v>NLR0051</v>
          </cell>
        </row>
        <row r="40">
          <cell r="D40" t="str">
            <v>Dọc mồng</v>
          </cell>
          <cell r="E40" t="str">
            <v>kg</v>
          </cell>
          <cell r="F40" t="str">
            <v>CÔNG TY CỔ PHẦN DỊCH VỤ TỔNG HỢP TÂM NHUNG</v>
          </cell>
          <cell r="G40">
            <v>13000</v>
          </cell>
          <cell r="H40"/>
          <cell r="I40" t="str">
            <v>NLR0053</v>
          </cell>
        </row>
        <row r="41">
          <cell r="D41" t="str">
            <v>Dưa chuột</v>
          </cell>
          <cell r="E41" t="str">
            <v>kg</v>
          </cell>
          <cell r="F41" t="str">
            <v>CÔNG TY CỔ PHẦN DỊCH VỤ TỔNG HỢP TÂM NHUNG</v>
          </cell>
          <cell r="G41">
            <v>15000</v>
          </cell>
          <cell r="H41"/>
          <cell r="I41" t="str">
            <v>NLR0060</v>
          </cell>
        </row>
        <row r="42">
          <cell r="D42" t="str">
            <v>Dừa quả</v>
          </cell>
          <cell r="E42" t="str">
            <v>quả</v>
          </cell>
          <cell r="F42" t="str">
            <v>CÔNG TY CỔ PHẦN DỊCH VỤ TỔNG HỢP TÂM NHUNG</v>
          </cell>
          <cell r="G42">
            <v>25000</v>
          </cell>
          <cell r="H42"/>
          <cell r="I42" t="str">
            <v>NLR0064</v>
          </cell>
        </row>
        <row r="43">
          <cell r="D43" t="str">
            <v>Dứa quả xanh (kg)</v>
          </cell>
          <cell r="E43" t="str">
            <v>kg</v>
          </cell>
          <cell r="F43" t="str">
            <v>CÔNG TY CỔ PHẦN DỊCH VỤ TỔNG HỢP TÂM NHUNG</v>
          </cell>
          <cell r="G43">
            <v>14000</v>
          </cell>
          <cell r="H43"/>
          <cell r="I43" t="str">
            <v>NLR0065</v>
          </cell>
        </row>
        <row r="44">
          <cell r="D44" t="str">
            <v>Dứa quả chín (kg)</v>
          </cell>
          <cell r="E44" t="str">
            <v>kg</v>
          </cell>
          <cell r="F44" t="str">
            <v>CÔNG TY CỔ PHẦN DỊCH VỤ TỔNG HỢP TÂM NHUNG</v>
          </cell>
          <cell r="G44">
            <v>18000</v>
          </cell>
          <cell r="H44" t="str">
            <v>Check</v>
          </cell>
          <cell r="I44" t="str">
            <v>NLR0066</v>
          </cell>
        </row>
        <row r="45">
          <cell r="D45" t="str">
            <v>Đậu cô ve</v>
          </cell>
          <cell r="E45" t="str">
            <v>kg</v>
          </cell>
          <cell r="F45" t="str">
            <v>CÔNG TY CỔ PHẦN DỊCH VỤ TỔNG HỢP TÂM NHUNG</v>
          </cell>
          <cell r="G45">
            <v>28000</v>
          </cell>
          <cell r="H45" t="str">
            <v>Check</v>
          </cell>
          <cell r="I45" t="str">
            <v>NLR0068</v>
          </cell>
        </row>
        <row r="46">
          <cell r="D46" t="str">
            <v>Đu đủ</v>
          </cell>
          <cell r="E46" t="str">
            <v>kg</v>
          </cell>
          <cell r="F46" t="str">
            <v>CÔNG TY CỔ PHẦN DỊCH VỤ TỔNG HỢP TÂM NHUNG</v>
          </cell>
          <cell r="G46">
            <v>8000</v>
          </cell>
          <cell r="H46"/>
          <cell r="I46" t="str">
            <v>NLR0071</v>
          </cell>
        </row>
        <row r="47">
          <cell r="D47" t="str">
            <v>Gừng củ</v>
          </cell>
          <cell r="E47" t="str">
            <v>kg</v>
          </cell>
          <cell r="F47" t="str">
            <v>CÔNG TY CỔ PHẦN DỊCH VỤ TỔNG HỢP TÂM NHUNG</v>
          </cell>
          <cell r="G47">
            <v>25000</v>
          </cell>
          <cell r="H47"/>
          <cell r="I47" t="str">
            <v>NLR0073</v>
          </cell>
        </row>
        <row r="48">
          <cell r="D48" t="str">
            <v>Giá đỗ</v>
          </cell>
          <cell r="E48" t="str">
            <v>kg</v>
          </cell>
          <cell r="F48" t="str">
            <v>CÔNG TY CỔ PHẦN DỊCH VỤ TỔNG HỢP TÂM NHUNG</v>
          </cell>
          <cell r="G48">
            <v>12000</v>
          </cell>
          <cell r="H48"/>
          <cell r="I48" t="str">
            <v>NLR0076</v>
          </cell>
        </row>
        <row r="49">
          <cell r="D49" t="str">
            <v>Hành lá</v>
          </cell>
          <cell r="E49" t="str">
            <v>kg</v>
          </cell>
          <cell r="F49" t="str">
            <v>CÔNG TY CỔ PHẦN DỊCH VỤ TỔNG HỢP TÂM NHUNG</v>
          </cell>
          <cell r="G49">
            <v>20000</v>
          </cell>
          <cell r="H49"/>
          <cell r="I49" t="str">
            <v>NLR0079</v>
          </cell>
        </row>
        <row r="50">
          <cell r="D50" t="str">
            <v>Hành tây</v>
          </cell>
          <cell r="E50" t="str">
            <v>kg</v>
          </cell>
          <cell r="F50" t="str">
            <v>CÔNG TY CỔ PHẦN DỊCH VỤ TỔNG HỢP TÂM NHUNG</v>
          </cell>
          <cell r="G50">
            <v>11000</v>
          </cell>
          <cell r="H50"/>
          <cell r="I50" t="str">
            <v>NLR0083</v>
          </cell>
        </row>
        <row r="51">
          <cell r="D51" t="str">
            <v>Hoa chuối thái sợi</v>
          </cell>
          <cell r="E51" t="str">
            <v>kg</v>
          </cell>
          <cell r="F51" t="str">
            <v>CÔNG TY CỔ PHẦN DỊCH VỤ TỔNG HỢP TÂM NHUNG</v>
          </cell>
          <cell r="G51">
            <v>25000</v>
          </cell>
          <cell r="H51"/>
          <cell r="I51" t="str">
            <v>NLR0088</v>
          </cell>
        </row>
        <row r="52">
          <cell r="D52" t="str">
            <v>Húng quế (rau)</v>
          </cell>
          <cell r="E52" t="str">
            <v>kg</v>
          </cell>
          <cell r="F52" t="str">
            <v>CÔNG TY CỔ PHẦN DỊCH VỤ TỔNG HỢP TÂM NHUNG</v>
          </cell>
          <cell r="G52">
            <v>25000</v>
          </cell>
          <cell r="H52"/>
          <cell r="I52" t="str">
            <v>NLR0091</v>
          </cell>
        </row>
        <row r="53">
          <cell r="D53" t="str">
            <v>Kinh giới (kg)</v>
          </cell>
          <cell r="E53" t="str">
            <v>kg</v>
          </cell>
          <cell r="F53" t="str">
            <v>CÔNG TY CỔ PHẦN DỊCH VỤ TỔNG HỢP TÂM NHUNG</v>
          </cell>
          <cell r="G53">
            <v>30000</v>
          </cell>
          <cell r="H53"/>
          <cell r="I53" t="str">
            <v>NLR0092</v>
          </cell>
        </row>
        <row r="54">
          <cell r="D54" t="str">
            <v>Khoai lang ruột vàng</v>
          </cell>
          <cell r="E54" t="str">
            <v>kg</v>
          </cell>
          <cell r="F54" t="str">
            <v>CÔNG TY CỔ PHẦN DỊCH VỤ TỔNG HỢP TÂM NHUNG</v>
          </cell>
          <cell r="G54">
            <v>25000</v>
          </cell>
          <cell r="H54"/>
          <cell r="I54" t="str">
            <v>NLR0095</v>
          </cell>
        </row>
        <row r="55">
          <cell r="D55" t="str">
            <v>Khoai sọ</v>
          </cell>
          <cell r="E55" t="str">
            <v>kg</v>
          </cell>
          <cell r="F55" t="str">
            <v>CÔNG TY CỔ PHẦN DỊCH VỤ TỔNG HỢP TÂM NHUNG</v>
          </cell>
          <cell r="G55">
            <v>25000</v>
          </cell>
          <cell r="H55"/>
          <cell r="I55" t="str">
            <v>NLR0098</v>
          </cell>
        </row>
        <row r="56">
          <cell r="D56" t="str">
            <v>Khoai tây</v>
          </cell>
          <cell r="E56" t="str">
            <v>kg</v>
          </cell>
          <cell r="F56" t="str">
            <v>CÔNG TY CỔ PHẦN DỊCH VỤ TỔNG HỢP TÂM NHUNG</v>
          </cell>
          <cell r="G56">
            <v>12000</v>
          </cell>
          <cell r="H56"/>
          <cell r="I56" t="str">
            <v>NLR0100</v>
          </cell>
        </row>
        <row r="57">
          <cell r="D57" t="str">
            <v>Lá chanh (kg)</v>
          </cell>
          <cell r="E57" t="str">
            <v>kg</v>
          </cell>
          <cell r="F57" t="str">
            <v>CÔNG TY CỔ PHẦN DỊCH VỤ TỔNG HỢP TÂM NHUNG</v>
          </cell>
          <cell r="G57">
            <v>80000</v>
          </cell>
          <cell r="H57"/>
          <cell r="I57" t="str">
            <v>NLR0102</v>
          </cell>
        </row>
        <row r="58">
          <cell r="D58" t="str">
            <v>Lá hẹ</v>
          </cell>
          <cell r="E58" t="str">
            <v>kg</v>
          </cell>
          <cell r="F58" t="str">
            <v>CÔNG TY CỔ PHẦN DỊCH VỤ TỔNG HỢP TÂM NHUNG</v>
          </cell>
          <cell r="G58">
            <v>33000</v>
          </cell>
          <cell r="H58"/>
          <cell r="I58" t="str">
            <v>NLR0103</v>
          </cell>
        </row>
        <row r="59">
          <cell r="D59" t="str">
            <v>Lá lốt không cành kg</v>
          </cell>
          <cell r="E59" t="str">
            <v>kg</v>
          </cell>
          <cell r="F59" t="str">
            <v>CÔNG TY CỔ PHẦN DỊCH VỤ TỔNG HỢP TÂM NHUNG</v>
          </cell>
          <cell r="G59">
            <v>25000</v>
          </cell>
          <cell r="H59"/>
          <cell r="I59" t="str">
            <v>NLR0104</v>
          </cell>
        </row>
        <row r="60">
          <cell r="D60" t="str">
            <v>Lá mơ</v>
          </cell>
          <cell r="E60" t="str">
            <v>kg</v>
          </cell>
          <cell r="F60" t="str">
            <v>CÔNG TY CỔ PHẦN DỊCH VỤ TỔNG HỢP TÂM NHUNG</v>
          </cell>
          <cell r="G60">
            <v>27000</v>
          </cell>
          <cell r="H60"/>
          <cell r="I60" t="str">
            <v>NLR0106</v>
          </cell>
        </row>
        <row r="61">
          <cell r="D61" t="str">
            <v>Lá lốt (kg)</v>
          </cell>
          <cell r="E61" t="str">
            <v>kg</v>
          </cell>
          <cell r="F61" t="str">
            <v>CÔNG TY CỔ PHẦN DỊCH VỤ TỔNG HỢP TÂM NHUNG</v>
          </cell>
          <cell r="G61">
            <v>22000</v>
          </cell>
          <cell r="H61"/>
          <cell r="I61" t="str">
            <v>NLR0107</v>
          </cell>
        </row>
        <row r="62">
          <cell r="D62" t="str">
            <v>Lặc lè</v>
          </cell>
          <cell r="E62" t="str">
            <v>kg</v>
          </cell>
          <cell r="F62" t="str">
            <v>CÔNG TY CỔ PHẦN DỊCH VỤ TỔNG HỢP TÂM NHUNG</v>
          </cell>
          <cell r="G62">
            <v>12000</v>
          </cell>
          <cell r="H62"/>
          <cell r="I62" t="str">
            <v>NLR0108</v>
          </cell>
        </row>
        <row r="63">
          <cell r="D63" t="str">
            <v>Măng củ</v>
          </cell>
          <cell r="E63" t="str">
            <v>kg</v>
          </cell>
          <cell r="F63" t="str">
            <v>CÔNG TY CỔ PHẦN DỊCH VỤ TỔNG HỢP TÂM NHUNG</v>
          </cell>
          <cell r="G63">
            <v>20000</v>
          </cell>
          <cell r="H63"/>
          <cell r="I63" t="str">
            <v>NLR0109</v>
          </cell>
        </row>
        <row r="64">
          <cell r="D64" t="str">
            <v>Măng lá</v>
          </cell>
          <cell r="E64" t="str">
            <v>kg</v>
          </cell>
          <cell r="F64" t="str">
            <v>CÔNG TY CỔ PHẦN DỊCH VỤ TỔNG HỢP TÂM NHUNG</v>
          </cell>
          <cell r="G64">
            <v>20000</v>
          </cell>
          <cell r="H64"/>
          <cell r="I64" t="str">
            <v>NLR0111</v>
          </cell>
        </row>
        <row r="65">
          <cell r="D65" t="str">
            <v>Mướp hương</v>
          </cell>
          <cell r="E65" t="str">
            <v>kg</v>
          </cell>
          <cell r="F65" t="str">
            <v>CÔNG TY CỔ PHẦN DỊCH VỤ TỔNG HỢP TÂM NHUNG</v>
          </cell>
          <cell r="G65">
            <v>12000</v>
          </cell>
          <cell r="H65"/>
          <cell r="I65" t="str">
            <v>NLR0116</v>
          </cell>
        </row>
        <row r="66">
          <cell r="D66" t="str">
            <v>Mướp đắng</v>
          </cell>
          <cell r="E66" t="str">
            <v>kg</v>
          </cell>
          <cell r="F66" t="str">
            <v>CÔNG TY CỔ PHẦN DỊCH VỤ TỔNG HỢP TÂM NHUNG</v>
          </cell>
          <cell r="G66">
            <v>15000</v>
          </cell>
          <cell r="H66"/>
          <cell r="I66" t="str">
            <v>NLR0117</v>
          </cell>
        </row>
        <row r="67">
          <cell r="D67" t="str">
            <v>Nấm hương</v>
          </cell>
          <cell r="E67" t="str">
            <v>kg</v>
          </cell>
          <cell r="F67" t="str">
            <v>CÔNG TY CỔ PHẦN DỊCH VỤ TỔNG HỢP TÂM NHUNG</v>
          </cell>
          <cell r="G67">
            <v>210000</v>
          </cell>
          <cell r="H67"/>
          <cell r="I67" t="str">
            <v>NLR0118</v>
          </cell>
        </row>
        <row r="68">
          <cell r="D68" t="str">
            <v>Nấm kim kg</v>
          </cell>
          <cell r="E68" t="str">
            <v>kg</v>
          </cell>
          <cell r="F68" t="str">
            <v>CÔNG TY CỔ PHẦN DỊCH VỤ TỔNG HỢP TÂM NHUNG</v>
          </cell>
          <cell r="G68">
            <v>35000</v>
          </cell>
          <cell r="H68"/>
          <cell r="I68" t="str">
            <v>NLR0120</v>
          </cell>
        </row>
        <row r="69">
          <cell r="D69" t="str">
            <v>Ngải cứu (kg)</v>
          </cell>
          <cell r="E69" t="str">
            <v>kg</v>
          </cell>
          <cell r="F69" t="str">
            <v>CÔNG TY CỔ PHẦN DỊCH VỤ TỔNG HỢP TÂM NHUNG</v>
          </cell>
          <cell r="G69">
            <v>15000</v>
          </cell>
          <cell r="H69"/>
          <cell r="I69" t="str">
            <v>NLR0126</v>
          </cell>
        </row>
        <row r="70">
          <cell r="D70" t="str">
            <v>Nghệ củ</v>
          </cell>
          <cell r="E70" t="str">
            <v>kg</v>
          </cell>
          <cell r="F70" t="str">
            <v>CÔNG TY CỔ PHẦN DỊCH VỤ TỔNG HỢP TÂM NHUNG</v>
          </cell>
          <cell r="G70">
            <v>30000</v>
          </cell>
          <cell r="H70"/>
          <cell r="I70" t="str">
            <v>NLR0127</v>
          </cell>
        </row>
        <row r="71">
          <cell r="D71" t="str">
            <v>Ngô ngọt (bắp)</v>
          </cell>
          <cell r="E71" t="str">
            <v>Bắp</v>
          </cell>
          <cell r="F71" t="str">
            <v>CÔNG TY CỔ PHẦN DỊCH VỤ TỔNG HỢP TÂM NHUNG</v>
          </cell>
          <cell r="G71">
            <v>10000</v>
          </cell>
          <cell r="H71"/>
          <cell r="I71" t="str">
            <v>NLR0136</v>
          </cell>
        </row>
        <row r="72">
          <cell r="D72" t="str">
            <v>Ớt cay</v>
          </cell>
          <cell r="E72" t="str">
            <v>kg</v>
          </cell>
          <cell r="F72" t="str">
            <v>CÔNG TY CỔ PHẦN DỊCH VỤ TỔNG HỢP TÂM NHUNG</v>
          </cell>
          <cell r="G72">
            <v>33000</v>
          </cell>
          <cell r="H72"/>
          <cell r="I72" t="str">
            <v>NLR0137</v>
          </cell>
        </row>
        <row r="73">
          <cell r="D73" t="str">
            <v>ớt sừng xanh</v>
          </cell>
          <cell r="E73" t="str">
            <v>kg</v>
          </cell>
          <cell r="F73" t="str">
            <v>CÔNG TY CỔ PHẦN DỊCH VỤ TỔNG HỢP TÂM NHUNG</v>
          </cell>
          <cell r="G73">
            <v>45000</v>
          </cell>
          <cell r="H73"/>
          <cell r="I73" t="str">
            <v>NLR0139</v>
          </cell>
        </row>
        <row r="74">
          <cell r="D74" t="str">
            <v>Rau dền</v>
          </cell>
          <cell r="E74" t="str">
            <v>kg</v>
          </cell>
          <cell r="F74" t="str">
            <v>CÔNG TY CỔ PHẦN DỊCH VỤ TỔNG HỢP TÂM NHUNG</v>
          </cell>
          <cell r="G74">
            <v>16000</v>
          </cell>
          <cell r="H74"/>
          <cell r="I74" t="str">
            <v>NLR0148</v>
          </cell>
        </row>
        <row r="75">
          <cell r="D75" t="str">
            <v>Rau mồng tơi</v>
          </cell>
          <cell r="E75" t="str">
            <v>kg</v>
          </cell>
          <cell r="F75" t="str">
            <v>CÔNG TY CỔ PHẦN DỊCH VỤ TỔNG HỢP TÂM NHUNG</v>
          </cell>
          <cell r="G75">
            <v>20000</v>
          </cell>
          <cell r="H75"/>
          <cell r="I75" t="str">
            <v>NLR0152</v>
          </cell>
        </row>
        <row r="76">
          <cell r="D76" t="str">
            <v>Rau mùi ta</v>
          </cell>
          <cell r="E76" t="str">
            <v>kg</v>
          </cell>
          <cell r="F76" t="str">
            <v>CÔNG TY CỔ PHẦN DỊCH VỤ TỔNG HỢP TÂM NHUNG</v>
          </cell>
          <cell r="G76">
            <v>50000</v>
          </cell>
          <cell r="H76"/>
          <cell r="I76" t="str">
            <v>NLR0153</v>
          </cell>
        </row>
        <row r="77">
          <cell r="D77" t="str">
            <v>Rau mùi tàu</v>
          </cell>
          <cell r="E77" t="str">
            <v>kg</v>
          </cell>
          <cell r="F77" t="str">
            <v>CÔNG TY CỔ PHẦN DỊCH VỤ TỔNG HỢP TÂM NHUNG</v>
          </cell>
          <cell r="G77">
            <v>33000</v>
          </cell>
          <cell r="H77"/>
          <cell r="I77" t="str">
            <v>NLR0154</v>
          </cell>
        </row>
        <row r="78">
          <cell r="D78" t="str">
            <v>Rau muống cắt gốc</v>
          </cell>
          <cell r="E78" t="str">
            <v>kg</v>
          </cell>
          <cell r="F78" t="str">
            <v>CÔNG TY CỔ PHẦN DỊCH VỤ TỔNG HỢP TÂM NHUNG</v>
          </cell>
          <cell r="G78">
            <v>10000</v>
          </cell>
          <cell r="H78"/>
          <cell r="I78" t="str">
            <v>NLR0156</v>
          </cell>
        </row>
        <row r="79">
          <cell r="D79" t="str">
            <v>Rau ngót</v>
          </cell>
          <cell r="E79" t="str">
            <v>kg</v>
          </cell>
          <cell r="F79" t="str">
            <v>CÔNG TY CỔ PHẦN DỊCH VỤ TỔNG HỢP TÂM NHUNG</v>
          </cell>
          <cell r="G79">
            <v>20000</v>
          </cell>
          <cell r="H79"/>
          <cell r="I79" t="str">
            <v>NLR0157</v>
          </cell>
        </row>
        <row r="80">
          <cell r="D80" t="str">
            <v>Rau ngổ</v>
          </cell>
          <cell r="E80" t="str">
            <v>kg</v>
          </cell>
          <cell r="F80" t="str">
            <v>CÔNG TY CỔ PHẦN DỊCH VỤ TỔNG HỢP TÂM NHUNG</v>
          </cell>
          <cell r="G80">
            <v>15000</v>
          </cell>
          <cell r="H80"/>
          <cell r="I80" t="str">
            <v>NLR0159</v>
          </cell>
        </row>
        <row r="81">
          <cell r="D81" t="str">
            <v>Rau răm</v>
          </cell>
          <cell r="E81" t="str">
            <v>kg</v>
          </cell>
          <cell r="F81" t="str">
            <v>CÔNG TY CỔ PHẦN DỊCH VỤ TỔNG HỢP TÂM NHUNG</v>
          </cell>
          <cell r="G81">
            <v>15000</v>
          </cell>
          <cell r="H81"/>
          <cell r="I81" t="str">
            <v>NLR0160</v>
          </cell>
        </row>
        <row r="82">
          <cell r="D82" t="str">
            <v>Rau xà lách</v>
          </cell>
          <cell r="E82" t="str">
            <v>kg</v>
          </cell>
          <cell r="F82" t="str">
            <v>CÔNG TY CỔ PHẦN DỊCH VỤ TỔNG HỢP TÂM NHUNG</v>
          </cell>
          <cell r="G82">
            <v>22000</v>
          </cell>
          <cell r="H82"/>
          <cell r="I82" t="str">
            <v>NLR0162</v>
          </cell>
        </row>
        <row r="83">
          <cell r="D83" t="str">
            <v>Su su</v>
          </cell>
          <cell r="E83" t="str">
            <v>kg</v>
          </cell>
          <cell r="F83" t="str">
            <v>CÔNG TY CỔ PHẦN DỊCH VỤ TỔNG HỢP TÂM NHUNG</v>
          </cell>
          <cell r="G83">
            <v>13000</v>
          </cell>
          <cell r="H83"/>
          <cell r="I83" t="str">
            <v>NLR0165</v>
          </cell>
        </row>
        <row r="84">
          <cell r="D84" t="str">
            <v>Súp lơ trắng</v>
          </cell>
          <cell r="E84" t="str">
            <v>kg</v>
          </cell>
          <cell r="F84" t="str">
            <v>CÔNG TY CỔ PHẦN DỊCH VỤ TỔNG HỢP TÂM NHUNG</v>
          </cell>
          <cell r="G84">
            <v>35000</v>
          </cell>
          <cell r="H84"/>
          <cell r="I84" t="str">
            <v>NLR0167</v>
          </cell>
        </row>
        <row r="85">
          <cell r="D85" t="str">
            <v>Súp lơ xanh</v>
          </cell>
          <cell r="E85" t="str">
            <v>kg</v>
          </cell>
          <cell r="F85" t="str">
            <v>CÔNG TY CỔ PHẦN DỊCH VỤ TỔNG HỢP TÂM NHUNG</v>
          </cell>
          <cell r="G85">
            <v>35000</v>
          </cell>
          <cell r="H85"/>
          <cell r="I85" t="str">
            <v>NLR0168</v>
          </cell>
        </row>
        <row r="86">
          <cell r="D86" t="str">
            <v>Sứa</v>
          </cell>
          <cell r="E86" t="str">
            <v>Gói</v>
          </cell>
          <cell r="F86" t="str">
            <v>CÔNG TY CỔ PHẦN DỊCH VỤ TỔNG HỢP TÂM NHUNG</v>
          </cell>
          <cell r="G86">
            <v>15000</v>
          </cell>
          <cell r="H86"/>
          <cell r="I86" t="str">
            <v>NLR0169</v>
          </cell>
        </row>
        <row r="87">
          <cell r="D87" t="str">
            <v>Tía tô</v>
          </cell>
          <cell r="E87" t="str">
            <v>kg</v>
          </cell>
          <cell r="F87" t="str">
            <v>CÔNG TY CỔ PHẦN DỊCH VỤ TỔNG HỢP TÂM NHUNG</v>
          </cell>
          <cell r="G87">
            <v>20000</v>
          </cell>
          <cell r="H87"/>
          <cell r="I87" t="str">
            <v>NLR0170</v>
          </cell>
        </row>
        <row r="88">
          <cell r="D88" t="str">
            <v>Tỏi khô bóc</v>
          </cell>
          <cell r="E88" t="str">
            <v>kg</v>
          </cell>
          <cell r="F88" t="str">
            <v>CÔNG TY CỔ PHẦN DỊCH VỤ TỔNG HỢP TÂM NHUNG</v>
          </cell>
          <cell r="G88">
            <v>40000</v>
          </cell>
          <cell r="H88"/>
          <cell r="I88" t="str">
            <v>NLR0171</v>
          </cell>
        </row>
        <row r="89">
          <cell r="D89" t="str">
            <v>Tỏi khô</v>
          </cell>
          <cell r="E89" t="str">
            <v>kg</v>
          </cell>
          <cell r="F89" t="str">
            <v>CÔNG TY CỔ PHẦN DỊCH VỤ TỔNG HỢP TÂM NHUNG</v>
          </cell>
          <cell r="G89">
            <v>30000</v>
          </cell>
          <cell r="H89"/>
          <cell r="I89" t="str">
            <v>NLR0172</v>
          </cell>
        </row>
        <row r="90">
          <cell r="D90" t="str">
            <v>Thì là</v>
          </cell>
          <cell r="E90" t="str">
            <v>kg</v>
          </cell>
          <cell r="F90" t="str">
            <v>CÔNG TY CỔ PHẦN DỊCH VỤ TỔNG HỢP TÂM NHUNG</v>
          </cell>
          <cell r="G90">
            <v>40000</v>
          </cell>
          <cell r="H90" t="str">
            <v>Check</v>
          </cell>
          <cell r="I90" t="str">
            <v>NLR0174</v>
          </cell>
        </row>
        <row r="91">
          <cell r="D91" t="str">
            <v>Sả củ</v>
          </cell>
          <cell r="E91" t="str">
            <v>kg</v>
          </cell>
          <cell r="F91" t="str">
            <v>CÔNG TY CỔ PHẦN DỊCH VỤ TỔNG HỢP TÂM NHUNG</v>
          </cell>
          <cell r="G91">
            <v>14000</v>
          </cell>
          <cell r="H91"/>
          <cell r="I91" t="str">
            <v>NLR0175</v>
          </cell>
        </row>
        <row r="92">
          <cell r="D92" t="str">
            <v>Nấm đùi gà</v>
          </cell>
          <cell r="E92" t="str">
            <v>kg</v>
          </cell>
          <cell r="F92" t="str">
            <v>CÔNG TY CỔ PHẦN DỊCH VỤ TỔNG HỢP TÂM NHUNG</v>
          </cell>
          <cell r="G92">
            <v>35000</v>
          </cell>
          <cell r="H92" t="str">
            <v>Check</v>
          </cell>
          <cell r="I92" t="str">
            <v>NLR0177</v>
          </cell>
        </row>
        <row r="93">
          <cell r="D93" t="str">
            <v>Húng chó</v>
          </cell>
          <cell r="E93" t="str">
            <v>kg</v>
          </cell>
          <cell r="F93" t="str">
            <v>CÔNG TY CỔ PHẦN DỊCH VỤ TỔNG HỢP TÂM NHUNG</v>
          </cell>
          <cell r="G93">
            <v>30000</v>
          </cell>
          <cell r="H93" t="str">
            <v>Check</v>
          </cell>
          <cell r="I93" t="str">
            <v>NLR0179</v>
          </cell>
        </row>
        <row r="94">
          <cell r="D94" t="str">
            <v>Lá chè tươi</v>
          </cell>
          <cell r="E94" t="str">
            <v>kg</v>
          </cell>
          <cell r="F94" t="str">
            <v>CÔNG TY CỔ PHẦN DỊCH VỤ TỔNG HỢP TÂM NHUNG</v>
          </cell>
          <cell r="G94">
            <v>15000</v>
          </cell>
          <cell r="H94"/>
          <cell r="I94" t="str">
            <v>NLR0186</v>
          </cell>
        </row>
        <row r="95">
          <cell r="D95" t="str">
            <v>Rau má</v>
          </cell>
          <cell r="E95" t="str">
            <v>kg</v>
          </cell>
          <cell r="F95" t="str">
            <v>CÔNG TY CỔ PHẦN DỊCH VỤ TỔNG HỢP TÂM NHUNG</v>
          </cell>
          <cell r="G95">
            <v>25000</v>
          </cell>
          <cell r="H95"/>
          <cell r="I95" t="str">
            <v>NLR0224</v>
          </cell>
        </row>
        <row r="96">
          <cell r="D96" t="str">
            <v>Rau vặt</v>
          </cell>
          <cell r="E96" t="str">
            <v>kg</v>
          </cell>
          <cell r="F96" t="str">
            <v>CÔNG TY CỔ PHẦN DỊCH VỤ TỔNG HỢP TÂM NHUNG</v>
          </cell>
          <cell r="G96">
            <v>15000</v>
          </cell>
          <cell r="H96"/>
          <cell r="I96" t="str">
            <v>NLR0225</v>
          </cell>
        </row>
        <row r="97">
          <cell r="D97" t="str">
            <v>ớt sừng đỏ</v>
          </cell>
          <cell r="E97" t="str">
            <v>kg</v>
          </cell>
          <cell r="F97" t="str">
            <v>CÔNG TY CỔ PHẦN DỊCH VỤ TỔNG HỢP TÂM NHUNG</v>
          </cell>
          <cell r="G97">
            <v>33000</v>
          </cell>
          <cell r="H97"/>
          <cell r="I97" t="str">
            <v>NLR0227</v>
          </cell>
        </row>
        <row r="98">
          <cell r="D98" t="str">
            <v>Măng chua</v>
          </cell>
          <cell r="E98" t="str">
            <v>kg</v>
          </cell>
          <cell r="F98" t="str">
            <v>CÔNG TY CỔ PHẦN DỊCH VỤ TỔNG HỢP TÂM NHUNG</v>
          </cell>
          <cell r="G98">
            <v>25000</v>
          </cell>
          <cell r="H98"/>
          <cell r="I98" t="str">
            <v>NLR0260</v>
          </cell>
        </row>
        <row r="99">
          <cell r="D99" t="str">
            <v>Bí xanh ngắn</v>
          </cell>
          <cell r="E99" t="str">
            <v>kg</v>
          </cell>
          <cell r="F99" t="str">
            <v>CÔNG TY CỔ PHẦN DỊCH VỤ TỔNG HỢP TÂM NHUNG</v>
          </cell>
          <cell r="G99">
            <v>12000</v>
          </cell>
          <cell r="H99"/>
          <cell r="I99" t="str">
            <v>NLR0264</v>
          </cell>
        </row>
        <row r="100">
          <cell r="D100" t="str">
            <v>Bí xanh dài</v>
          </cell>
          <cell r="E100" t="str">
            <v>kg</v>
          </cell>
          <cell r="F100" t="str">
            <v>CÔNG TY CỔ PHẦN DỊCH VỤ TỔNG HỢP TÂM NHUNG</v>
          </cell>
          <cell r="G100">
            <v>10000</v>
          </cell>
          <cell r="H100"/>
          <cell r="I100" t="str">
            <v>NLR0266</v>
          </cell>
        </row>
        <row r="101">
          <cell r="D101" t="str">
            <v>Cà chua to</v>
          </cell>
          <cell r="E101" t="str">
            <v>kg</v>
          </cell>
          <cell r="F101" t="str">
            <v>CÔNG TY CỔ PHẦN DỊCH VỤ TỔNG HỢP TÂM NHUNG</v>
          </cell>
          <cell r="G101">
            <v>20000</v>
          </cell>
          <cell r="H101"/>
          <cell r="I101" t="str">
            <v>NLR0268</v>
          </cell>
        </row>
        <row r="102">
          <cell r="D102" t="str">
            <v>Dưa cải bẹ muối</v>
          </cell>
          <cell r="E102" t="str">
            <v>kg</v>
          </cell>
          <cell r="F102" t="str">
            <v>CÔNG TY CỔ PHẦN DỊCH VỤ TỔNG HỢP TÂM NHUNG</v>
          </cell>
          <cell r="G102">
            <v>28000</v>
          </cell>
          <cell r="H102"/>
          <cell r="I102" t="str">
            <v>NLR0272</v>
          </cell>
        </row>
        <row r="103">
          <cell r="D103" t="str">
            <v>Lá mắc mật khô</v>
          </cell>
          <cell r="E103" t="str">
            <v>kg</v>
          </cell>
          <cell r="F103" t="str">
            <v>CÔNG TY CỔ PHẦN DỊCH VỤ TỔNG HỢP TÂM NHUNG</v>
          </cell>
          <cell r="G103">
            <v>150000</v>
          </cell>
          <cell r="H103"/>
          <cell r="I103" t="str">
            <v>NLR0276</v>
          </cell>
        </row>
        <row r="104">
          <cell r="D104" t="str">
            <v>Ngọn rau khoai lang</v>
          </cell>
          <cell r="E104" t="str">
            <v>kg</v>
          </cell>
          <cell r="F104" t="str">
            <v>CÔNG TY CỔ PHẦN DỊCH VỤ TỔNG HỢP TÂM NHUNG</v>
          </cell>
          <cell r="G104">
            <v>15000</v>
          </cell>
          <cell r="H104"/>
          <cell r="I104" t="str">
            <v>NLR0291</v>
          </cell>
        </row>
        <row r="105">
          <cell r="D105" t="str">
            <v>Ngọn rau mồng tơi</v>
          </cell>
          <cell r="E105" t="str">
            <v>kg</v>
          </cell>
          <cell r="F105" t="str">
            <v>CÔNG TY CỔ PHẦN DỊCH VỤ TỔNG HỢP TÂM NHUNG</v>
          </cell>
          <cell r="G105">
            <v>23000</v>
          </cell>
          <cell r="H105"/>
          <cell r="I105" t="str">
            <v>NLR0294</v>
          </cell>
        </row>
        <row r="106">
          <cell r="D106" t="str">
            <v>Ớt chuông đỏ</v>
          </cell>
          <cell r="E106" t="str">
            <v>kg</v>
          </cell>
          <cell r="F106" t="str">
            <v>CÔNG TY CỔ PHẦN DỊCH VỤ TỔNG HỢP TÂM NHUNG</v>
          </cell>
          <cell r="G106">
            <v>30000</v>
          </cell>
          <cell r="H106"/>
          <cell r="I106" t="str">
            <v>NLR0311</v>
          </cell>
        </row>
        <row r="107">
          <cell r="D107" t="str">
            <v>Ớt chuông xanh</v>
          </cell>
          <cell r="E107" t="str">
            <v>kg</v>
          </cell>
          <cell r="F107" t="str">
            <v>CÔNG TY CỔ PHẦN DỊCH VỤ TỔNG HỢP TÂM NHUNG</v>
          </cell>
          <cell r="G107">
            <v>30000</v>
          </cell>
          <cell r="H107"/>
          <cell r="I107" t="str">
            <v>NLR0312</v>
          </cell>
        </row>
        <row r="108">
          <cell r="D108" t="str">
            <v>Cải chíp VN</v>
          </cell>
          <cell r="E108" t="str">
            <v>kg</v>
          </cell>
          <cell r="F108" t="str">
            <v>CÔNG TY CỔ PHẦN DỊCH VỤ TỔNG HỢP TÂM NHUNG</v>
          </cell>
          <cell r="G108">
            <v>25000</v>
          </cell>
          <cell r="H108"/>
          <cell r="I108" t="str">
            <v>NLR0329</v>
          </cell>
        </row>
        <row r="109">
          <cell r="D109" t="str">
            <v>Cá chép sơ chế bỏ đầu 0.8-1kg</v>
          </cell>
          <cell r="E109" t="str">
            <v>kg</v>
          </cell>
          <cell r="F109" t="str">
            <v>CÔNG TY CỔ PHẦN DỊCH VỤ TỔNG HỢP TÂM NHUNG</v>
          </cell>
          <cell r="G109">
            <v>70000</v>
          </cell>
          <cell r="H109"/>
          <cell r="I109" t="str">
            <v>NLS0007</v>
          </cell>
        </row>
        <row r="110">
          <cell r="D110" t="str">
            <v>Cá chim sơ chế bỏ đầu 0,8-1kg/con</v>
          </cell>
          <cell r="E110" t="str">
            <v>kg</v>
          </cell>
          <cell r="F110" t="str">
            <v>CÔNG TY CỔ PHẦN DỊCH VỤ TỔNG HỢP TÂM NHUNG</v>
          </cell>
          <cell r="G110">
            <v>50000</v>
          </cell>
          <cell r="H110"/>
          <cell r="I110" t="str">
            <v>NLS0013</v>
          </cell>
        </row>
        <row r="111">
          <cell r="D111" t="str">
            <v>Cá diêu hồng 1-1,2kg/con</v>
          </cell>
          <cell r="E111" t="str">
            <v>kg</v>
          </cell>
          <cell r="F111" t="str">
            <v>CÔNG TY CỔ PHẦN DỊCH VỤ TỔNG HỢP TÂM NHUNG</v>
          </cell>
          <cell r="G111">
            <v>70000</v>
          </cell>
          <cell r="H111"/>
          <cell r="I111" t="str">
            <v>NLS0014</v>
          </cell>
        </row>
        <row r="112">
          <cell r="D112" t="str">
            <v>Cá quả sơ chế bỏ đầu 0,8-1kg</v>
          </cell>
          <cell r="E112" t="str">
            <v>kg</v>
          </cell>
          <cell r="F112" t="str">
            <v>CÔNG TY CỔ PHẦN DỊCH VỤ TỔNG HỢP TÂM NHUNG</v>
          </cell>
          <cell r="G112">
            <v>92000</v>
          </cell>
          <cell r="H112"/>
          <cell r="I112" t="str">
            <v>NLS0025</v>
          </cell>
        </row>
        <row r="113">
          <cell r="D113" t="str">
            <v>Cá rô phi lọc 0.2-0.3kg/miếng</v>
          </cell>
          <cell r="E113" t="str">
            <v>kg</v>
          </cell>
          <cell r="F113" t="str">
            <v>CÔNG TY CỔ PHẦN DỊCH VỤ TỔNG HỢP TÂM NHUNG</v>
          </cell>
          <cell r="G113">
            <v>60000</v>
          </cell>
          <cell r="H113"/>
          <cell r="I113" t="str">
            <v>NLS0028</v>
          </cell>
        </row>
        <row r="114">
          <cell r="D114" t="str">
            <v>Cá rô phi sơ chế bỏ đầu 0.7-1kg</v>
          </cell>
          <cell r="E114" t="str">
            <v>kg</v>
          </cell>
          <cell r="F114" t="str">
            <v>CÔNG TY CỔ PHẦN DỊCH VỤ TỔNG HỢP TÂM NHUNG</v>
          </cell>
          <cell r="G114">
            <v>55000</v>
          </cell>
          <cell r="H114"/>
          <cell r="I114" t="str">
            <v>NLS0030</v>
          </cell>
        </row>
        <row r="115">
          <cell r="D115" t="str">
            <v>Ngao</v>
          </cell>
          <cell r="E115" t="str">
            <v>kg</v>
          </cell>
          <cell r="F115" t="str">
            <v>CÔNG TY CỔ PHẦN DỊCH VỤ TỔNG HỢP TÂM NHUNG</v>
          </cell>
          <cell r="G115">
            <v>25000</v>
          </cell>
          <cell r="H115"/>
          <cell r="I115" t="str">
            <v>NLS0058</v>
          </cell>
        </row>
        <row r="116">
          <cell r="D116" t="str">
            <v>Tôm dảo tươi 80-100 con/kg</v>
          </cell>
          <cell r="E116" t="str">
            <v>kg</v>
          </cell>
          <cell r="F116" t="str">
            <v>CÔNG TY CỔ PHẦN DỊCH VỤ TỔNG HỢP TÂM NHUNG</v>
          </cell>
          <cell r="G116">
            <v>165000</v>
          </cell>
          <cell r="H116"/>
          <cell r="I116" t="str">
            <v>NLS0080</v>
          </cell>
        </row>
        <row r="117">
          <cell r="D117" t="str">
            <v>Tôm dảo tươi 100-120 con/kg</v>
          </cell>
          <cell r="E117" t="str">
            <v>kg</v>
          </cell>
          <cell r="F117" t="str">
            <v>CÔNG TY CỔ PHẦN DỊCH VỤ TỔNG HỢP TÂM NHUNG</v>
          </cell>
          <cell r="G117">
            <v>158000</v>
          </cell>
          <cell r="H117"/>
          <cell r="I117" t="str">
            <v>NLS0081</v>
          </cell>
        </row>
        <row r="118">
          <cell r="D118" t="str">
            <v>Cá trôi sơ chế bỏ đầu 0.8-1 kg/con</v>
          </cell>
          <cell r="E118" t="str">
            <v>kg</v>
          </cell>
          <cell r="F118" t="str">
            <v>CÔNG TY CỔ PHẦN DỊCH VỤ TỔNG HỢP TÂM NHUNG</v>
          </cell>
          <cell r="G118">
            <v>50000</v>
          </cell>
          <cell r="H118"/>
          <cell r="I118" t="str">
            <v>NLS0104</v>
          </cell>
        </row>
        <row r="119">
          <cell r="D119" t="str">
            <v>Cá cơm khô</v>
          </cell>
          <cell r="E119" t="str">
            <v>kg</v>
          </cell>
          <cell r="F119" t="str">
            <v>CÔNG TY CỔ PHẦN DỊCH VỤ TỔNG HỢP TÂM NHUNG</v>
          </cell>
          <cell r="G119">
            <v>100000</v>
          </cell>
          <cell r="H119"/>
          <cell r="I119" t="str">
            <v>NLS0111</v>
          </cell>
        </row>
        <row r="120">
          <cell r="D120" t="str">
            <v>Lươn sơ chế</v>
          </cell>
          <cell r="E120" t="str">
            <v>kg</v>
          </cell>
          <cell r="F120" t="str">
            <v>CÔNG TY CỔ PHẦN DỊCH VỤ TỔNG HỢP TÂM NHUNG</v>
          </cell>
          <cell r="G120">
            <v>180000</v>
          </cell>
          <cell r="H120"/>
          <cell r="I120" t="str">
            <v>NLS0122</v>
          </cell>
        </row>
        <row r="121">
          <cell r="D121" t="str">
            <v>Cá diêu hồng sơ chế 0.8-1kg/con</v>
          </cell>
          <cell r="E121" t="str">
            <v>kg</v>
          </cell>
          <cell r="F121" t="str">
            <v>CÔNG TY CỔ PHẦN DỊCH VỤ TỔNG HỢP TÂM NHUNG</v>
          </cell>
          <cell r="G121">
            <v>80000</v>
          </cell>
          <cell r="H121"/>
          <cell r="I121" t="str">
            <v>NLS0128</v>
          </cell>
        </row>
        <row r="122">
          <cell r="D122" t="str">
            <v>Cá trắm sơ chế bỏ đầu 2-2.5kg</v>
          </cell>
          <cell r="E122" t="str">
            <v>kg</v>
          </cell>
          <cell r="F122" t="str">
            <v>CÔNG TY CỔ PHẦN DỊCH VỤ TỔNG HỢP TÂM NHUNG</v>
          </cell>
          <cell r="G122">
            <v>95000</v>
          </cell>
          <cell r="H122" t="str">
            <v>Check</v>
          </cell>
          <cell r="I122" t="str">
            <v>NLS0147</v>
          </cell>
        </row>
        <row r="123">
          <cell r="D123" t="str">
            <v>cá quả sc còn đầu 0,8-1kg</v>
          </cell>
          <cell r="E123" t="str">
            <v>kg</v>
          </cell>
          <cell r="F123" t="str">
            <v>CÔNG TY CỔ PHẦN DỊCH VỤ TỔNG HỢP TÂM NHUNG</v>
          </cell>
          <cell r="G123">
            <v>80000</v>
          </cell>
          <cell r="H123"/>
          <cell r="I123" t="str">
            <v>NLS0169</v>
          </cell>
        </row>
        <row r="124">
          <cell r="D124" t="str">
            <v>Cá mè 1-1.2kg/con</v>
          </cell>
          <cell r="E124" t="str">
            <v>kg</v>
          </cell>
          <cell r="F124" t="str">
            <v>CÔNG TY CỔ PHẦN DỊCH VỤ TỔNG HỢP TÂM NHUNG</v>
          </cell>
          <cell r="G124">
            <v>50000</v>
          </cell>
          <cell r="H124"/>
          <cell r="I124" t="str">
            <v>NLS0202</v>
          </cell>
        </row>
        <row r="125">
          <cell r="D125" t="str">
            <v>Tôm dảo tươi 35-40 con/kg</v>
          </cell>
          <cell r="E125" t="str">
            <v>kg</v>
          </cell>
          <cell r="F125" t="str">
            <v>CÔNG TY CỔ PHẦN DỊCH VỤ TỔNG HỢP TÂM NHUNG</v>
          </cell>
          <cell r="G125">
            <v>285000</v>
          </cell>
          <cell r="H125"/>
          <cell r="I125" t="str">
            <v>NLS0294</v>
          </cell>
        </row>
        <row r="126">
          <cell r="D126" t="str">
            <v>Cá ba sa tươi sơ chế bỏ đầu 1.5 - 2kg/con</v>
          </cell>
          <cell r="E126" t="str">
            <v>kg</v>
          </cell>
          <cell r="F126" t="str">
            <v>CÔNG TY CỔ PHẦN DỊCH VỤ TỔNG HỢP TÂM NHUNG</v>
          </cell>
          <cell r="G126">
            <v>60000</v>
          </cell>
          <cell r="H126"/>
          <cell r="I126" t="str">
            <v>NLS0432</v>
          </cell>
        </row>
        <row r="127">
          <cell r="D127" t="str">
            <v>Cá trắm đen sơ chế bỏ đầu &gt;3kg</v>
          </cell>
          <cell r="E127" t="str">
            <v>kg</v>
          </cell>
          <cell r="F127" t="str">
            <v>CÔNG TY CỔ PHẦN DỊCH VỤ TỔNG HỢP TÂM NHUNG</v>
          </cell>
          <cell r="G127">
            <v>90000</v>
          </cell>
          <cell r="H127"/>
          <cell r="I127" t="str">
            <v>NLS0433</v>
          </cell>
        </row>
        <row r="128">
          <cell r="D128" t="str">
            <v>Chả lợn</v>
          </cell>
          <cell r="E128" t="str">
            <v>kg</v>
          </cell>
          <cell r="F128" t="str">
            <v>CÔNG TY CỔ PHẦN DỊCH VỤ TỔNG HỢP TÂM NHUNG</v>
          </cell>
          <cell r="G128">
            <v>86000</v>
          </cell>
          <cell r="H128"/>
          <cell r="I128" t="str">
            <v>NLT0003</v>
          </cell>
        </row>
        <row r="129">
          <cell r="D129" t="str">
            <v>Đậu phụ kg</v>
          </cell>
          <cell r="E129" t="str">
            <v>kg</v>
          </cell>
          <cell r="F129" t="str">
            <v>CÔNG TY CỔ PHẦN DỊCH VỤ TỔNG HỢP TÂM NHUNG</v>
          </cell>
          <cell r="G129">
            <v>18000</v>
          </cell>
          <cell r="H129"/>
          <cell r="I129" t="str">
            <v>NLT0011</v>
          </cell>
        </row>
        <row r="130">
          <cell r="D130" t="str">
            <v>Gan lợn</v>
          </cell>
          <cell r="E130" t="str">
            <v>kg</v>
          </cell>
          <cell r="F130" t="str">
            <v>CÔNG TY CỔ PHẦN DỊCH VỤ TỔNG HỢP TÂM NHUNG</v>
          </cell>
          <cell r="G130">
            <v>25000</v>
          </cell>
          <cell r="H130"/>
          <cell r="I130" t="str">
            <v>NLT0013</v>
          </cell>
        </row>
        <row r="131">
          <cell r="D131" t="str">
            <v>Giò lụa</v>
          </cell>
          <cell r="E131" t="str">
            <v>kg</v>
          </cell>
          <cell r="F131" t="str">
            <v>CÔNG TY CỔ PHẦN DỊCH VỤ TỔNG HỢP TÂM NHUNG</v>
          </cell>
          <cell r="G131">
            <v>105000</v>
          </cell>
          <cell r="H131"/>
          <cell r="I131" t="str">
            <v>NLT0017</v>
          </cell>
        </row>
        <row r="132">
          <cell r="D132" t="str">
            <v>Lạc nhân</v>
          </cell>
          <cell r="E132" t="str">
            <v>kg</v>
          </cell>
          <cell r="F132" t="str">
            <v>CÔNG TY CỔ PHẦN DỊCH VỤ TỔNG HỢP TÂM NHUNG</v>
          </cell>
          <cell r="G132">
            <v>50000</v>
          </cell>
          <cell r="H132"/>
          <cell r="I132" t="str">
            <v>NLT0020</v>
          </cell>
        </row>
        <row r="133">
          <cell r="D133" t="str">
            <v>Mọc viên</v>
          </cell>
          <cell r="E133" t="str">
            <v>kg</v>
          </cell>
          <cell r="F133" t="str">
            <v>CÔNG TY CỔ PHẦN DỊCH VỤ TỔNG HỢP TÂM NHUNG</v>
          </cell>
          <cell r="G133">
            <v>86000</v>
          </cell>
          <cell r="H133"/>
          <cell r="I133" t="str">
            <v>NLT0027</v>
          </cell>
        </row>
        <row r="134">
          <cell r="D134" t="str">
            <v>Tiết lợn kg</v>
          </cell>
          <cell r="E134" t="str">
            <v>kg</v>
          </cell>
          <cell r="F134" t="str">
            <v>CÔNG TY CỔ PHẦN DỊCH VỤ TỔNG HỢP TÂM NHUNG</v>
          </cell>
          <cell r="G134">
            <v>20000</v>
          </cell>
          <cell r="H134"/>
          <cell r="I134" t="str">
            <v>NLT0037</v>
          </cell>
        </row>
        <row r="135">
          <cell r="D135" t="str">
            <v>Tiết bò</v>
          </cell>
          <cell r="E135" t="str">
            <v>kg</v>
          </cell>
          <cell r="F135" t="str">
            <v>CÔNG TY CỔ PHẦN DỊCH VỤ TỔNG HỢP TÂM NHUNG</v>
          </cell>
          <cell r="G135">
            <v>25000</v>
          </cell>
          <cell r="H135"/>
          <cell r="I135" t="str">
            <v>NLT0038</v>
          </cell>
        </row>
        <row r="136">
          <cell r="D136" t="str">
            <v>ếch sơ chế bỏ đầu</v>
          </cell>
          <cell r="E136" t="str">
            <v>kg</v>
          </cell>
          <cell r="F136" t="str">
            <v>CÔNG TY CỔ PHẦN DỊCH VỤ TỔNG HỢP TÂM NHUNG</v>
          </cell>
          <cell r="G136">
            <v>140000</v>
          </cell>
          <cell r="H136"/>
          <cell r="I136" t="str">
            <v>NLT0061</v>
          </cell>
        </row>
        <row r="137">
          <cell r="D137" t="str">
            <v>Thịt xay</v>
          </cell>
          <cell r="E137" t="str">
            <v>kg</v>
          </cell>
          <cell r="F137" t="str">
            <v>CÔNG TY CỔ PHẦN DỊCH VỤ TỔNG HỢP TÂM NHUNG</v>
          </cell>
          <cell r="G137">
            <v>95000</v>
          </cell>
          <cell r="H137"/>
          <cell r="I137" t="str">
            <v>NLT0098</v>
          </cell>
        </row>
        <row r="138">
          <cell r="D138" t="str">
            <v>Trứng cút bóc vỏ</v>
          </cell>
          <cell r="E138" t="str">
            <v>quả</v>
          </cell>
          <cell r="F138" t="str">
            <v>CÔNG TY CỔ PHẦN DỊCH VỤ TỔNG HỢP TÂM NHUNG</v>
          </cell>
          <cell r="G138">
            <v>750</v>
          </cell>
          <cell r="H138"/>
          <cell r="I138" t="str">
            <v>NLT0100</v>
          </cell>
        </row>
        <row r="139">
          <cell r="D139" t="str">
            <v>Trứng vịt lộn</v>
          </cell>
          <cell r="E139" t="str">
            <v>quả</v>
          </cell>
          <cell r="F139" t="str">
            <v>CÔNG TY CỔ PHẦN DỊCH VỤ TỔNG HỢP TÂM NHUNG</v>
          </cell>
          <cell r="G139">
            <v>4200</v>
          </cell>
          <cell r="H139"/>
          <cell r="I139" t="str">
            <v>NLT0105</v>
          </cell>
        </row>
        <row r="140">
          <cell r="D140" t="str">
            <v>Ức gà không xương</v>
          </cell>
          <cell r="E140" t="str">
            <v>kg</v>
          </cell>
          <cell r="F140" t="str">
            <v>CÔNG TY CỔ PHẦN DỊCH VỤ TỔNG HỢP TÂM NHUNG</v>
          </cell>
          <cell r="G140">
            <v>77000</v>
          </cell>
          <cell r="H140"/>
          <cell r="I140" t="str">
            <v>NLT0107</v>
          </cell>
        </row>
        <row r="141">
          <cell r="D141" t="str">
            <v>Xương cục</v>
          </cell>
          <cell r="E141" t="str">
            <v>kg</v>
          </cell>
          <cell r="F141" t="str">
            <v>CÔNG TY CỔ PHẦN DỊCH VỤ TỔNG HỢP TÂM NHUNG</v>
          </cell>
          <cell r="G141">
            <v>80000</v>
          </cell>
          <cell r="H141"/>
          <cell r="I141" t="str">
            <v>NLT0110</v>
          </cell>
        </row>
        <row r="142">
          <cell r="D142" t="str">
            <v>Xương ống</v>
          </cell>
          <cell r="E142" t="str">
            <v>kg</v>
          </cell>
          <cell r="F142" t="str">
            <v>CÔNG TY CỔ PHẦN DỊCH VỤ TỔNG HỢP TÂM NHUNG</v>
          </cell>
          <cell r="G142">
            <v>45000</v>
          </cell>
          <cell r="H142"/>
          <cell r="I142" t="str">
            <v>NLT0112</v>
          </cell>
        </row>
        <row r="143">
          <cell r="D143" t="str">
            <v>Trứng gà CN 1,9-2.1kg/khay</v>
          </cell>
          <cell r="E143" t="str">
            <v>quả</v>
          </cell>
          <cell r="F143" t="str">
            <v>CÔNG TY CỔ PHẦN DỊCH VỤ TỔNG HỢP TÂM NHUNG</v>
          </cell>
          <cell r="G143">
            <v>3100</v>
          </cell>
          <cell r="H143"/>
          <cell r="I143" t="str">
            <v>NLT0181</v>
          </cell>
        </row>
        <row r="144">
          <cell r="D144" t="str">
            <v>Gà ta sơ chế 2-2.5kg/con</v>
          </cell>
          <cell r="E144" t="str">
            <v>kg</v>
          </cell>
          <cell r="F144" t="str">
            <v>CÔNG TY CỔ PHẦN DỊCH VỤ TỔNG HỢP TÂM NHUNG</v>
          </cell>
          <cell r="G144">
            <v>110000</v>
          </cell>
          <cell r="H144"/>
          <cell r="I144" t="str">
            <v>NLT0249</v>
          </cell>
        </row>
        <row r="145">
          <cell r="D145" t="str">
            <v>Thịt gà ta sơ chế 1.5-1.7kg/con</v>
          </cell>
          <cell r="E145" t="str">
            <v>kg</v>
          </cell>
          <cell r="F145" t="str">
            <v>CÔNG TY CỔ PHẦN DỊCH VỤ TỔNG HỢP TÂM NHUNG</v>
          </cell>
          <cell r="G145">
            <v>110000</v>
          </cell>
          <cell r="H145"/>
          <cell r="I145" t="str">
            <v>NLT0342</v>
          </cell>
        </row>
        <row r="146">
          <cell r="D146" t="str">
            <v>Thịt bê bỏ da</v>
          </cell>
          <cell r="E146" t="str">
            <v>kg</v>
          </cell>
          <cell r="F146" t="str">
            <v>CÔNG TY CỔ PHẦN DỊCH VỤ TỔNG HỢP TÂM NHUNG</v>
          </cell>
          <cell r="G146">
            <v>220000</v>
          </cell>
          <cell r="H146"/>
          <cell r="I146" t="str">
            <v>NLT0605</v>
          </cell>
        </row>
        <row r="147">
          <cell r="D147" t="str">
            <v>Hành khô</v>
          </cell>
          <cell r="E147" t="str">
            <v>kg</v>
          </cell>
          <cell r="F147" t="str">
            <v>CÔNG TY CỔ PHẦN DỊCH VỤ TỔNG HỢP TÂM NHUNG</v>
          </cell>
          <cell r="G147">
            <v>25000</v>
          </cell>
          <cell r="H147"/>
          <cell r="I147" t="str">
            <v>NPG0066</v>
          </cell>
        </row>
        <row r="148">
          <cell r="D148" t="str">
            <v>Hành tăm ( củ nén)</v>
          </cell>
          <cell r="E148" t="str">
            <v>kg</v>
          </cell>
          <cell r="F148" t="str">
            <v>CÔNG TY CỔ PHẦN DỊCH VỤ TỔNG HỢP TÂM NHUNG</v>
          </cell>
          <cell r="G148">
            <v>30000</v>
          </cell>
          <cell r="H148"/>
          <cell r="I148" t="str">
            <v>NPG0237</v>
          </cell>
        </row>
        <row r="149">
          <cell r="D149" t="str">
            <v>Ớt khô nguyên quả</v>
          </cell>
          <cell r="E149" t="str">
            <v>kg</v>
          </cell>
          <cell r="F149" t="str">
            <v>CÔNG TY CỔ PHẦN DỊCH VỤ TỔNG HỢP TÂM NHUNG</v>
          </cell>
          <cell r="G149">
            <v>110000</v>
          </cell>
          <cell r="H149"/>
          <cell r="I149" t="str">
            <v>NPG0457</v>
          </cell>
        </row>
        <row r="150">
          <cell r="D150" t="str">
            <v>Dầu ăn orchid 19.8 lít / thùng</v>
          </cell>
          <cell r="E150" t="str">
            <v>Lít</v>
          </cell>
          <cell r="F150" t="str">
            <v>CÔNG TY CỔ PHẦN DỊCH VỤ TỔNG HỢP TÂM NHUNG</v>
          </cell>
          <cell r="G150">
            <v>36000</v>
          </cell>
          <cell r="H150"/>
          <cell r="I150" t="str">
            <v>NPG0532</v>
          </cell>
        </row>
        <row r="151">
          <cell r="D151" t="str">
            <v>Thìa nhựa</v>
          </cell>
          <cell r="E151" t="str">
            <v>Cái</v>
          </cell>
          <cell r="F151" t="str">
            <v>Công ty cổ phần dịch vụ B2B Sen Vàng</v>
          </cell>
          <cell r="G151">
            <v>119</v>
          </cell>
          <cell r="H151"/>
          <cell r="I151" t="str">
            <v>CCDC00513</v>
          </cell>
        </row>
        <row r="152">
          <cell r="D152" t="str">
            <v>Hộp xốp 3 ngăn</v>
          </cell>
          <cell r="E152" t="str">
            <v>Chiếc</v>
          </cell>
          <cell r="F152" t="str">
            <v>Công ty cổ phần dịch vụ B2B Sen Vàng</v>
          </cell>
          <cell r="G152">
            <v>586</v>
          </cell>
          <cell r="H152"/>
          <cell r="I152" t="str">
            <v>CCDC00817</v>
          </cell>
        </row>
        <row r="153">
          <cell r="D153" t="str">
            <v>Bánh mỳ ruốc Staff hữu nghị 40g</v>
          </cell>
          <cell r="E153" t="str">
            <v>Cái</v>
          </cell>
          <cell r="F153" t="str">
            <v>Công ty cổ phần dịch vụ B2B Sen Vàng</v>
          </cell>
          <cell r="G153">
            <v>3210</v>
          </cell>
          <cell r="H153"/>
          <cell r="I153" t="str">
            <v>HHB0019</v>
          </cell>
        </row>
        <row r="154">
          <cell r="D154" t="str">
            <v>Thạch Long Hải 95g* 100 cốc/thùng</v>
          </cell>
          <cell r="E154" t="str">
            <v>Cốc</v>
          </cell>
          <cell r="F154" t="str">
            <v>Công ty cổ phần dịch vụ B2B Sen Vàng</v>
          </cell>
          <cell r="G154">
            <v>1715</v>
          </cell>
          <cell r="H154"/>
          <cell r="I154" t="str">
            <v>HHB0027</v>
          </cell>
        </row>
        <row r="155">
          <cell r="D155" t="str">
            <v>Bánh trứng Custar 12P ( 12 cái x 8 hộp/ th)</v>
          </cell>
          <cell r="E155" t="str">
            <v>Hộp</v>
          </cell>
          <cell r="F155" t="str">
            <v>Công ty cổ phần dịch vụ B2B Sen Vàng</v>
          </cell>
          <cell r="G155">
            <v>48200</v>
          </cell>
          <cell r="H155"/>
          <cell r="I155" t="str">
            <v>HHB0066</v>
          </cell>
        </row>
        <row r="156">
          <cell r="D156" t="str">
            <v>Bánh Chocopie 12P ( 12 cái x 8 hộp/ th)</v>
          </cell>
          <cell r="E156" t="str">
            <v>Hộp</v>
          </cell>
          <cell r="F156" t="str">
            <v>Công ty cổ phần dịch vụ B2B Sen Vàng</v>
          </cell>
          <cell r="G156">
            <v>47550</v>
          </cell>
          <cell r="H156"/>
          <cell r="I156" t="str">
            <v>HHB0068</v>
          </cell>
        </row>
        <row r="157">
          <cell r="D157" t="str">
            <v>Bánh mỳ staff cốm sữa 40gr *60 chiếc/thùng</v>
          </cell>
          <cell r="E157" t="str">
            <v>Cái</v>
          </cell>
          <cell r="F157" t="str">
            <v>Công ty cổ phần dịch vụ B2B Sen Vàng</v>
          </cell>
          <cell r="G157">
            <v>2366</v>
          </cell>
          <cell r="H157"/>
          <cell r="I157" t="str">
            <v>HHB0091</v>
          </cell>
        </row>
        <row r="158">
          <cell r="D158" t="str">
            <v>Bánh mỳ Staff ruốc 60g( 60 cái / thùng)</v>
          </cell>
          <cell r="E158" t="str">
            <v>Cái</v>
          </cell>
          <cell r="F158" t="str">
            <v>Công ty cổ phần dịch vụ B2B Sen Vàng</v>
          </cell>
          <cell r="G158">
            <v>5165</v>
          </cell>
          <cell r="H158"/>
          <cell r="I158" t="str">
            <v>HHB0117</v>
          </cell>
        </row>
        <row r="159">
          <cell r="D159" t="str">
            <v>Bánh tươi Karo 26g túi 6x12 ( 12 gói/thùng)</v>
          </cell>
          <cell r="E159" t="str">
            <v>Cái</v>
          </cell>
          <cell r="F159" t="str">
            <v>Công ty cổ phần dịch vụ B2B Sen Vàng</v>
          </cell>
          <cell r="G159">
            <v>4750</v>
          </cell>
          <cell r="H159"/>
          <cell r="I159" t="str">
            <v>HHB0119</v>
          </cell>
        </row>
        <row r="160">
          <cell r="D160" t="str">
            <v>Bánh trứng Custar 12P( 12 cái *8 hộp/thùng)</v>
          </cell>
          <cell r="E160" t="str">
            <v>Cái</v>
          </cell>
          <cell r="F160" t="str">
            <v>Công ty cổ phần dịch vụ B2B Sen Vàng</v>
          </cell>
          <cell r="G160">
            <v>48200</v>
          </cell>
          <cell r="H160"/>
          <cell r="I160" t="str">
            <v>HHB0131</v>
          </cell>
        </row>
        <row r="161">
          <cell r="D161" t="str">
            <v>Bánh Chocopie 12P(12 cái *8 hộp/thùng)</v>
          </cell>
          <cell r="E161" t="str">
            <v>Cái</v>
          </cell>
          <cell r="F161" t="str">
            <v>Công ty cổ phần dịch vụ B2B Sen Vàng</v>
          </cell>
          <cell r="G161">
            <v>3962.5</v>
          </cell>
          <cell r="H161"/>
          <cell r="I161" t="str">
            <v>HHB0132</v>
          </cell>
        </row>
        <row r="162">
          <cell r="D162" t="str">
            <v>Bánh trứng Custar 100P, 100 cái/thùng</v>
          </cell>
          <cell r="E162" t="str">
            <v>Cái</v>
          </cell>
          <cell r="F162" t="str">
            <v>Công ty cổ phần dịch vụ B2B Sen Vàng</v>
          </cell>
          <cell r="G162">
            <v>3410</v>
          </cell>
          <cell r="H162"/>
          <cell r="I162" t="str">
            <v>HHB0153</v>
          </cell>
        </row>
        <row r="163">
          <cell r="D163" t="str">
            <v>Bánh Chocopie 100P, 100 cái/thùng</v>
          </cell>
          <cell r="E163" t="str">
            <v>Cái</v>
          </cell>
          <cell r="F163" t="str">
            <v>Công ty cổ phần dịch vụ B2B Sen Vàng</v>
          </cell>
          <cell r="G163">
            <v>4930</v>
          </cell>
          <cell r="H163"/>
          <cell r="I163" t="str">
            <v>HHB0154</v>
          </cell>
        </row>
        <row r="164">
          <cell r="D164" t="str">
            <v>Bánh gạo An An vị tảo biển gói 1512g (20 gói/thùng)</v>
          </cell>
          <cell r="E164" t="str">
            <v>Gói</v>
          </cell>
          <cell r="F164" t="str">
            <v>Công ty cổ phần dịch vụ B2B Sen Vàng</v>
          </cell>
          <cell r="G164">
            <v>13200</v>
          </cell>
          <cell r="H164"/>
          <cell r="I164" t="str">
            <v>HHB0187</v>
          </cell>
        </row>
        <row r="165">
          <cell r="D165" t="str">
            <v>Bánh gạo An An vị tự nhiên gói 1512g (20 gói/thùng)</v>
          </cell>
          <cell r="E165" t="str">
            <v>Gói</v>
          </cell>
          <cell r="F165" t="str">
            <v>Công ty cổ phần dịch vụ B2B Sen Vàng</v>
          </cell>
          <cell r="G165">
            <v>13200</v>
          </cell>
          <cell r="H165"/>
          <cell r="I165" t="str">
            <v>HHB0188</v>
          </cell>
        </row>
        <row r="166">
          <cell r="D166" t="str">
            <v>Thạch rau câu cốc Kazoo 100g vị dứa</v>
          </cell>
          <cell r="E166" t="str">
            <v>Cốc</v>
          </cell>
          <cell r="F166" t="str">
            <v>Công ty cổ phần dịch vụ B2B Sen Vàng</v>
          </cell>
          <cell r="G166">
            <v>1400</v>
          </cell>
          <cell r="H166"/>
          <cell r="I166" t="str">
            <v>HHB0191</v>
          </cell>
        </row>
        <row r="167">
          <cell r="D167" t="str">
            <v>Thạch rau câu cốc Kazoo 100g vị dừa</v>
          </cell>
          <cell r="E167" t="str">
            <v>Cốc</v>
          </cell>
          <cell r="F167" t="str">
            <v>Công ty cổ phần dịch vụ B2B Sen Vàng</v>
          </cell>
          <cell r="G167">
            <v>1400</v>
          </cell>
          <cell r="H167"/>
          <cell r="I167" t="str">
            <v>HHB0192</v>
          </cell>
        </row>
        <row r="168">
          <cell r="D168" t="str">
            <v>Kẹo Oishi các vị 145g/gói</v>
          </cell>
          <cell r="E168" t="str">
            <v>Gói</v>
          </cell>
          <cell r="F168" t="str">
            <v>Công ty cổ phần dịch vụ B2B Sen Vàng</v>
          </cell>
          <cell r="G168">
            <v>9100</v>
          </cell>
          <cell r="H168"/>
          <cell r="I168" t="str">
            <v>HHB0196</v>
          </cell>
        </row>
        <row r="169">
          <cell r="D169" t="str">
            <v>Trà Cozy chai 455ml, 24 chai/thùng</v>
          </cell>
          <cell r="E169" t="str">
            <v>Chai</v>
          </cell>
          <cell r="F169" t="str">
            <v>Công ty cổ phần dịch vụ B2B Sen Vàng</v>
          </cell>
          <cell r="G169">
            <v>6890</v>
          </cell>
          <cell r="H169"/>
          <cell r="I169" t="str">
            <v>HHB0224</v>
          </cell>
        </row>
        <row r="170">
          <cell r="D170" t="str">
            <v>Bánh Oreo Socola 119.6-123.5g/gói*24 gói/thùng</v>
          </cell>
          <cell r="E170" t="str">
            <v>Gói</v>
          </cell>
          <cell r="F170" t="str">
            <v>Công ty cổ phần dịch vụ B2B Sen Vàng</v>
          </cell>
          <cell r="G170">
            <v>17300</v>
          </cell>
          <cell r="H170"/>
          <cell r="I170" t="str">
            <v>HHB0235</v>
          </cell>
        </row>
        <row r="171">
          <cell r="D171" t="str">
            <v>Bánh kem xốp Hải Châu 135g  (14*32 gói/ thùng)</v>
          </cell>
          <cell r="E171" t="str">
            <v>Chiếc</v>
          </cell>
          <cell r="F171" t="str">
            <v>Công ty cổ phần dịch vụ B2B Sen Vàng</v>
          </cell>
          <cell r="G171">
            <v>570</v>
          </cell>
          <cell r="H171"/>
          <cell r="I171" t="str">
            <v>HHB0257</v>
          </cell>
        </row>
        <row r="172">
          <cell r="D172" t="str">
            <v>Bánh Kisshu bông lan trứng tươi sợi gà 22g -24g*4 cái/bịch</v>
          </cell>
          <cell r="E172" t="str">
            <v>Bịch</v>
          </cell>
          <cell r="F172" t="str">
            <v>Công ty cổ phần dịch vụ B2B Sen Vàng</v>
          </cell>
          <cell r="G172">
            <v>14908</v>
          </cell>
          <cell r="H172"/>
          <cell r="I172" t="str">
            <v>HHB0270</v>
          </cell>
        </row>
        <row r="173">
          <cell r="D173" t="str">
            <v>Nước trà xanh 0 độ 500ml* 24 chai</v>
          </cell>
          <cell r="E173" t="str">
            <v>Chai</v>
          </cell>
          <cell r="F173" t="str">
            <v>Công ty cổ phần dịch vụ B2B Sen Vàng</v>
          </cell>
          <cell r="G173">
            <v>7700</v>
          </cell>
          <cell r="H173"/>
          <cell r="I173" t="str">
            <v>HHN0005</v>
          </cell>
        </row>
        <row r="174">
          <cell r="D174" t="str">
            <v>Nước sting chai dâu 330ml (24 chai/T)</v>
          </cell>
          <cell r="E174" t="str">
            <v>Chai</v>
          </cell>
          <cell r="F174" t="str">
            <v>Công ty cổ phần dịch vụ B2B Sen Vàng</v>
          </cell>
          <cell r="G174">
            <v>8000</v>
          </cell>
          <cell r="H174"/>
          <cell r="I174" t="str">
            <v>HHN0010</v>
          </cell>
        </row>
        <row r="175">
          <cell r="D175" t="str">
            <v>Nước Nutri boost dâu, cam 297ml*24 chai</v>
          </cell>
          <cell r="E175" t="str">
            <v>Chai</v>
          </cell>
          <cell r="F175" t="str">
            <v>Công ty cổ phần dịch vụ B2B Sen Vàng</v>
          </cell>
          <cell r="G175">
            <v>7900</v>
          </cell>
          <cell r="H175"/>
          <cell r="I175" t="str">
            <v>HHN0026</v>
          </cell>
        </row>
        <row r="176">
          <cell r="D176" t="str">
            <v>Sting vàng chai 330ml*24 chai</v>
          </cell>
          <cell r="E176" t="str">
            <v>Chai</v>
          </cell>
          <cell r="F176" t="str">
            <v>Công ty cổ phần dịch vụ B2B Sen Vàng</v>
          </cell>
          <cell r="G176">
            <v>7233</v>
          </cell>
          <cell r="H176"/>
          <cell r="I176" t="str">
            <v>HHN0035</v>
          </cell>
        </row>
        <row r="177">
          <cell r="D177" t="str">
            <v>Nước tăng lực Redbull Liên doanh 250ml*24 lon</v>
          </cell>
          <cell r="E177" t="str">
            <v>Lon</v>
          </cell>
          <cell r="F177" t="str">
            <v>Công ty cổ phần dịch vụ B2B Sen Vàng</v>
          </cell>
          <cell r="G177">
            <v>9300</v>
          </cell>
          <cell r="H177"/>
          <cell r="I177" t="str">
            <v>HHN0037</v>
          </cell>
        </row>
        <row r="178">
          <cell r="D178" t="str">
            <v>Nước Revive 7UP 390ml*24chai</v>
          </cell>
          <cell r="E178" t="str">
            <v>Chai</v>
          </cell>
          <cell r="F178" t="str">
            <v>Công ty cổ phần dịch vụ B2B Sen Vàng</v>
          </cell>
          <cell r="G178">
            <v>6943</v>
          </cell>
          <cell r="H178"/>
          <cell r="I178" t="str">
            <v>HHN0045</v>
          </cell>
        </row>
        <row r="179">
          <cell r="D179" t="str">
            <v>Nước cam ép Twister 320ml*24 lon</v>
          </cell>
          <cell r="E179" t="str">
            <v>Lon</v>
          </cell>
          <cell r="F179" t="str">
            <v>Công ty cổ phần dịch vụ B2B Sen Vàng</v>
          </cell>
          <cell r="G179">
            <v>7555</v>
          </cell>
          <cell r="H179"/>
          <cell r="I179" t="str">
            <v>HHN0052</v>
          </cell>
        </row>
        <row r="180">
          <cell r="D180" t="str">
            <v>Nước Coca lon 320ml*24 lon</v>
          </cell>
          <cell r="E180" t="str">
            <v>Lon</v>
          </cell>
          <cell r="F180" t="str">
            <v>Công ty cổ phần dịch vụ B2B Sen Vàng</v>
          </cell>
          <cell r="G180">
            <v>7944</v>
          </cell>
          <cell r="H180"/>
          <cell r="I180" t="str">
            <v>HHN0071</v>
          </cell>
        </row>
        <row r="181">
          <cell r="D181" t="str">
            <v>Nước Sting vàng lon 320ml</v>
          </cell>
          <cell r="E181" t="str">
            <v>Lon</v>
          </cell>
          <cell r="F181" t="str">
            <v>Công ty cổ phần dịch vụ B2B Sen Vàng</v>
          </cell>
          <cell r="G181">
            <v>7300</v>
          </cell>
          <cell r="H181"/>
          <cell r="I181" t="str">
            <v>HHN0078</v>
          </cell>
        </row>
        <row r="182">
          <cell r="D182" t="str">
            <v>Trà đào Cozy cam sả 225ml/hộp* 24 hộp</v>
          </cell>
          <cell r="E182" t="str">
            <v>Hộp</v>
          </cell>
          <cell r="F182" t="str">
            <v>Công ty cổ phần dịch vụ B2B Sen Vàng</v>
          </cell>
          <cell r="G182">
            <v>5658</v>
          </cell>
          <cell r="H182"/>
          <cell r="I182" t="str">
            <v>HHN0095</v>
          </cell>
        </row>
        <row r="183">
          <cell r="D183" t="str">
            <v>Trà tắc Cozy mật ong 225ml/hộp* 24 hộp</v>
          </cell>
          <cell r="E183" t="str">
            <v>Hộp</v>
          </cell>
          <cell r="F183" t="str">
            <v>Công ty cổ phần dịch vụ B2B Sen Vàng</v>
          </cell>
          <cell r="G183">
            <v>5658</v>
          </cell>
          <cell r="H183"/>
          <cell r="I183" t="str">
            <v>HHN0096</v>
          </cell>
        </row>
        <row r="184">
          <cell r="D184" t="str">
            <v>Trà vải Cozy 225ml/hộp* 24 hộp</v>
          </cell>
          <cell r="E184" t="str">
            <v>Hộp</v>
          </cell>
          <cell r="F184" t="str">
            <v>Công ty cổ phần dịch vụ B2B Sen Vàng</v>
          </cell>
          <cell r="G184">
            <v>5658</v>
          </cell>
          <cell r="H184"/>
          <cell r="I184" t="str">
            <v>HHN0097</v>
          </cell>
        </row>
        <row r="185">
          <cell r="D185" t="str">
            <v>Nước Wake up 247 vị cà phê 330m* 24 chai</v>
          </cell>
          <cell r="E185" t="str">
            <v>Chai</v>
          </cell>
          <cell r="F185" t="str">
            <v>Công ty cổ phần dịch vụ B2B Sen Vàng</v>
          </cell>
          <cell r="G185">
            <v>7320</v>
          </cell>
          <cell r="H185"/>
          <cell r="I185" t="str">
            <v>HHN0098</v>
          </cell>
        </row>
        <row r="186">
          <cell r="D186" t="str">
            <v>Sữa đậu nành Nuti nguyên chất 200ml/túi*36 gói</v>
          </cell>
          <cell r="E186" t="str">
            <v>Bịch</v>
          </cell>
          <cell r="F186" t="str">
            <v>Công ty cổ phần dịch vụ B2B Sen Vàng</v>
          </cell>
          <cell r="G186">
            <v>3280</v>
          </cell>
          <cell r="H186"/>
          <cell r="I186" t="str">
            <v>HHN0109</v>
          </cell>
        </row>
        <row r="187">
          <cell r="D187" t="str">
            <v>Nước tăng lực Number one vàng 330ml 24 chai</v>
          </cell>
          <cell r="E187" t="str">
            <v>Chai</v>
          </cell>
          <cell r="F187" t="str">
            <v>Công ty cổ phần dịch vụ B2B Sen Vàng</v>
          </cell>
          <cell r="G187">
            <v>8070</v>
          </cell>
          <cell r="H187"/>
          <cell r="I187" t="str">
            <v>HHN0111</v>
          </cell>
        </row>
        <row r="188">
          <cell r="D188" t="str">
            <v>Nước Sting dâu lon 320ml*24 lon</v>
          </cell>
          <cell r="E188" t="str">
            <v>Lon</v>
          </cell>
          <cell r="F188" t="str">
            <v>Công ty cổ phần dịch vụ B2B Sen Vàng</v>
          </cell>
          <cell r="G188">
            <v>7900</v>
          </cell>
          <cell r="H188"/>
          <cell r="I188" t="str">
            <v>HHN0124</v>
          </cell>
        </row>
        <row r="189">
          <cell r="D189" t="str">
            <v>Nước tăng lực Number one 330ml/ chai, 24 chai/ thùng</v>
          </cell>
          <cell r="E189" t="str">
            <v>Chai</v>
          </cell>
          <cell r="F189" t="str">
            <v>Công ty cổ phần dịch vụ B2B Sen Vàng</v>
          </cell>
          <cell r="G189">
            <v>8070</v>
          </cell>
          <cell r="H189"/>
          <cell r="I189" t="str">
            <v>HHN0135</v>
          </cell>
        </row>
        <row r="190">
          <cell r="D190" t="str">
            <v>Nước trà Ô Long Tea+plus 320ml* 24 chai</v>
          </cell>
          <cell r="E190" t="str">
            <v>Chai</v>
          </cell>
          <cell r="F190" t="str">
            <v>Công ty cổ phần dịch vụ B2B Sen Vàng</v>
          </cell>
          <cell r="G190">
            <v>5500</v>
          </cell>
          <cell r="H190"/>
          <cell r="I190" t="str">
            <v>HHN0143</v>
          </cell>
        </row>
        <row r="191">
          <cell r="D191" t="str">
            <v>Sữa tươi 100% có đường Ba Vì IDP 180ml,48 hộp/thùng</v>
          </cell>
          <cell r="E191" t="str">
            <v>Hộp</v>
          </cell>
          <cell r="F191" t="str">
            <v>Công ty cổ phần dịch vụ B2B Sen Vàng</v>
          </cell>
          <cell r="G191">
            <v>5544</v>
          </cell>
          <cell r="H191"/>
          <cell r="I191" t="str">
            <v>HHN0151</v>
          </cell>
        </row>
        <row r="192">
          <cell r="D192" t="str">
            <v>Sữa trái cây Lif Kun IDP 110ml, 48 hộp/thùng</v>
          </cell>
          <cell r="E192" t="str">
            <v>Hộp</v>
          </cell>
          <cell r="F192" t="str">
            <v>Công ty cổ phần dịch vụ B2B Sen Vàng</v>
          </cell>
          <cell r="G192">
            <v>3168</v>
          </cell>
          <cell r="H192"/>
          <cell r="I192" t="str">
            <v>HHN0153</v>
          </cell>
        </row>
        <row r="193">
          <cell r="D193" t="str">
            <v>Trà xanh C2 chai 355ml ( 24 chai/thùng)</v>
          </cell>
          <cell r="E193" t="str">
            <v>Chai</v>
          </cell>
          <cell r="F193" t="str">
            <v>Công ty cổ phần dịch vụ B2B Sen Vàng</v>
          </cell>
          <cell r="G193">
            <v>6000</v>
          </cell>
          <cell r="H193"/>
          <cell r="I193" t="str">
            <v>HHN0155</v>
          </cell>
        </row>
        <row r="194">
          <cell r="D194" t="str">
            <v>Nước Nutri boost hương bánh quy kem 297ml*24 chai</v>
          </cell>
          <cell r="E194" t="str">
            <v>Chai</v>
          </cell>
          <cell r="F194" t="str">
            <v>Công ty cổ phần dịch vụ B2B Sen Vàng</v>
          </cell>
          <cell r="G194">
            <v>7900</v>
          </cell>
          <cell r="H194"/>
          <cell r="I194" t="str">
            <v>HHN0160</v>
          </cell>
        </row>
        <row r="195">
          <cell r="D195" t="str">
            <v>Nước bù khoáng Revive 500ml/chai*24 chai</v>
          </cell>
          <cell r="E195" t="str">
            <v>Chai</v>
          </cell>
          <cell r="F195" t="str">
            <v>Công ty cổ phần dịch vụ B2B Sen Vàng</v>
          </cell>
          <cell r="G195">
            <v>7398</v>
          </cell>
          <cell r="H195"/>
          <cell r="I195" t="str">
            <v>HHN0161</v>
          </cell>
        </row>
        <row r="196">
          <cell r="D196" t="str">
            <v>Trà xanh C2 455ml*24 chai/ thùng</v>
          </cell>
          <cell r="E196" t="str">
            <v>Chai</v>
          </cell>
          <cell r="F196" t="str">
            <v>Công ty cổ phần dịch vụ B2B Sen Vàng</v>
          </cell>
          <cell r="G196">
            <v>7580</v>
          </cell>
          <cell r="H196"/>
          <cell r="I196" t="str">
            <v>HHN0167</v>
          </cell>
        </row>
        <row r="197">
          <cell r="D197" t="str">
            <v>Trà cozy hương sen gói 2g/gói *25 gói/hộp</v>
          </cell>
          <cell r="E197" t="str">
            <v>Hộp</v>
          </cell>
          <cell r="F197" t="str">
            <v>Công ty cổ phần dịch vụ B2B Sen Vàng</v>
          </cell>
          <cell r="G197">
            <v>31200</v>
          </cell>
          <cell r="H197"/>
          <cell r="I197" t="str">
            <v>HHN0173</v>
          </cell>
        </row>
        <row r="198">
          <cell r="D198" t="str">
            <v>Cà phê hòa tan 3in1 G7 288g /hộp *18 gói</v>
          </cell>
          <cell r="E198" t="str">
            <v>Hộp</v>
          </cell>
          <cell r="F198" t="str">
            <v>Công ty cổ phần dịch vụ B2B Sen Vàng</v>
          </cell>
          <cell r="G198">
            <v>68600</v>
          </cell>
          <cell r="H198"/>
          <cell r="I198" t="str">
            <v>HHN0174</v>
          </cell>
        </row>
        <row r="199">
          <cell r="D199" t="str">
            <v>Trà hoa quả Cozy chai 350ml *24 chai/thùng</v>
          </cell>
          <cell r="E199" t="str">
            <v>Chai</v>
          </cell>
          <cell r="F199" t="str">
            <v>Công ty cổ phần dịch vụ B2B Sen Vàng</v>
          </cell>
          <cell r="G199">
            <v>5810</v>
          </cell>
          <cell r="H199"/>
          <cell r="I199" t="str">
            <v>HHN0180</v>
          </cell>
        </row>
        <row r="200">
          <cell r="D200" t="str">
            <v>Pepsi lon 350ml*24 lon/thùng</v>
          </cell>
          <cell r="E200" t="str">
            <v>Lon</v>
          </cell>
          <cell r="F200" t="str">
            <v>Công ty cổ phần dịch vụ B2B Sen Vàng</v>
          </cell>
          <cell r="G200">
            <v>7108</v>
          </cell>
          <cell r="H200"/>
          <cell r="I200" t="str">
            <v>HHN0188</v>
          </cell>
        </row>
        <row r="201">
          <cell r="D201" t="str">
            <v>Boss cà phê sữa lon 180ml, 24 lon/ thùng</v>
          </cell>
          <cell r="E201" t="str">
            <v>Lon</v>
          </cell>
          <cell r="F201" t="str">
            <v>Công ty cổ phần dịch vụ B2B Sen Vàng</v>
          </cell>
          <cell r="G201">
            <v>8900</v>
          </cell>
          <cell r="H201"/>
          <cell r="I201" t="str">
            <v>HHP0022</v>
          </cell>
        </row>
        <row r="202">
          <cell r="D202" t="str">
            <v>Sữa Mộc Châu 110ml, 48hộp/ thùng</v>
          </cell>
          <cell r="E202" t="str">
            <v>Hộp</v>
          </cell>
          <cell r="F202" t="str">
            <v>Công ty cổ phần dịch vụ B2B Sen Vàng</v>
          </cell>
          <cell r="G202">
            <v>4010</v>
          </cell>
          <cell r="H202"/>
          <cell r="I202" t="str">
            <v>HHS0001</v>
          </cell>
        </row>
        <row r="203">
          <cell r="D203" t="str">
            <v>Sữa Mộc Châu 180ml, 48hộp/ thùng</v>
          </cell>
          <cell r="E203" t="str">
            <v>Hộp</v>
          </cell>
          <cell r="F203" t="str">
            <v>Công ty cổ phần dịch vụ B2B Sen Vàng</v>
          </cell>
          <cell r="G203">
            <v>6200</v>
          </cell>
          <cell r="H203"/>
          <cell r="I203" t="str">
            <v>HHS0002</v>
          </cell>
        </row>
        <row r="204">
          <cell r="D204" t="str">
            <v>Sữa TH 110ml, 48hộp/ thùng</v>
          </cell>
          <cell r="E204" t="str">
            <v>Hộp</v>
          </cell>
          <cell r="F204" t="str">
            <v>Công ty cổ phần dịch vụ B2B Sen Vàng</v>
          </cell>
          <cell r="G204">
            <v>5575</v>
          </cell>
          <cell r="H204"/>
          <cell r="I204" t="str">
            <v>HHS0003</v>
          </cell>
        </row>
        <row r="205">
          <cell r="D205" t="str">
            <v>Sữa Vinamilk ADM 110ml, 48 hộp/ thùng</v>
          </cell>
          <cell r="E205" t="str">
            <v>Hộp</v>
          </cell>
          <cell r="F205" t="str">
            <v>Công ty cổ phần dịch vụ B2B Sen Vàng</v>
          </cell>
          <cell r="G205">
            <v>4080</v>
          </cell>
          <cell r="H205"/>
          <cell r="I205" t="str">
            <v>HHS0004</v>
          </cell>
        </row>
        <row r="206">
          <cell r="D206" t="str">
            <v>Sữa Vinamilk ADM 180ml, 48hộp/thùng</v>
          </cell>
          <cell r="E206" t="str">
            <v>Hộp</v>
          </cell>
          <cell r="F206" t="str">
            <v>Công ty cổ phần dịch vụ B2B Sen Vàng</v>
          </cell>
          <cell r="G206">
            <v>6480</v>
          </cell>
          <cell r="H206"/>
          <cell r="I206" t="str">
            <v>HHS0005</v>
          </cell>
        </row>
        <row r="207">
          <cell r="D207" t="str">
            <v>Sữa milo 180ml, 48hộp/thùng</v>
          </cell>
          <cell r="E207" t="str">
            <v>Hộp</v>
          </cell>
          <cell r="F207" t="str">
            <v>Công ty cổ phần dịch vụ B2B Sen Vàng</v>
          </cell>
          <cell r="G207">
            <v>6798</v>
          </cell>
          <cell r="H207"/>
          <cell r="I207" t="str">
            <v>HHS0009</v>
          </cell>
        </row>
        <row r="208">
          <cell r="D208" t="str">
            <v>Sữa chua trắng Star (Vinamilk) 48hộp/thùng</v>
          </cell>
          <cell r="E208" t="str">
            <v>Hộp</v>
          </cell>
          <cell r="F208" t="str">
            <v>Công ty cổ phần dịch vụ B2B Sen Vàng</v>
          </cell>
          <cell r="G208">
            <v>4656</v>
          </cell>
          <cell r="H208"/>
          <cell r="I208" t="str">
            <v>HHS0010</v>
          </cell>
        </row>
        <row r="209">
          <cell r="D209" t="str">
            <v>Sữa chua ba vì có đường 48 hộp/thùng</v>
          </cell>
          <cell r="E209" t="str">
            <v>Hộp</v>
          </cell>
          <cell r="F209" t="str">
            <v>Công ty cổ phần dịch vụ B2B Sen Vàng</v>
          </cell>
          <cell r="G209">
            <v>3804</v>
          </cell>
          <cell r="H209"/>
          <cell r="I209" t="str">
            <v>HHS0013</v>
          </cell>
        </row>
        <row r="210">
          <cell r="D210" t="str">
            <v>Sữa chua vinamilk nha đam 48 hộp/thùng</v>
          </cell>
          <cell r="E210" t="str">
            <v>Hộp</v>
          </cell>
          <cell r="F210" t="str">
            <v>Công ty cổ phần dịch vụ B2B Sen Vàng</v>
          </cell>
          <cell r="G210">
            <v>6576</v>
          </cell>
          <cell r="H210"/>
          <cell r="I210" t="str">
            <v>HHS0018</v>
          </cell>
        </row>
        <row r="211">
          <cell r="D211" t="str">
            <v>Sữa chua Vinamilk thường 48 hộp/thùng</v>
          </cell>
          <cell r="E211" t="str">
            <v>Hộp</v>
          </cell>
          <cell r="F211" t="str">
            <v>Công ty cổ phần dịch vụ B2B Sen Vàng</v>
          </cell>
          <cell r="G211">
            <v>5664</v>
          </cell>
          <cell r="H211"/>
          <cell r="I211" t="str">
            <v>HHS0019</v>
          </cell>
        </row>
        <row r="212">
          <cell r="D212" t="str">
            <v>Sữa TH True Milk 180ml, 48 hộp/thùng</v>
          </cell>
          <cell r="E212" t="str">
            <v>Hộp</v>
          </cell>
          <cell r="F212" t="str">
            <v>Công ty cổ phần dịch vụ B2B Sen Vàng</v>
          </cell>
          <cell r="G212">
            <v>8740</v>
          </cell>
          <cell r="H212"/>
          <cell r="I212" t="str">
            <v>HHS0025</v>
          </cell>
        </row>
        <row r="213">
          <cell r="D213" t="str">
            <v>Sữa vinamilk 110ml  ,48 hộp /thùng</v>
          </cell>
          <cell r="E213" t="str">
            <v>Hộp</v>
          </cell>
          <cell r="F213" t="str">
            <v>Công ty cổ phần dịch vụ B2B Sen Vàng</v>
          </cell>
          <cell r="G213">
            <v>4930</v>
          </cell>
          <cell r="H213"/>
          <cell r="I213" t="str">
            <v>HHS0026</v>
          </cell>
        </row>
        <row r="214">
          <cell r="D214" t="str">
            <v>Sữa tươi Ba Vì 180ml, 48 hộp/thùng</v>
          </cell>
          <cell r="E214" t="str">
            <v>Hộp</v>
          </cell>
          <cell r="F214" t="str">
            <v>Công ty cổ phần dịch vụ B2B Sen Vàng</v>
          </cell>
          <cell r="G214">
            <v>6119</v>
          </cell>
          <cell r="H214"/>
          <cell r="I214" t="str">
            <v>HHS0029</v>
          </cell>
        </row>
        <row r="215">
          <cell r="D215" t="str">
            <v>Sữa tươi Ba Vì 110ml, 48 hộp/thùng</v>
          </cell>
          <cell r="E215" t="str">
            <v>Hộp</v>
          </cell>
          <cell r="F215" t="str">
            <v>Công ty cổ phần dịch vụ B2B Sen Vàng</v>
          </cell>
          <cell r="G215">
            <v>3854</v>
          </cell>
          <cell r="H215"/>
          <cell r="I215" t="str">
            <v>HHS0030</v>
          </cell>
        </row>
        <row r="216">
          <cell r="D216" t="str">
            <v>Sữa ZINZIN 110ml, 48 hộp /thùng</v>
          </cell>
          <cell r="E216" t="str">
            <v>Hộp</v>
          </cell>
          <cell r="F216" t="str">
            <v>Công ty cổ phần dịch vụ B2B Sen Vàng</v>
          </cell>
          <cell r="G216">
            <v>3207</v>
          </cell>
          <cell r="H216"/>
          <cell r="I216" t="str">
            <v>HHS0034</v>
          </cell>
        </row>
        <row r="217">
          <cell r="D217" t="str">
            <v>Sữa đặc phương nam 1,284kg/ hộp giấy</v>
          </cell>
          <cell r="E217" t="str">
            <v>Hộp</v>
          </cell>
          <cell r="F217" t="str">
            <v>Công ty cổ phần dịch vụ B2B Sen Vàng</v>
          </cell>
          <cell r="G217">
            <v>52800</v>
          </cell>
          <cell r="H217"/>
          <cell r="I217" t="str">
            <v>HHS0036</v>
          </cell>
        </row>
        <row r="218">
          <cell r="D218" t="str">
            <v>Sữa tươi elovi 180ml, 48 hộp/thùng</v>
          </cell>
          <cell r="E218" t="str">
            <v>Hộp</v>
          </cell>
          <cell r="F218" t="str">
            <v>Công ty cổ phần dịch vụ B2B Sen Vàng</v>
          </cell>
          <cell r="G218">
            <v>4906</v>
          </cell>
          <cell r="H218"/>
          <cell r="I218" t="str">
            <v>HHS0044</v>
          </cell>
        </row>
        <row r="219">
          <cell r="D219" t="str">
            <v>Sữa đậu nành Nuti nguyên chất 200ml, 36 hộp/ thùng</v>
          </cell>
          <cell r="E219" t="str">
            <v>Hộp</v>
          </cell>
          <cell r="F219" t="str">
            <v>Công ty cổ phần dịch vụ B2B Sen Vàng</v>
          </cell>
          <cell r="G219">
            <v>3910</v>
          </cell>
          <cell r="H219"/>
          <cell r="I219" t="str">
            <v>HHS0045</v>
          </cell>
        </row>
        <row r="220">
          <cell r="D220" t="str">
            <v>Sữa chua mộc châu , 48 hộp /thùng</v>
          </cell>
          <cell r="E220" t="str">
            <v>Hộp</v>
          </cell>
          <cell r="F220" t="str">
            <v>Công ty cổ phần dịch vụ B2B Sen Vàng</v>
          </cell>
          <cell r="G220">
            <v>4878</v>
          </cell>
          <cell r="H220"/>
          <cell r="I220" t="str">
            <v>HHS0047</v>
          </cell>
        </row>
        <row r="221">
          <cell r="D221" t="str">
            <v>Sữa chua proby 65g* 5 chai/lốc</v>
          </cell>
          <cell r="E221" t="str">
            <v>Lọ</v>
          </cell>
          <cell r="F221" t="str">
            <v>Công ty cổ phần dịch vụ B2B Sen Vàng</v>
          </cell>
          <cell r="G221">
            <v>4272</v>
          </cell>
          <cell r="H221"/>
          <cell r="I221" t="str">
            <v>HHS0048</v>
          </cell>
        </row>
        <row r="222">
          <cell r="D222" t="str">
            <v>Sữa fami hộp nguyên chất  36 hộp/ thùng</v>
          </cell>
          <cell r="E222" t="str">
            <v>Hộp</v>
          </cell>
          <cell r="F222" t="str">
            <v>Công ty cổ phần dịch vụ B2B Sen Vàng</v>
          </cell>
          <cell r="G222">
            <v>3830</v>
          </cell>
          <cell r="H222"/>
          <cell r="I222" t="str">
            <v>HHS0050</v>
          </cell>
        </row>
        <row r="223">
          <cell r="D223" t="str">
            <v>Sữa fami bịch nguyên chất ,40 túi/ thùng</v>
          </cell>
          <cell r="E223" t="str">
            <v>Túi</v>
          </cell>
          <cell r="F223" t="str">
            <v>Công ty cổ phần dịch vụ B2B Sen Vàng</v>
          </cell>
          <cell r="G223">
            <v>3139</v>
          </cell>
          <cell r="H223"/>
          <cell r="I223" t="str">
            <v>HHS0051</v>
          </cell>
        </row>
        <row r="224">
          <cell r="D224" t="str">
            <v>Sữa tươi 100% Vinamilk 180ml, 48 hộp /thùng</v>
          </cell>
          <cell r="E224" t="str">
            <v>Hộp</v>
          </cell>
          <cell r="F224" t="str">
            <v>Công ty cổ phần dịch vụ B2B Sen Vàng</v>
          </cell>
          <cell r="G224">
            <v>7584</v>
          </cell>
          <cell r="H224"/>
          <cell r="I224" t="str">
            <v>HHS0054</v>
          </cell>
        </row>
        <row r="225">
          <cell r="D225" t="str">
            <v>Sữa chua ăn Elovi 70g ( 48 hộp/th)</v>
          </cell>
          <cell r="E225" t="str">
            <v>Hộp</v>
          </cell>
          <cell r="F225" t="str">
            <v>Công ty cổ phần dịch vụ B2B Sen Vàng</v>
          </cell>
          <cell r="G225">
            <v>2859</v>
          </cell>
          <cell r="H225"/>
          <cell r="I225" t="str">
            <v>HHS0060</v>
          </cell>
        </row>
        <row r="226">
          <cell r="D226" t="str">
            <v>Sữa chua uống probi có đường 130ml, 4 chai/lốc</v>
          </cell>
          <cell r="E226" t="str">
            <v>Chai</v>
          </cell>
          <cell r="F226" t="str">
            <v>Công ty cổ phần dịch vụ B2B Sen Vàng</v>
          </cell>
          <cell r="G226">
            <v>7382</v>
          </cell>
          <cell r="H226"/>
          <cell r="I226" t="str">
            <v>HHS0095</v>
          </cell>
        </row>
        <row r="227">
          <cell r="D227" t="str">
            <v>Sữa chua elovi 95g *48 hộp/thùng</v>
          </cell>
          <cell r="E227" t="str">
            <v>can</v>
          </cell>
          <cell r="F227" t="str">
            <v>Công ty cổ phần dịch vụ B2B Sen Vàng</v>
          </cell>
          <cell r="G227">
            <v>3432</v>
          </cell>
          <cell r="H227"/>
          <cell r="I227" t="str">
            <v>HHS0101</v>
          </cell>
        </row>
        <row r="228">
          <cell r="D228" t="str">
            <v>Sữa tươi Vinamilk 100% không đường 180ml/ hộp</v>
          </cell>
          <cell r="E228" t="str">
            <v>Hộp</v>
          </cell>
          <cell r="F228" t="str">
            <v>Công ty cổ phần dịch vụ B2B Sen Vàng</v>
          </cell>
          <cell r="G228">
            <v>7584</v>
          </cell>
          <cell r="H228"/>
          <cell r="I228" t="str">
            <v>HHS0104</v>
          </cell>
        </row>
        <row r="229">
          <cell r="D229" t="str">
            <v>Sữa Vinamilk ADM socola 180ml , 48hộp/thùng</v>
          </cell>
          <cell r="E229" t="str">
            <v>Hộp</v>
          </cell>
          <cell r="F229" t="str">
            <v>Công ty cổ phần dịch vụ B2B Sen Vàng</v>
          </cell>
          <cell r="G229">
            <v>6480</v>
          </cell>
          <cell r="H229"/>
          <cell r="I229" t="str">
            <v>HHS0107</v>
          </cell>
        </row>
        <row r="230">
          <cell r="D230" t="str">
            <v>Sữa chua Ba Vì có đường KAKA 100g, 48 hộp/ thùng</v>
          </cell>
          <cell r="E230" t="str">
            <v>Hộp</v>
          </cell>
          <cell r="F230" t="str">
            <v>Công ty cổ phần dịch vụ B2B Sen Vàng</v>
          </cell>
          <cell r="G230">
            <v>3530</v>
          </cell>
          <cell r="H230"/>
          <cell r="I230" t="str">
            <v>HHS0109</v>
          </cell>
        </row>
        <row r="231">
          <cell r="D231" t="str">
            <v>Sữa tươi Vinamilk 100% không đường 1 lít/hộp</v>
          </cell>
          <cell r="E231" t="str">
            <v>Hộp</v>
          </cell>
          <cell r="F231" t="str">
            <v>Công ty cổ phần dịch vụ B2B Sen Vàng</v>
          </cell>
          <cell r="G231">
            <v>34558</v>
          </cell>
          <cell r="H231"/>
          <cell r="I231" t="str">
            <v>HHS0110</v>
          </cell>
        </row>
        <row r="232">
          <cell r="D232" t="str">
            <v>Sữa TH True Milk  ít đường 180ml, 48 hộp/thùng</v>
          </cell>
          <cell r="E232" t="str">
            <v>Hộp</v>
          </cell>
          <cell r="F232" t="str">
            <v>Công ty cổ phần dịch vụ B2B Sen Vàng</v>
          </cell>
          <cell r="G232">
            <v>8740</v>
          </cell>
          <cell r="H232"/>
          <cell r="I232" t="str">
            <v>HHS0113</v>
          </cell>
        </row>
        <row r="233">
          <cell r="D233" t="str">
            <v>Sữa chua ba vì 70g/ hộp, 48 hộp/ thùng</v>
          </cell>
          <cell r="E233" t="str">
            <v>Hộp</v>
          </cell>
          <cell r="F233" t="str">
            <v>Công ty cổ phần dịch vụ B2B Sen Vàng</v>
          </cell>
          <cell r="G233">
            <v>3170</v>
          </cell>
          <cell r="H233"/>
          <cell r="I233" t="str">
            <v>HHS0115</v>
          </cell>
        </row>
        <row r="234">
          <cell r="D234" t="str">
            <v>Sữa tươi Vinamilk 100% ít đường 110ml</v>
          </cell>
          <cell r="E234" t="str">
            <v>Hộp</v>
          </cell>
          <cell r="F234" t="str">
            <v>Công ty cổ phần dịch vụ B2B Sen Vàng</v>
          </cell>
          <cell r="G234">
            <v>4930</v>
          </cell>
          <cell r="H234"/>
          <cell r="I234" t="str">
            <v>HHS0121</v>
          </cell>
        </row>
        <row r="235">
          <cell r="D235" t="str">
            <v>Sữa trái cây Lif Kun IDP 180ml, 48 hộp/thùng</v>
          </cell>
          <cell r="E235" t="str">
            <v>Hộp</v>
          </cell>
          <cell r="F235" t="str">
            <v>Công ty cổ phần dịch vụ B2B Sen Vàng</v>
          </cell>
          <cell r="G235">
            <v>5148</v>
          </cell>
          <cell r="H235"/>
          <cell r="I235" t="str">
            <v>HHS0123</v>
          </cell>
        </row>
        <row r="236">
          <cell r="D236" t="str">
            <v>Sữa Nuvi lúa mạch lắc cacao 170ml, 48 hộp/thùng</v>
          </cell>
          <cell r="E236" t="str">
            <v>Hộp</v>
          </cell>
          <cell r="F236" t="str">
            <v>Công ty cổ phần dịch vụ B2B Sen Vàng</v>
          </cell>
          <cell r="G236">
            <v>7500</v>
          </cell>
          <cell r="H236"/>
          <cell r="I236" t="str">
            <v>HHS0124</v>
          </cell>
        </row>
        <row r="237">
          <cell r="D237" t="str">
            <v>Sữa chua Ba Vì có đường KAKA 70g, 48 hộp/ thùng</v>
          </cell>
          <cell r="E237" t="str">
            <v>Hộp</v>
          </cell>
          <cell r="F237" t="str">
            <v>Công ty cổ phần dịch vụ B2B Sen Vàng</v>
          </cell>
          <cell r="G237">
            <v>2942</v>
          </cell>
          <cell r="H237"/>
          <cell r="I237" t="str">
            <v>HHS0129</v>
          </cell>
        </row>
        <row r="238">
          <cell r="D238" t="str">
            <v>Sữa chua nếp cẩm Ba Vì 110g, 12 hộp/thùng</v>
          </cell>
          <cell r="E238" t="str">
            <v>Hộp</v>
          </cell>
          <cell r="F238" t="str">
            <v>Công ty cổ phần dịch vụ B2B Sen Vàng</v>
          </cell>
          <cell r="G238">
            <v>6120</v>
          </cell>
          <cell r="H238"/>
          <cell r="I238" t="str">
            <v>HHS0144</v>
          </cell>
        </row>
        <row r="239">
          <cell r="D239" t="str">
            <v>Sữa Kun Socola lúa mạch 110ml, 48 hộp/thùng</v>
          </cell>
          <cell r="E239" t="str">
            <v>Hộp</v>
          </cell>
          <cell r="F239" t="str">
            <v>Công ty cổ phần dịch vụ B2B Sen Vàng</v>
          </cell>
          <cell r="G239">
            <v>3465</v>
          </cell>
          <cell r="H239"/>
          <cell r="I239" t="str">
            <v>HHS0146</v>
          </cell>
        </row>
        <row r="240">
          <cell r="D240" t="str">
            <v>Sữa Kun Socola lúa mạch 180ml, 48 hộp/thùng</v>
          </cell>
          <cell r="E240" t="str">
            <v>Hộp</v>
          </cell>
          <cell r="F240" t="str">
            <v>Công ty cổ phần dịch vụ B2B Sen Vàng</v>
          </cell>
          <cell r="G240">
            <v>5247</v>
          </cell>
          <cell r="H240"/>
          <cell r="I240" t="str">
            <v>HHS0147</v>
          </cell>
        </row>
        <row r="241">
          <cell r="D241" t="str">
            <v>Sữa chua Vinamilk không đường 100g, 48 hộp/thùng</v>
          </cell>
          <cell r="E241" t="str">
            <v>Hộp</v>
          </cell>
          <cell r="F241" t="str">
            <v>Công ty cổ phần dịch vụ B2B Sen Vàng</v>
          </cell>
          <cell r="G241">
            <v>5472</v>
          </cell>
          <cell r="H241"/>
          <cell r="I241" t="str">
            <v>HHS0153</v>
          </cell>
        </row>
        <row r="242">
          <cell r="D242" t="str">
            <v>Sữa tươi tiệt trùng TH Hilo 180ml/hộp*48 hộp/thùng</v>
          </cell>
          <cell r="E242" t="str">
            <v>Hộp</v>
          </cell>
          <cell r="F242" t="str">
            <v>Công ty cổ phần dịch vụ B2B Sen Vàng</v>
          </cell>
          <cell r="G242">
            <v>9626</v>
          </cell>
          <cell r="H242"/>
          <cell r="I242" t="str">
            <v>HHS0158</v>
          </cell>
        </row>
        <row r="243">
          <cell r="D243" t="str">
            <v>Sữa chua Vinamilk ít đường 100g/hộp *48 hộp/thùng</v>
          </cell>
          <cell r="E243" t="str">
            <v>Hộp</v>
          </cell>
          <cell r="F243" t="str">
            <v>Công ty cổ phần dịch vụ B2B Sen Vàng</v>
          </cell>
          <cell r="G243">
            <v>5472</v>
          </cell>
          <cell r="H243"/>
          <cell r="I243" t="str">
            <v>HHS0159</v>
          </cell>
        </row>
        <row r="244">
          <cell r="D244" t="str">
            <v>Sữa chua ít đường TH True 100g*48 hộp/thùng</v>
          </cell>
          <cell r="E244" t="str">
            <v>Hộp</v>
          </cell>
          <cell r="F244" t="str">
            <v>Công ty cổ phần dịch vụ B2B Sen Vàng</v>
          </cell>
          <cell r="G244">
            <v>6501</v>
          </cell>
          <cell r="H244"/>
          <cell r="I244" t="str">
            <v>HHS0305</v>
          </cell>
        </row>
        <row r="245">
          <cell r="D245" t="str">
            <v>Sữa trái cây TH True Juice Milk Topkid hương cam 110ml/hộp</v>
          </cell>
          <cell r="E245" t="str">
            <v>Hộp</v>
          </cell>
          <cell r="F245" t="str">
            <v>Công ty cổ phần dịch vụ B2B Sen Vàng</v>
          </cell>
          <cell r="G245">
            <v>4504</v>
          </cell>
          <cell r="H245"/>
          <cell r="I245" t="str">
            <v>HHS0336</v>
          </cell>
        </row>
        <row r="246">
          <cell r="D246" t="str">
            <v>Sữa 9 loại hạt Vinamilk super Nut 180ml/hộp</v>
          </cell>
          <cell r="E246" t="str">
            <v>Hộp</v>
          </cell>
          <cell r="F246" t="str">
            <v>Công ty cổ phần dịch vụ B2B Sen Vàng</v>
          </cell>
          <cell r="G246">
            <v>9792</v>
          </cell>
          <cell r="H246"/>
          <cell r="I246" t="str">
            <v>HHS0337</v>
          </cell>
        </row>
        <row r="247">
          <cell r="D247" t="str">
            <v>STTT ít Đường TH true MILK 110ml (48hộp/thùng)</v>
          </cell>
          <cell r="E247" t="str">
            <v>Hộp</v>
          </cell>
          <cell r="F247" t="str">
            <v>Công ty cổ phần dịch vụ B2B Sen Vàng</v>
          </cell>
          <cell r="G247">
            <v>5575</v>
          </cell>
          <cell r="H247"/>
          <cell r="I247" t="str">
            <v>HHS0343</v>
          </cell>
        </row>
        <row r="248">
          <cell r="D248" t="str">
            <v>Bún khô 1kg/gói</v>
          </cell>
          <cell r="E248" t="str">
            <v>kg</v>
          </cell>
          <cell r="F248" t="str">
            <v>Công ty cổ phần dịch vụ B2B Sen Vàng</v>
          </cell>
          <cell r="G248">
            <v>27440</v>
          </cell>
          <cell r="H248"/>
          <cell r="I248" t="str">
            <v>NLG0002</v>
          </cell>
        </row>
        <row r="249">
          <cell r="D249" t="str">
            <v>Mỳ tôm hảo hảo 30 gói/thùng</v>
          </cell>
          <cell r="E249" t="str">
            <v>Gói</v>
          </cell>
          <cell r="F249" t="str">
            <v>Công ty cổ phần dịch vụ B2B Sen Vàng</v>
          </cell>
          <cell r="G249">
            <v>3730</v>
          </cell>
          <cell r="H249"/>
          <cell r="I249" t="str">
            <v>NLG0019</v>
          </cell>
        </row>
        <row r="250">
          <cell r="D250" t="str">
            <v>Mỳ tôm kokomy 30 gói/ thùng</v>
          </cell>
          <cell r="E250" t="str">
            <v>Gói</v>
          </cell>
          <cell r="F250" t="str">
            <v>Công ty cổ phần dịch vụ B2B Sen Vàng</v>
          </cell>
          <cell r="G250">
            <v>2545</v>
          </cell>
          <cell r="H250"/>
          <cell r="I250" t="str">
            <v>NLG0020</v>
          </cell>
        </row>
        <row r="251">
          <cell r="D251" t="str">
            <v>Mỳ tôm OMACHI 30 gói/thùng</v>
          </cell>
          <cell r="E251" t="str">
            <v>Gói</v>
          </cell>
          <cell r="F251" t="str">
            <v>Công ty cổ phần dịch vụ B2B Sen Vàng</v>
          </cell>
          <cell r="G251">
            <v>6887</v>
          </cell>
          <cell r="H251"/>
          <cell r="I251" t="str">
            <v>NLG0021</v>
          </cell>
        </row>
        <row r="252">
          <cell r="D252" t="str">
            <v>Miến dong</v>
          </cell>
          <cell r="E252" t="str">
            <v>kg</v>
          </cell>
          <cell r="F252" t="str">
            <v>Công ty cổ phần dịch vụ B2B Sen Vàng</v>
          </cell>
          <cell r="G252">
            <v>42355</v>
          </cell>
          <cell r="H252"/>
          <cell r="I252" t="str">
            <v>NLG0027</v>
          </cell>
        </row>
        <row r="253">
          <cell r="D253" t="str">
            <v>Mỳ tôm modern ( cốc ), 24 cốc/thùng</v>
          </cell>
          <cell r="E253" t="str">
            <v>Cốc</v>
          </cell>
          <cell r="F253" t="str">
            <v>Công ty cổ phần dịch vụ B2B Sen Vàng</v>
          </cell>
          <cell r="G253">
            <v>6950</v>
          </cell>
          <cell r="H253"/>
          <cell r="I253" t="str">
            <v>NLG0077</v>
          </cell>
        </row>
        <row r="254">
          <cell r="D254" t="str">
            <v>Mỳ tôm Kokomy Đại 65g, 24 cốc/thùng</v>
          </cell>
          <cell r="E254" t="str">
            <v>Cốc</v>
          </cell>
          <cell r="F254" t="str">
            <v>Công ty cổ phần dịch vụ B2B Sen Vàng</v>
          </cell>
          <cell r="G254">
            <v>5401</v>
          </cell>
          <cell r="H254"/>
          <cell r="I254" t="str">
            <v>NLG0145</v>
          </cell>
        </row>
        <row r="255">
          <cell r="D255" t="str">
            <v>Bột mỳ A-Asea túi 1kg (10tui/thùng)</v>
          </cell>
          <cell r="E255" t="str">
            <v>kg</v>
          </cell>
          <cell r="F255" t="str">
            <v>Công ty cổ phần dịch vụ B2B Sen Vàng</v>
          </cell>
          <cell r="G255">
            <v>17043</v>
          </cell>
          <cell r="H255"/>
          <cell r="I255" t="str">
            <v>NLG0207</v>
          </cell>
        </row>
        <row r="256">
          <cell r="D256" t="str">
            <v>Bột nghệ cary Toàn Gia gói 400g (130 gói/bao)</v>
          </cell>
          <cell r="E256" t="str">
            <v>Gói</v>
          </cell>
          <cell r="F256" t="str">
            <v>Công ty cổ phần dịch vụ B2B Sen Vàng</v>
          </cell>
          <cell r="G256">
            <v>21423</v>
          </cell>
          <cell r="H256"/>
          <cell r="I256" t="str">
            <v>NLG0208</v>
          </cell>
        </row>
        <row r="257">
          <cell r="D257" t="str">
            <v>Dấm bỗng Thổ Hà chai 1L</v>
          </cell>
          <cell r="E257" t="str">
            <v>Lít</v>
          </cell>
          <cell r="F257" t="str">
            <v>Công ty cổ phần dịch vụ B2B Sen Vàng</v>
          </cell>
          <cell r="G257">
            <v>5600</v>
          </cell>
          <cell r="H257"/>
          <cell r="I257" t="str">
            <v>NLG0209</v>
          </cell>
        </row>
        <row r="258">
          <cell r="D258" t="str">
            <v>Tương ớt An Lợi 520g (24c/t)</v>
          </cell>
          <cell r="E258" t="str">
            <v>Chai</v>
          </cell>
          <cell r="F258" t="str">
            <v>Công ty cổ phần dịch vụ B2B Sen Vàng</v>
          </cell>
          <cell r="G258">
            <v>10192</v>
          </cell>
          <cell r="H258"/>
          <cell r="I258" t="str">
            <v>NLG0212</v>
          </cell>
        </row>
        <row r="259">
          <cell r="D259" t="str">
            <v>Bột chiên giòn A-Asea nhãn B túi 1kg (10tui/thùng)</v>
          </cell>
          <cell r="E259" t="str">
            <v>kg</v>
          </cell>
          <cell r="F259" t="str">
            <v>Công ty cổ phần dịch vụ B2B Sen Vàng</v>
          </cell>
          <cell r="G259">
            <v>18692</v>
          </cell>
          <cell r="H259"/>
          <cell r="I259" t="str">
            <v>NLG0213</v>
          </cell>
        </row>
        <row r="260">
          <cell r="D260" t="str">
            <v>Bột điều Toàn gia 500g (100 gói/bao)</v>
          </cell>
          <cell r="E260" t="str">
            <v>kg</v>
          </cell>
          <cell r="F260" t="str">
            <v>Công ty cổ phần dịch vụ B2B Sen Vàng</v>
          </cell>
          <cell r="G260">
            <v>122266</v>
          </cell>
          <cell r="H260"/>
          <cell r="I260" t="str">
            <v>NLG0214</v>
          </cell>
        </row>
        <row r="261">
          <cell r="D261" t="str">
            <v>Bột béo A-Asea nhãn B túi 1kg (10tui/thùng)</v>
          </cell>
          <cell r="E261" t="str">
            <v>kg</v>
          </cell>
          <cell r="F261" t="str">
            <v>Công ty cổ phần dịch vụ B2B Sen Vàng</v>
          </cell>
          <cell r="G261">
            <v>21992</v>
          </cell>
          <cell r="H261"/>
          <cell r="I261" t="str">
            <v>NLG0218</v>
          </cell>
        </row>
        <row r="262">
          <cell r="D262" t="str">
            <v>Muối hạt sạch miền Bắc túi 1kg (40 túi/bao)</v>
          </cell>
          <cell r="E262" t="str">
            <v>kg</v>
          </cell>
          <cell r="F262" t="str">
            <v>Công ty cổ phần dịch vụ B2B Sen Vàng</v>
          </cell>
          <cell r="G262">
            <v>5877</v>
          </cell>
          <cell r="H262"/>
          <cell r="I262" t="str">
            <v>NLG0221</v>
          </cell>
        </row>
        <row r="263">
          <cell r="D263" t="str">
            <v>Miến dong đen SensGiavi CN 1kg/túi</v>
          </cell>
          <cell r="E263" t="str">
            <v>kg</v>
          </cell>
          <cell r="F263" t="str">
            <v>Công ty cổ phần dịch vụ B2B Sen Vàng</v>
          </cell>
          <cell r="G263">
            <v>56145</v>
          </cell>
          <cell r="H263"/>
          <cell r="I263" t="str">
            <v>NLG0252</v>
          </cell>
        </row>
        <row r="264">
          <cell r="D264" t="str">
            <v>Mì tôm cân Hà Việt 1kg/gói</v>
          </cell>
          <cell r="E264" t="str">
            <v>kg</v>
          </cell>
          <cell r="F264" t="str">
            <v>Công ty cổ phần dịch vụ B2B Sen Vàng</v>
          </cell>
          <cell r="G264">
            <v>32124</v>
          </cell>
          <cell r="H264"/>
          <cell r="I264" t="str">
            <v>NLG0257</v>
          </cell>
        </row>
        <row r="265">
          <cell r="D265" t="str">
            <v>Bột chanh Knorr 400g/gói, 12 gói/thùng</v>
          </cell>
          <cell r="E265" t="str">
            <v>Gói</v>
          </cell>
          <cell r="F265" t="str">
            <v>Công ty cổ phần dịch vụ B2B Sen Vàng</v>
          </cell>
          <cell r="G265">
            <v>115420</v>
          </cell>
          <cell r="H265"/>
          <cell r="I265" t="str">
            <v>NLG0265</v>
          </cell>
        </row>
        <row r="266">
          <cell r="D266" t="str">
            <v>Nước mắm Nam Ngư 900ml, 15 chai/thùng</v>
          </cell>
          <cell r="E266" t="str">
            <v>Chai</v>
          </cell>
          <cell r="F266" t="str">
            <v>Công ty cổ phần dịch vụ B2B Sen Vàng</v>
          </cell>
          <cell r="G266">
            <v>48401</v>
          </cell>
          <cell r="H266"/>
          <cell r="I266" t="str">
            <v>NLG0273</v>
          </cell>
        </row>
        <row r="267">
          <cell r="D267" t="str">
            <v>Bánh đa nem thổ hà 50 lá/ tập</v>
          </cell>
          <cell r="E267" t="str">
            <v>Lá</v>
          </cell>
          <cell r="F267" t="str">
            <v>Công ty cổ phần dịch vụ B2B Sen Vàng</v>
          </cell>
          <cell r="G267">
            <v>341</v>
          </cell>
          <cell r="H267"/>
          <cell r="I267" t="str">
            <v>NLG0284</v>
          </cell>
        </row>
        <row r="268">
          <cell r="D268" t="str">
            <v>Mỳ gạo tổ chim 1kg/túi</v>
          </cell>
          <cell r="E268" t="str">
            <v>kg</v>
          </cell>
          <cell r="F268" t="str">
            <v>Công ty cổ phần dịch vụ B2B Sen Vàng</v>
          </cell>
          <cell r="G268">
            <v>31850</v>
          </cell>
          <cell r="H268"/>
          <cell r="I268" t="str">
            <v>NLG0287</v>
          </cell>
        </row>
        <row r="269">
          <cell r="D269" t="str">
            <v>Mỳ tôm Kokomy Đại 90g*30 gói/thùng</v>
          </cell>
          <cell r="E269" t="str">
            <v>Gói</v>
          </cell>
          <cell r="F269" t="str">
            <v>Công ty cổ phần dịch vụ B2B Sen Vàng</v>
          </cell>
          <cell r="G269">
            <v>3625</v>
          </cell>
          <cell r="H269"/>
          <cell r="I269" t="str">
            <v>NLG0297</v>
          </cell>
        </row>
        <row r="270">
          <cell r="D270" t="str">
            <v>Mỳ tôm hảo hảo, 67gr * 24 cốc/ thùng</v>
          </cell>
          <cell r="E270" t="str">
            <v>Cốc</v>
          </cell>
          <cell r="F270" t="str">
            <v>Công ty cổ phần dịch vụ B2B Sen Vàng</v>
          </cell>
          <cell r="G270">
            <v>8000</v>
          </cell>
          <cell r="H270"/>
          <cell r="I270" t="str">
            <v>NLG0304</v>
          </cell>
        </row>
        <row r="271">
          <cell r="D271" t="str">
            <v>Bánh đa đỏ túi 1kg</v>
          </cell>
          <cell r="E271" t="str">
            <v>Túi</v>
          </cell>
          <cell r="F271" t="str">
            <v>Công ty cổ phần dịch vụ B2B Sen Vàng</v>
          </cell>
          <cell r="G271">
            <v>34000</v>
          </cell>
          <cell r="H271"/>
          <cell r="I271" t="str">
            <v>NLG0317</v>
          </cell>
        </row>
        <row r="272">
          <cell r="D272" t="str">
            <v>Nấm hương</v>
          </cell>
          <cell r="E272" t="str">
            <v>kg</v>
          </cell>
          <cell r="F272" t="str">
            <v>Công ty cổ phần dịch vụ B2B Sen Vàng</v>
          </cell>
          <cell r="G272">
            <v>259200</v>
          </cell>
          <cell r="H272"/>
          <cell r="I272" t="str">
            <v>NLR0118</v>
          </cell>
        </row>
        <row r="273">
          <cell r="D273" t="str">
            <v>Sữa chua Ba Vì nha đam 48 hộp/thùng</v>
          </cell>
          <cell r="E273" t="str">
            <v>Hộp</v>
          </cell>
          <cell r="F273" t="str">
            <v>Công ty cổ phần dịch vụ B2B Sen Vàng</v>
          </cell>
          <cell r="G273">
            <v>4630</v>
          </cell>
          <cell r="H273"/>
          <cell r="I273" t="str">
            <v>NLS0296</v>
          </cell>
        </row>
        <row r="274">
          <cell r="D274" t="str">
            <v>Lạc nhân</v>
          </cell>
          <cell r="E274" t="str">
            <v>kg</v>
          </cell>
          <cell r="F274" t="str">
            <v>Công ty cổ phần dịch vụ B2B Sen Vàng</v>
          </cell>
          <cell r="G274">
            <v>46080</v>
          </cell>
          <cell r="H274"/>
          <cell r="I274" t="str">
            <v>NLT0020</v>
          </cell>
        </row>
        <row r="275">
          <cell r="D275" t="str">
            <v>Bột canh Hải Châu , 50 gói / thùng</v>
          </cell>
          <cell r="E275" t="str">
            <v>Gói</v>
          </cell>
          <cell r="F275" t="str">
            <v>Công ty cổ phần dịch vụ B2B Sen Vàng</v>
          </cell>
          <cell r="G275">
            <v>3205</v>
          </cell>
          <cell r="H275"/>
          <cell r="I275" t="str">
            <v>NPG0011</v>
          </cell>
        </row>
        <row r="276">
          <cell r="D276" t="str">
            <v>Bột canh vifon 900g/gói, 12 gói/thùng</v>
          </cell>
          <cell r="E276" t="str">
            <v>Gói</v>
          </cell>
          <cell r="F276" t="str">
            <v>Công ty cổ phần dịch vụ B2B Sen Vàng</v>
          </cell>
          <cell r="G276">
            <v>18133</v>
          </cell>
          <cell r="H276"/>
          <cell r="I276" t="str">
            <v>NPG0018</v>
          </cell>
        </row>
        <row r="277">
          <cell r="D277" t="str">
            <v>Bột chiên xù màu Panco thùng 10kg</v>
          </cell>
          <cell r="E277" t="str">
            <v>kg</v>
          </cell>
          <cell r="F277" t="str">
            <v>Công ty cổ phần dịch vụ B2B Sen Vàng</v>
          </cell>
          <cell r="G277">
            <v>44492</v>
          </cell>
          <cell r="H277"/>
          <cell r="I277" t="str">
            <v>NPG0024</v>
          </cell>
        </row>
        <row r="278">
          <cell r="D278" t="str">
            <v>Bột mỳ Mezan 1kg/gói</v>
          </cell>
          <cell r="E278" t="str">
            <v>kg</v>
          </cell>
          <cell r="F278" t="str">
            <v>Công ty cổ phần dịch vụ B2B Sen Vàng</v>
          </cell>
          <cell r="G278">
            <v>17940</v>
          </cell>
          <cell r="H278"/>
          <cell r="I278" t="str">
            <v>NPG0030</v>
          </cell>
        </row>
        <row r="279">
          <cell r="D279" t="str">
            <v>Bột mỳ ngọc lan 1kg/gói</v>
          </cell>
          <cell r="E279" t="str">
            <v>kg</v>
          </cell>
          <cell r="F279" t="str">
            <v>Công ty cổ phần dịch vụ B2B Sen Vàng</v>
          </cell>
          <cell r="G279">
            <v>19305</v>
          </cell>
          <cell r="H279"/>
          <cell r="I279" t="str">
            <v>NPG0032</v>
          </cell>
        </row>
        <row r="280">
          <cell r="D280" t="str">
            <v>Bột năng Thành phát 1kg/gói, 10 gói/thùng</v>
          </cell>
          <cell r="E280" t="str">
            <v>kg</v>
          </cell>
          <cell r="F280" t="str">
            <v>Công ty cổ phần dịch vụ B2B Sen Vàng</v>
          </cell>
          <cell r="G280">
            <v>18765</v>
          </cell>
          <cell r="H280"/>
          <cell r="I280" t="str">
            <v>NPG0033</v>
          </cell>
        </row>
        <row r="281">
          <cell r="D281" t="str">
            <v>Bột tôm Vifon 10g/gói</v>
          </cell>
          <cell r="E281" t="str">
            <v>Gói</v>
          </cell>
          <cell r="F281" t="str">
            <v>Công ty cổ phần dịch vụ B2B Sen Vàng</v>
          </cell>
          <cell r="G281">
            <v>555</v>
          </cell>
          <cell r="H281"/>
          <cell r="I281" t="str">
            <v>NPG0038</v>
          </cell>
        </row>
        <row r="282">
          <cell r="D282" t="str">
            <v>Bơ Tường an 200g</v>
          </cell>
          <cell r="E282" t="str">
            <v>Hộp</v>
          </cell>
          <cell r="F282" t="str">
            <v>Công ty cổ phần dịch vụ B2B Sen Vàng</v>
          </cell>
          <cell r="G282">
            <v>13400</v>
          </cell>
          <cell r="H282"/>
          <cell r="I282" t="str">
            <v>NPG0040</v>
          </cell>
        </row>
        <row r="283">
          <cell r="D283" t="str">
            <v>Dầu hào Maggi 820g/chai, 12 chai/thùng</v>
          </cell>
          <cell r="E283" t="str">
            <v>Chai</v>
          </cell>
          <cell r="F283" t="str">
            <v>Công ty cổ phần dịch vụ B2B Sen Vàng</v>
          </cell>
          <cell r="G283">
            <v>46800</v>
          </cell>
          <cell r="H283"/>
          <cell r="I283" t="str">
            <v>NPG0049</v>
          </cell>
        </row>
        <row r="284">
          <cell r="D284" t="str">
            <v>Dầu mè Mezan 250ml/chai</v>
          </cell>
          <cell r="E284" t="str">
            <v>Chai</v>
          </cell>
          <cell r="F284" t="str">
            <v>Công ty cổ phần dịch vụ B2B Sen Vàng</v>
          </cell>
          <cell r="G284">
            <v>46887</v>
          </cell>
          <cell r="H284" t="str">
            <v>Check</v>
          </cell>
          <cell r="I284" t="str">
            <v>NPG0050</v>
          </cell>
        </row>
        <row r="285">
          <cell r="D285" t="str">
            <v>Đậu đỏ</v>
          </cell>
          <cell r="E285" t="str">
            <v>kg</v>
          </cell>
          <cell r="F285" t="str">
            <v>Công ty cổ phần dịch vụ B2B Sen Vàng</v>
          </cell>
          <cell r="G285">
            <v>43200</v>
          </cell>
          <cell r="H285"/>
          <cell r="I285" t="str">
            <v>NPG0053</v>
          </cell>
        </row>
        <row r="286">
          <cell r="D286" t="str">
            <v>Đậu tương lên men Shiro Miso Miko Chan Shishuichi 500g/ gói</v>
          </cell>
          <cell r="E286" t="str">
            <v>kg</v>
          </cell>
          <cell r="F286" t="str">
            <v>Công ty cổ phần dịch vụ B2B Sen Vàng</v>
          </cell>
          <cell r="G286">
            <v>84000</v>
          </cell>
          <cell r="H286"/>
          <cell r="I286" t="str">
            <v>NPG0054</v>
          </cell>
        </row>
        <row r="287">
          <cell r="D287" t="str">
            <v>Đỗ đen</v>
          </cell>
          <cell r="E287" t="str">
            <v>kg</v>
          </cell>
          <cell r="F287" t="str">
            <v>Công ty cổ phần dịch vụ B2B Sen Vàng</v>
          </cell>
          <cell r="G287">
            <v>48000</v>
          </cell>
          <cell r="H287"/>
          <cell r="I287" t="str">
            <v>NPG0058</v>
          </cell>
        </row>
        <row r="288">
          <cell r="D288" t="str">
            <v>Đường phèn</v>
          </cell>
          <cell r="E288" t="str">
            <v>kg</v>
          </cell>
          <cell r="F288" t="str">
            <v>Công ty cổ phần dịch vụ B2B Sen Vàng</v>
          </cell>
          <cell r="G288">
            <v>30000</v>
          </cell>
          <cell r="H288"/>
          <cell r="I288" t="str">
            <v>NPG0061</v>
          </cell>
        </row>
        <row r="289">
          <cell r="D289" t="str">
            <v>Gia vị kho thịt Knorr 28g/gói</v>
          </cell>
          <cell r="E289" t="str">
            <v>Gói</v>
          </cell>
          <cell r="F289" t="str">
            <v>Công ty cổ phần dịch vụ B2B Sen Vàng</v>
          </cell>
          <cell r="G289">
            <v>5000</v>
          </cell>
          <cell r="H289"/>
          <cell r="I289" t="str">
            <v>NPG0064</v>
          </cell>
        </row>
        <row r="290">
          <cell r="D290" t="str">
            <v>Hạt sen</v>
          </cell>
          <cell r="E290" t="str">
            <v>kg</v>
          </cell>
          <cell r="F290" t="str">
            <v>Công ty cổ phần dịch vụ B2B Sen Vàng</v>
          </cell>
          <cell r="G290">
            <v>180000</v>
          </cell>
          <cell r="H290"/>
          <cell r="I290" t="str">
            <v>NPG0071</v>
          </cell>
        </row>
        <row r="291">
          <cell r="D291" t="str">
            <v>Mắm tôm Ba làng 500ml/chai, 24 chai/thùng</v>
          </cell>
          <cell r="E291" t="str">
            <v>Chai</v>
          </cell>
          <cell r="F291" t="str">
            <v>Công ty cổ phần dịch vụ B2B Sen Vàng</v>
          </cell>
          <cell r="G291">
            <v>16550</v>
          </cell>
          <cell r="H291"/>
          <cell r="I291" t="str">
            <v>NPG0084</v>
          </cell>
        </row>
        <row r="292">
          <cell r="D292" t="str">
            <v>Me khô</v>
          </cell>
          <cell r="E292" t="str">
            <v>kg</v>
          </cell>
          <cell r="F292" t="str">
            <v>Công ty cổ phần dịch vụ B2B Sen Vàng</v>
          </cell>
          <cell r="G292">
            <v>37440</v>
          </cell>
          <cell r="H292"/>
          <cell r="I292" t="str">
            <v>NPG0094</v>
          </cell>
        </row>
        <row r="293">
          <cell r="D293" t="str">
            <v>Mộc nhĩ không chân</v>
          </cell>
          <cell r="E293" t="str">
            <v>kg</v>
          </cell>
          <cell r="F293" t="str">
            <v>Công ty cổ phần dịch vụ B2B Sen Vàng</v>
          </cell>
          <cell r="G293">
            <v>107520</v>
          </cell>
          <cell r="H293"/>
          <cell r="I293" t="str">
            <v>NPG0096</v>
          </cell>
        </row>
        <row r="294">
          <cell r="D294" t="str">
            <v>Nước cốt dừa wonderfarm 400ml/lon</v>
          </cell>
          <cell r="E294" t="str">
            <v>Hộp</v>
          </cell>
          <cell r="F294" t="str">
            <v>Công ty cổ phần dịch vụ B2B Sen Vàng</v>
          </cell>
          <cell r="G294">
            <v>27000</v>
          </cell>
          <cell r="H294"/>
          <cell r="I294" t="str">
            <v>NPG0105</v>
          </cell>
        </row>
        <row r="295">
          <cell r="D295" t="str">
            <v>Nước sốt Mirin Sweet Cooking Sauce1.8L</v>
          </cell>
          <cell r="E295" t="str">
            <v>Chai</v>
          </cell>
          <cell r="F295" t="str">
            <v>Công ty cổ phần dịch vụ B2B Sen Vàng</v>
          </cell>
          <cell r="G295">
            <v>150000</v>
          </cell>
          <cell r="H295" t="str">
            <v>Check</v>
          </cell>
          <cell r="I295" t="str">
            <v>NPG0110</v>
          </cell>
        </row>
        <row r="296">
          <cell r="D296" t="str">
            <v>Quế chi</v>
          </cell>
          <cell r="E296" t="str">
            <v>kg</v>
          </cell>
          <cell r="F296" t="str">
            <v>Công ty cổ phần dịch vụ B2B Sen Vàng</v>
          </cell>
          <cell r="G296">
            <v>82560</v>
          </cell>
          <cell r="H296" t="str">
            <v>Check</v>
          </cell>
          <cell r="I296" t="str">
            <v>NPG0117</v>
          </cell>
        </row>
        <row r="297">
          <cell r="D297" t="str">
            <v>Sa tế Thuận phát 6 lọ /vỉ</v>
          </cell>
          <cell r="E297" t="str">
            <v>Lọ</v>
          </cell>
          <cell r="F297" t="str">
            <v>Công ty cổ phần dịch vụ B2B Sen Vàng</v>
          </cell>
          <cell r="G297">
            <v>6272</v>
          </cell>
          <cell r="H297" t="str">
            <v>Check</v>
          </cell>
          <cell r="I297" t="str">
            <v>NPG0127</v>
          </cell>
        </row>
        <row r="298">
          <cell r="D298" t="str">
            <v>Vừng đen</v>
          </cell>
          <cell r="E298" t="str">
            <v>kg</v>
          </cell>
          <cell r="F298" t="str">
            <v>Công ty cổ phần dịch vụ B2B Sen Vàng</v>
          </cell>
          <cell r="G298">
            <v>76800</v>
          </cell>
          <cell r="H298"/>
          <cell r="I298" t="str">
            <v>NPG0151</v>
          </cell>
        </row>
        <row r="299">
          <cell r="D299" t="str">
            <v>Vừng nõn rang</v>
          </cell>
          <cell r="E299" t="str">
            <v>kg</v>
          </cell>
          <cell r="F299" t="str">
            <v>Công ty cổ phần dịch vụ B2B Sen Vàng</v>
          </cell>
          <cell r="G299">
            <v>83520</v>
          </cell>
          <cell r="H299"/>
          <cell r="I299" t="str">
            <v>NPG0152</v>
          </cell>
        </row>
        <row r="300">
          <cell r="D300" t="str">
            <v>Vừng trắng</v>
          </cell>
          <cell r="E300" t="str">
            <v>kg</v>
          </cell>
          <cell r="F300" t="str">
            <v>Công ty cổ phần dịch vụ B2B Sen Vàng</v>
          </cell>
          <cell r="G300">
            <v>72000</v>
          </cell>
          <cell r="H300"/>
          <cell r="I300" t="str">
            <v>NPG0154</v>
          </cell>
        </row>
        <row r="301">
          <cell r="D301" t="str">
            <v>Xì dầu Tam thái tử 500ml/chai, 24 chai/thùng</v>
          </cell>
          <cell r="E301" t="str">
            <v>Chai</v>
          </cell>
          <cell r="F301" t="str">
            <v>Công ty cổ phần dịch vụ B2B Sen Vàng</v>
          </cell>
          <cell r="G301">
            <v>5762</v>
          </cell>
          <cell r="H301"/>
          <cell r="I301" t="str">
            <v>NPG0155</v>
          </cell>
        </row>
        <row r="302">
          <cell r="D302" t="str">
            <v>Xì dầu Hàng Việt 500ml*24 chai</v>
          </cell>
          <cell r="E302" t="str">
            <v>Chai</v>
          </cell>
          <cell r="F302" t="str">
            <v>Công ty cổ phần dịch vụ B2B Sen Vàng</v>
          </cell>
          <cell r="G302">
            <v>6300</v>
          </cell>
          <cell r="H302"/>
          <cell r="I302" t="str">
            <v>NPG0156</v>
          </cell>
        </row>
        <row r="303">
          <cell r="D303" t="str">
            <v>Nước mắm Siêu tiết kiệm 800ml/chai, 18 chai/thùng</v>
          </cell>
          <cell r="E303" t="str">
            <v>Chai</v>
          </cell>
          <cell r="F303" t="str">
            <v>Công ty cổ phần dịch vụ B2B Sen Vàng</v>
          </cell>
          <cell r="G303">
            <v>11423</v>
          </cell>
          <cell r="H303"/>
          <cell r="I303" t="str">
            <v>NPG0162</v>
          </cell>
        </row>
        <row r="304">
          <cell r="D304" t="str">
            <v>Hạt nêm Miwon 10 kg/gói</v>
          </cell>
          <cell r="E304" t="str">
            <v>kg</v>
          </cell>
          <cell r="F304" t="str">
            <v>Công ty cổ phần dịch vụ B2B Sen Vàng</v>
          </cell>
          <cell r="G304">
            <v>31360</v>
          </cell>
          <cell r="H304"/>
          <cell r="I304" t="str">
            <v>NPG0169</v>
          </cell>
        </row>
        <row r="305">
          <cell r="D305" t="str">
            <v>Mỳ chính Miwon 2kg/ gói</v>
          </cell>
          <cell r="E305" t="str">
            <v>kg</v>
          </cell>
          <cell r="F305" t="str">
            <v>Công ty cổ phần dịch vụ B2B Sen Vàng</v>
          </cell>
          <cell r="G305">
            <v>53743</v>
          </cell>
          <cell r="H305"/>
          <cell r="I305" t="str">
            <v>NPG0184</v>
          </cell>
        </row>
        <row r="306">
          <cell r="D306" t="str">
            <v>Tương nếp (500ml)</v>
          </cell>
          <cell r="E306" t="str">
            <v>Chai</v>
          </cell>
          <cell r="F306" t="str">
            <v>Công ty cổ phần dịch vụ B2B Sen Vàng</v>
          </cell>
          <cell r="G306">
            <v>10584</v>
          </cell>
          <cell r="H306" t="str">
            <v>Check</v>
          </cell>
          <cell r="I306" t="str">
            <v>NPG0187</v>
          </cell>
        </row>
        <row r="307">
          <cell r="D307" t="str">
            <v>Sốt chua ngọt Cholimex 2 lít/can</v>
          </cell>
          <cell r="E307" t="str">
            <v>can</v>
          </cell>
          <cell r="F307" t="str">
            <v>Công ty cổ phần dịch vụ B2B Sen Vàng</v>
          </cell>
          <cell r="G307">
            <v>56700</v>
          </cell>
          <cell r="H307"/>
          <cell r="I307" t="str">
            <v>NPG0190</v>
          </cell>
        </row>
        <row r="308">
          <cell r="D308" t="str">
            <v>Bột ớt Hàn Quốc 1kg/gói</v>
          </cell>
          <cell r="E308" t="str">
            <v>kg</v>
          </cell>
          <cell r="F308" t="str">
            <v>Công ty cổ phần dịch vụ B2B Sen Vàng</v>
          </cell>
          <cell r="G308">
            <v>137200</v>
          </cell>
          <cell r="H308"/>
          <cell r="I308" t="str">
            <v>NPG0225</v>
          </cell>
        </row>
        <row r="309">
          <cell r="D309" t="str">
            <v>Đỗ xanh xát vỏ</v>
          </cell>
          <cell r="E309" t="str">
            <v>kg</v>
          </cell>
          <cell r="F309" t="str">
            <v>Công ty cổ phần dịch vụ B2B Sen Vàng</v>
          </cell>
          <cell r="G309">
            <v>48000</v>
          </cell>
          <cell r="H309"/>
          <cell r="I309" t="str">
            <v>NPG0260</v>
          </cell>
        </row>
        <row r="310">
          <cell r="D310" t="str">
            <v>Đỗ đen xanh lòng</v>
          </cell>
          <cell r="E310" t="str">
            <v>kg</v>
          </cell>
          <cell r="F310" t="str">
            <v>Công ty cổ phần dịch vụ B2B Sen Vàng</v>
          </cell>
          <cell r="G310">
            <v>48000</v>
          </cell>
          <cell r="H310"/>
          <cell r="I310" t="str">
            <v>NPG0272</v>
          </cell>
        </row>
        <row r="311">
          <cell r="D311" t="str">
            <v>Bột chiên giòn Thành Phát 1kg/gói</v>
          </cell>
          <cell r="E311" t="str">
            <v>kg</v>
          </cell>
          <cell r="F311" t="str">
            <v>Công ty cổ phần dịch vụ B2B Sen Vàng</v>
          </cell>
          <cell r="G311">
            <v>19352</v>
          </cell>
          <cell r="H311"/>
          <cell r="I311" t="str">
            <v>NPG0274</v>
          </cell>
        </row>
        <row r="312">
          <cell r="D312" t="str">
            <v>Bơ Tường an 800g</v>
          </cell>
          <cell r="E312" t="str">
            <v>Hộp</v>
          </cell>
          <cell r="F312" t="str">
            <v>Công ty cổ phần dịch vụ B2B Sen Vàng</v>
          </cell>
          <cell r="G312">
            <v>41000</v>
          </cell>
          <cell r="H312"/>
          <cell r="I312" t="str">
            <v>NPG0321</v>
          </cell>
        </row>
        <row r="313">
          <cell r="D313" t="str">
            <v>Dấm Phương Trang 500ml/chai*24 chai</v>
          </cell>
          <cell r="E313" t="str">
            <v>Chai</v>
          </cell>
          <cell r="F313" t="str">
            <v>Công ty cổ phần dịch vụ B2B Sen Vàng</v>
          </cell>
          <cell r="G313">
            <v>2184</v>
          </cell>
          <cell r="H313"/>
          <cell r="I313" t="str">
            <v>NPG0349</v>
          </cell>
        </row>
        <row r="314">
          <cell r="D314" t="str">
            <v>Tương ớt Nam Dư 860g * 15 chai</v>
          </cell>
          <cell r="E314" t="str">
            <v>Chai</v>
          </cell>
          <cell r="F314" t="str">
            <v>Công ty cổ phần dịch vụ B2B Sen Vàng</v>
          </cell>
          <cell r="G314">
            <v>6679</v>
          </cell>
          <cell r="H314"/>
          <cell r="I314" t="str">
            <v>NPG0351</v>
          </cell>
        </row>
        <row r="315">
          <cell r="D315" t="str">
            <v>Quẩy</v>
          </cell>
          <cell r="E315" t="str">
            <v>Cái</v>
          </cell>
          <cell r="F315" t="str">
            <v>Công ty cổ phần dịch vụ B2B Sen Vàng</v>
          </cell>
          <cell r="G315">
            <v>1750</v>
          </cell>
          <cell r="H315"/>
          <cell r="I315" t="str">
            <v>NPG0361</v>
          </cell>
        </row>
        <row r="316">
          <cell r="D316" t="str">
            <v>Đỗ tương</v>
          </cell>
          <cell r="E316" t="str">
            <v>kg</v>
          </cell>
          <cell r="F316" t="str">
            <v>Công ty cổ phần dịch vụ B2B Sen Vàng</v>
          </cell>
          <cell r="G316">
            <v>25920</v>
          </cell>
          <cell r="H316"/>
          <cell r="I316" t="str">
            <v>NPG0366</v>
          </cell>
        </row>
        <row r="317">
          <cell r="D317" t="str">
            <v>Lá nguyệt quế</v>
          </cell>
          <cell r="E317" t="str">
            <v>kg</v>
          </cell>
          <cell r="F317" t="str">
            <v>Công ty cổ phần dịch vụ B2B Sen Vàng</v>
          </cell>
          <cell r="G317">
            <v>214080</v>
          </cell>
          <cell r="H317"/>
          <cell r="I317" t="str">
            <v>NPG0405</v>
          </cell>
        </row>
        <row r="318">
          <cell r="D318" t="str">
            <v>Kỳ tử</v>
          </cell>
          <cell r="E318" t="str">
            <v>kg</v>
          </cell>
          <cell r="F318" t="str">
            <v>Công ty cổ phần dịch vụ B2B Sen Vàng</v>
          </cell>
          <cell r="G318">
            <v>225600</v>
          </cell>
          <cell r="H318"/>
          <cell r="I318" t="str">
            <v>NPG0406</v>
          </cell>
        </row>
        <row r="319">
          <cell r="D319" t="str">
            <v>Đường trắng xuất khẩu 1kg/gói</v>
          </cell>
          <cell r="E319" t="str">
            <v>kg</v>
          </cell>
          <cell r="F319" t="str">
            <v>Công ty cổ phần dịch vụ B2B Sen Vàng</v>
          </cell>
          <cell r="G319">
            <v>22671</v>
          </cell>
          <cell r="H319"/>
          <cell r="I319" t="str">
            <v>NPG0423</v>
          </cell>
        </row>
        <row r="320">
          <cell r="D320" t="str">
            <v>Nước lau sàn Gift 3,8l/can</v>
          </cell>
          <cell r="E320" t="str">
            <v>can</v>
          </cell>
          <cell r="F320" t="str">
            <v>Công ty cổ phần dịch vụ B2B Sen Vàng</v>
          </cell>
          <cell r="G320">
            <v>75600</v>
          </cell>
          <cell r="H320"/>
          <cell r="I320" t="str">
            <v>NPG0435</v>
          </cell>
        </row>
        <row r="321">
          <cell r="D321" t="str">
            <v>Mắm tép Tác Huy 500ml/chai</v>
          </cell>
          <cell r="E321" t="str">
            <v>Chai</v>
          </cell>
          <cell r="F321" t="str">
            <v>Công ty cổ phần dịch vụ B2B Sen Vàng</v>
          </cell>
          <cell r="G321">
            <v>17020</v>
          </cell>
          <cell r="H321" t="str">
            <v>Check</v>
          </cell>
          <cell r="I321" t="str">
            <v>NPG0436</v>
          </cell>
        </row>
        <row r="322">
          <cell r="D322" t="str">
            <v>Xì dầu đặc biệt Lee Kum Kee 500ml/chai</v>
          </cell>
          <cell r="E322" t="str">
            <v>Chai</v>
          </cell>
          <cell r="F322" t="str">
            <v>Công ty cổ phần dịch vụ B2B Sen Vàng</v>
          </cell>
          <cell r="G322">
            <v>53000</v>
          </cell>
          <cell r="H322" t="str">
            <v>Check</v>
          </cell>
          <cell r="I322" t="str">
            <v>NPG0441</v>
          </cell>
        </row>
        <row r="323">
          <cell r="D323" t="str">
            <v>Mỳ trứng cao cấp Meizan 500g/gói</v>
          </cell>
          <cell r="E323" t="str">
            <v>kg</v>
          </cell>
          <cell r="F323" t="str">
            <v>Công ty cổ phần dịch vụ B2B Sen Vàng</v>
          </cell>
          <cell r="G323">
            <v>49000</v>
          </cell>
          <cell r="H323" t="str">
            <v>Check</v>
          </cell>
          <cell r="I323" t="str">
            <v>NPG0442</v>
          </cell>
        </row>
        <row r="324">
          <cell r="D324" t="str">
            <v>Kem tươi Anchor 1 Lít/hộp</v>
          </cell>
          <cell r="E324" t="str">
            <v>Lít</v>
          </cell>
          <cell r="F324" t="str">
            <v>Công ty cổ phần dịch vụ B2B Sen Vàng</v>
          </cell>
          <cell r="G324">
            <v>171500</v>
          </cell>
          <cell r="H324" t="str">
            <v>Check</v>
          </cell>
          <cell r="I324" t="str">
            <v>NPG0448</v>
          </cell>
        </row>
        <row r="325">
          <cell r="D325" t="str">
            <v>Mì tôm kokomy 100 gói /thùng</v>
          </cell>
          <cell r="E325" t="str">
            <v>Gói</v>
          </cell>
          <cell r="F325" t="str">
            <v>Công ty cổ phần dịch vụ B2B Sen Vàng</v>
          </cell>
          <cell r="G325">
            <v>2482</v>
          </cell>
          <cell r="H325"/>
          <cell r="I325" t="str">
            <v>NPG0469</v>
          </cell>
        </row>
        <row r="326">
          <cell r="D326" t="str">
            <v>Táo đỏ khô HQ</v>
          </cell>
          <cell r="E326" t="str">
            <v>kg</v>
          </cell>
          <cell r="F326" t="str">
            <v>Công ty cổ phần dịch vụ B2B Sen Vàng</v>
          </cell>
          <cell r="G326">
            <v>59500</v>
          </cell>
          <cell r="H326"/>
          <cell r="I326" t="str">
            <v>NPG0515</v>
          </cell>
        </row>
        <row r="327">
          <cell r="D327" t="str">
            <v>Dầu ăn Cái Lân 19,8L/thùng</v>
          </cell>
          <cell r="E327" t="str">
            <v>Lít</v>
          </cell>
          <cell r="F327" t="str">
            <v>Công ty cổ phần dịch vụ B2B Sen Vàng</v>
          </cell>
          <cell r="G327">
            <v>35592.53</v>
          </cell>
          <cell r="H327" t="str">
            <v>Check</v>
          </cell>
          <cell r="I327" t="str">
            <v>NPG0529</v>
          </cell>
        </row>
        <row r="328">
          <cell r="D328" t="str">
            <v>Dầu ăn orchid 19.8 lít / thùng</v>
          </cell>
          <cell r="E328" t="str">
            <v>Lít</v>
          </cell>
          <cell r="F328" t="str">
            <v>Công ty cổ phần dịch vụ B2B Sen Vàng</v>
          </cell>
          <cell r="G328">
            <v>34000</v>
          </cell>
          <cell r="H328" t="str">
            <v>Check</v>
          </cell>
          <cell r="I328" t="str">
            <v>NPG0532</v>
          </cell>
        </row>
        <row r="329">
          <cell r="D329" t="str">
            <v>Tương ớt Cholimex 2.1kg/can</v>
          </cell>
          <cell r="E329" t="str">
            <v>can</v>
          </cell>
          <cell r="F329" t="str">
            <v>Công ty cổ phần dịch vụ B2B Sen Vàng</v>
          </cell>
          <cell r="G329">
            <v>56700</v>
          </cell>
          <cell r="H329" t="str">
            <v>Check</v>
          </cell>
          <cell r="I329" t="str">
            <v>NPG0557</v>
          </cell>
        </row>
        <row r="330">
          <cell r="D330" t="str">
            <v>Bột thịt gà Knorr 1kg/hộp</v>
          </cell>
          <cell r="E330" t="str">
            <v>kg</v>
          </cell>
          <cell r="F330" t="str">
            <v>Công ty cổ phần dịch vụ B2B Sen Vàng</v>
          </cell>
          <cell r="G330">
            <v>129000</v>
          </cell>
          <cell r="H330" t="str">
            <v>Check</v>
          </cell>
          <cell r="I330" t="str">
            <v>NPG0601</v>
          </cell>
        </row>
        <row r="331">
          <cell r="D331" t="str">
            <v>Sốt ướp xá xíu Cholimex 70g/gói</v>
          </cell>
          <cell r="E331" t="str">
            <v>Gói</v>
          </cell>
          <cell r="F331" t="str">
            <v>Công ty cổ phần dịch vụ B2B Sen Vàng</v>
          </cell>
          <cell r="G331">
            <v>7227</v>
          </cell>
          <cell r="H331"/>
          <cell r="I331" t="str">
            <v>NPG0607</v>
          </cell>
        </row>
        <row r="332">
          <cell r="D332" t="str">
            <v>Hắc xì dầu Hải Thiên 1.75l/ chai</v>
          </cell>
          <cell r="E332" t="str">
            <v>Chai</v>
          </cell>
          <cell r="F332" t="str">
            <v>Công ty cổ phần dịch vụ B2B Sen Vàng</v>
          </cell>
          <cell r="G332">
            <v>82680</v>
          </cell>
          <cell r="H332" t="str">
            <v>Check</v>
          </cell>
          <cell r="I332" t="str">
            <v>NPG0668</v>
          </cell>
        </row>
        <row r="333">
          <cell r="D333" t="str">
            <v>Phồng tôm Phương Giang 200g/gói</v>
          </cell>
          <cell r="E333" t="str">
            <v>Gói</v>
          </cell>
          <cell r="F333" t="str">
            <v>Công ty cổ phần dịch vụ B2B Sen Vàng</v>
          </cell>
          <cell r="G333">
            <v>6500</v>
          </cell>
          <cell r="H333"/>
          <cell r="I333" t="str">
            <v>NPG0680</v>
          </cell>
        </row>
        <row r="334">
          <cell r="D334" t="str">
            <v>Hạt điều đỏ SensGiaVi 1kg/gói</v>
          </cell>
          <cell r="E334" t="str">
            <v>kg</v>
          </cell>
          <cell r="F334" t="str">
            <v>Công ty cổ phần dịch vụ B2B Sen Vàng</v>
          </cell>
          <cell r="G334">
            <v>225600</v>
          </cell>
          <cell r="H334"/>
          <cell r="I334" t="str">
            <v>NPG0686</v>
          </cell>
        </row>
        <row r="335">
          <cell r="D335" t="str">
            <v>Hạt tiêu 1kg/gói</v>
          </cell>
          <cell r="E335" t="str">
            <v>kg</v>
          </cell>
          <cell r="F335" t="str">
            <v>Công ty cổ phần dịch vụ B2B Sen Vàng</v>
          </cell>
          <cell r="G335">
            <v>230400</v>
          </cell>
          <cell r="H335"/>
          <cell r="I335" t="str">
            <v>NPG0687</v>
          </cell>
        </row>
        <row r="336">
          <cell r="D336" t="str">
            <v>Hoa hồi SensGiaVi túi 1kg</v>
          </cell>
          <cell r="E336" t="str">
            <v>kg</v>
          </cell>
          <cell r="F336" t="str">
            <v>Công ty cổ phần dịch vụ B2B Sen Vàng</v>
          </cell>
          <cell r="G336">
            <v>149760</v>
          </cell>
          <cell r="H336"/>
          <cell r="I336" t="str">
            <v>NPG0688</v>
          </cell>
        </row>
        <row r="337">
          <cell r="D337" t="str">
            <v>Mẻ (1L/can)</v>
          </cell>
          <cell r="E337" t="str">
            <v>Chai</v>
          </cell>
          <cell r="F337" t="str">
            <v>Công ty cổ phần dịch vụ B2B Sen Vàng</v>
          </cell>
          <cell r="G337">
            <v>10000</v>
          </cell>
          <cell r="H337"/>
          <cell r="I337" t="str">
            <v>NPG0689</v>
          </cell>
        </row>
        <row r="338">
          <cell r="D338" t="str">
            <v>Thảo quả SensGiaVi 1kg/gói</v>
          </cell>
          <cell r="E338" t="str">
            <v>kg</v>
          </cell>
          <cell r="F338" t="str">
            <v>Công ty cổ phần dịch vụ B2B Sen Vàng</v>
          </cell>
          <cell r="G338">
            <v>240000</v>
          </cell>
          <cell r="H338"/>
          <cell r="I338" t="str">
            <v>NPG0690</v>
          </cell>
        </row>
        <row r="339">
          <cell r="D339" t="str">
            <v>Bột canh Hải Châu 5kg/túi, 6 túi/bao</v>
          </cell>
          <cell r="E339" t="str">
            <v>kg</v>
          </cell>
          <cell r="F339" t="str">
            <v>Công ty cổ phần dịch vụ B2B Sen Vàng</v>
          </cell>
          <cell r="G339">
            <v>7509.8</v>
          </cell>
          <cell r="H339"/>
          <cell r="I339" t="str">
            <v>NPG0696</v>
          </cell>
        </row>
        <row r="340">
          <cell r="D340" t="str">
            <v>Bột năng A-Asea nhãn B 1kg/ túi, 10 túi/ thùng</v>
          </cell>
          <cell r="E340" t="str">
            <v>kg</v>
          </cell>
          <cell r="F340" t="str">
            <v>Công ty cổ phần dịch vụ B2B Sen Vàng</v>
          </cell>
          <cell r="G340">
            <v>19086</v>
          </cell>
          <cell r="H340" t="str">
            <v>Check</v>
          </cell>
          <cell r="I340" t="str">
            <v>NPG0698</v>
          </cell>
        </row>
        <row r="341">
          <cell r="D341" t="str">
            <v>Bột chiên xù A-Asea vàng 1 kg/ túi, 10 túi/ thùng</v>
          </cell>
          <cell r="E341" t="str">
            <v>kg</v>
          </cell>
          <cell r="F341" t="str">
            <v>Công ty cổ phần dịch vụ B2B Sen Vàng</v>
          </cell>
          <cell r="G341">
            <v>20556</v>
          </cell>
          <cell r="H341" t="str">
            <v>Check</v>
          </cell>
          <cell r="I341" t="str">
            <v>NPG0699</v>
          </cell>
        </row>
        <row r="342">
          <cell r="D342" t="str">
            <v>Bột tiêu Tây Nguyên gói 500g</v>
          </cell>
          <cell r="E342" t="str">
            <v>Gói</v>
          </cell>
          <cell r="F342" t="str">
            <v>Công ty cổ phần dịch vụ B2B Sen Vàng</v>
          </cell>
          <cell r="G342">
            <v>51300</v>
          </cell>
          <cell r="H342" t="str">
            <v>Check</v>
          </cell>
          <cell r="I342" t="str">
            <v>NPG0702</v>
          </cell>
        </row>
        <row r="343">
          <cell r="D343" t="str">
            <v>Bột sữa trứng sư tử Asea 1kg/gói</v>
          </cell>
          <cell r="E343" t="str">
            <v>Gói</v>
          </cell>
          <cell r="F343" t="str">
            <v>Công ty cổ phần dịch vụ B2B Sen Vàng</v>
          </cell>
          <cell r="G343">
            <v>29598</v>
          </cell>
          <cell r="H343"/>
          <cell r="I343" t="str">
            <v>NPG0703</v>
          </cell>
        </row>
        <row r="344">
          <cell r="D344" t="str">
            <v>Tương ớt Vifon 500ml/ chai, 24 chai/ thùng</v>
          </cell>
          <cell r="E344" t="str">
            <v>Chai</v>
          </cell>
          <cell r="F344" t="str">
            <v>Công ty cổ phần dịch vụ B2B Sen Vàng</v>
          </cell>
          <cell r="G344">
            <v>15500</v>
          </cell>
          <cell r="H344"/>
          <cell r="I344" t="str">
            <v>NPG0714</v>
          </cell>
        </row>
        <row r="345">
          <cell r="D345" t="str">
            <v>Nước mắm Phan Thiết Phương Trang 1 L/chai, 15 chai/thùng</v>
          </cell>
          <cell r="E345" t="str">
            <v>Chai</v>
          </cell>
          <cell r="F345" t="str">
            <v>Công ty cổ phần dịch vụ B2B Sen Vàng</v>
          </cell>
          <cell r="G345">
            <v>5940</v>
          </cell>
          <cell r="H345"/>
          <cell r="I345" t="str">
            <v>NPG0722</v>
          </cell>
        </row>
        <row r="346">
          <cell r="D346" t="str">
            <v>Đường vàng xuất khẩu 1kg/gói</v>
          </cell>
          <cell r="E346" t="str">
            <v>kg</v>
          </cell>
          <cell r="F346" t="str">
            <v>Công ty cổ phần dịch vụ B2B Sen Vàng</v>
          </cell>
          <cell r="G346">
            <v>22572</v>
          </cell>
          <cell r="H346"/>
          <cell r="I346" t="str">
            <v>NPG0728</v>
          </cell>
        </row>
        <row r="347">
          <cell r="D347" t="str">
            <v>Tương cà Phương Trang 2L/can</v>
          </cell>
          <cell r="E347" t="str">
            <v>can</v>
          </cell>
          <cell r="F347" t="str">
            <v>Công ty cổ phần dịch vụ B2B Sen Vàng</v>
          </cell>
          <cell r="G347">
            <v>32670</v>
          </cell>
          <cell r="H347"/>
          <cell r="I347" t="str">
            <v>NPG0732</v>
          </cell>
        </row>
        <row r="348">
          <cell r="D348" t="str">
            <v>Bột nếp Asea 400g/gói</v>
          </cell>
          <cell r="E348" t="str">
            <v>Gói</v>
          </cell>
          <cell r="F348" t="str">
            <v>Công ty cổ phần dịch vụ B2B Sen Vàng</v>
          </cell>
          <cell r="G348">
            <v>14550</v>
          </cell>
          <cell r="H348" t="str">
            <v>Check</v>
          </cell>
          <cell r="I348" t="str">
            <v>NPG0733</v>
          </cell>
        </row>
        <row r="349">
          <cell r="D349" t="str">
            <v>Tương ớt Phương Trang 900ml/chai*15chai</v>
          </cell>
          <cell r="E349" t="str">
            <v>Chai</v>
          </cell>
          <cell r="F349" t="str">
            <v>Công ty cổ phần dịch vụ B2B Sen Vàng</v>
          </cell>
          <cell r="G349">
            <v>7900</v>
          </cell>
          <cell r="H349" t="str">
            <v>Check</v>
          </cell>
          <cell r="I349" t="str">
            <v>NPG0738</v>
          </cell>
        </row>
        <row r="350">
          <cell r="D350" t="str">
            <v>Mắm ruốc Huế Sông Hương 430g/hộp</v>
          </cell>
          <cell r="E350" t="str">
            <v>Hộp</v>
          </cell>
          <cell r="F350" t="str">
            <v>Công ty cổ phần dịch vụ B2B Sen Vàng</v>
          </cell>
          <cell r="G350">
            <v>51480</v>
          </cell>
          <cell r="H350"/>
          <cell r="I350" t="str">
            <v>NPG0746</v>
          </cell>
        </row>
        <row r="351">
          <cell r="D351" t="str">
            <v>Bột canh thiên hương 180g/ gói</v>
          </cell>
          <cell r="E351" t="str">
            <v>Gói</v>
          </cell>
          <cell r="F351" t="str">
            <v>Công ty cổ phần dịch vụ B2B Sen Vàng</v>
          </cell>
          <cell r="G351">
            <v>3371</v>
          </cell>
          <cell r="H351"/>
          <cell r="I351" t="str">
            <v>NPG0760</v>
          </cell>
        </row>
        <row r="352">
          <cell r="D352" t="str">
            <v>Bột chiên giòn A-Asea nhãn A túi 1kg (10 túi/thùng)</v>
          </cell>
          <cell r="E352" t="str">
            <v>kg</v>
          </cell>
          <cell r="F352" t="str">
            <v>Công ty cổ phần dịch vụ B2B Sen Vàng</v>
          </cell>
          <cell r="G352">
            <v>24190</v>
          </cell>
          <cell r="H352" t="str">
            <v>Check</v>
          </cell>
          <cell r="I352" t="str">
            <v>NPG0762</v>
          </cell>
        </row>
        <row r="353">
          <cell r="D353" t="str">
            <v>Bột năng A-Asea nhãn A 1kg/ túi, 10 túi/ thùng</v>
          </cell>
          <cell r="E353" t="str">
            <v>kg</v>
          </cell>
          <cell r="F353" t="str">
            <v>Công ty cổ phần dịch vụ B2B Sen Vàng</v>
          </cell>
          <cell r="G353">
            <v>20770</v>
          </cell>
          <cell r="H353" t="str">
            <v>Check</v>
          </cell>
          <cell r="I353" t="str">
            <v>NPG0763</v>
          </cell>
        </row>
        <row r="354">
          <cell r="D354" t="str">
            <v>Nước cốt dừa Xim Mom cooks 400ml , 24 lon/thùng</v>
          </cell>
          <cell r="E354" t="str">
            <v>Lon</v>
          </cell>
          <cell r="F354" t="str">
            <v>Công ty cổ phần dịch vụ B2B Sen Vàng</v>
          </cell>
          <cell r="G354">
            <v>27000</v>
          </cell>
          <cell r="H354" t="str">
            <v>Check</v>
          </cell>
          <cell r="I354" t="str">
            <v>NPG0764</v>
          </cell>
        </row>
        <row r="355">
          <cell r="D355" t="str">
            <v>Dầu hào Hải Thiên 6kg (2 chai/thùng)</v>
          </cell>
          <cell r="E355" t="str">
            <v>Chai</v>
          </cell>
          <cell r="F355" t="str">
            <v>Công ty cổ phần dịch vụ B2B Sen Vàng</v>
          </cell>
          <cell r="G355">
            <v>160060</v>
          </cell>
          <cell r="H355" t="str">
            <v>Check</v>
          </cell>
          <cell r="I355" t="str">
            <v>NPG0765</v>
          </cell>
        </row>
        <row r="356">
          <cell r="D356" t="str">
            <v>Xì dầu đặc biệt Lee Kum Kee chai 1.75L (6chai/thùng)</v>
          </cell>
          <cell r="E356" t="str">
            <v>Chai</v>
          </cell>
          <cell r="F356" t="str">
            <v>Công ty cổ phần dịch vụ B2B Sen Vàng</v>
          </cell>
          <cell r="G356">
            <v>126000</v>
          </cell>
          <cell r="H356" t="str">
            <v>Check</v>
          </cell>
          <cell r="I356" t="str">
            <v>NPG0766</v>
          </cell>
        </row>
        <row r="357">
          <cell r="D357" t="str">
            <v>Nước tương Hải Thiên nhãn vàng 1,9L (6can/t)</v>
          </cell>
          <cell r="E357" t="str">
            <v>can</v>
          </cell>
          <cell r="F357" t="str">
            <v>Công ty cổ phần dịch vụ B2B Sen Vàng</v>
          </cell>
          <cell r="G357">
            <v>80878</v>
          </cell>
          <cell r="H357"/>
          <cell r="I357" t="str">
            <v>NPG0767</v>
          </cell>
        </row>
        <row r="358">
          <cell r="D358" t="str">
            <v>Ớt bột mịn Heulchan làm gia vị gói 1kg (20 gói/thùng)</v>
          </cell>
          <cell r="E358" t="str">
            <v>kg</v>
          </cell>
          <cell r="F358" t="str">
            <v>Công ty cổ phần dịch vụ B2B Sen Vàng</v>
          </cell>
          <cell r="G358">
            <v>137200</v>
          </cell>
          <cell r="H358" t="str">
            <v>Check</v>
          </cell>
          <cell r="I358" t="str">
            <v>NPG0771</v>
          </cell>
        </row>
        <row r="359">
          <cell r="D359" t="str">
            <v>Mỳ ý Spaghetti đỏ EUFOOD gói 500g, 24 gói/ thùng</v>
          </cell>
          <cell r="E359" t="str">
            <v>Gói</v>
          </cell>
          <cell r="F359" t="str">
            <v>Công ty cổ phần dịch vụ B2B Sen Vàng</v>
          </cell>
          <cell r="G359">
            <v>33320</v>
          </cell>
          <cell r="H359"/>
          <cell r="I359" t="str">
            <v>NPG0779</v>
          </cell>
        </row>
        <row r="360">
          <cell r="D360" t="str">
            <v>Bột canh iot Hải Châu 5kg/túi, 6 túi/bao</v>
          </cell>
          <cell r="E360" t="str">
            <v>kg</v>
          </cell>
          <cell r="F360" t="str">
            <v>Công ty cổ phần dịch vụ B2B Sen Vàng</v>
          </cell>
          <cell r="G360">
            <v>7509.8</v>
          </cell>
          <cell r="H360" t="str">
            <v>Check</v>
          </cell>
          <cell r="I360" t="str">
            <v>NPG0785</v>
          </cell>
        </row>
        <row r="361">
          <cell r="D361" t="str">
            <v>Bột chiên xù A-Asea trắng 1kg/ túi, 10 túi/ thùng</v>
          </cell>
          <cell r="E361" t="str">
            <v>kg</v>
          </cell>
          <cell r="F361" t="str">
            <v>Công ty cổ phần dịch vụ B2B Sen Vàng</v>
          </cell>
          <cell r="G361">
            <v>20556</v>
          </cell>
          <cell r="H361" t="str">
            <v>Check</v>
          </cell>
          <cell r="I361" t="str">
            <v>NPG0787</v>
          </cell>
        </row>
        <row r="362">
          <cell r="D362" t="str">
            <v>Bột rang muối Thành Phát 450g/gói</v>
          </cell>
          <cell r="E362" t="str">
            <v>Gói</v>
          </cell>
          <cell r="F362" t="str">
            <v>Công ty cổ phần dịch vụ B2B Sen Vàng</v>
          </cell>
          <cell r="G362">
            <v>23200</v>
          </cell>
          <cell r="H362"/>
          <cell r="I362" t="str">
            <v>NPG0795</v>
          </cell>
        </row>
        <row r="363">
          <cell r="D363" t="str">
            <v>Sốt ướp thịt nướng BBQ Cholimex 200g/lọ</v>
          </cell>
          <cell r="E363" t="str">
            <v>Lọ</v>
          </cell>
          <cell r="F363" t="str">
            <v>Công ty cổ phần dịch vụ B2B Sen Vàng</v>
          </cell>
          <cell r="G363">
            <v>21483</v>
          </cell>
          <cell r="H363"/>
          <cell r="I363" t="str">
            <v>NPG0810</v>
          </cell>
        </row>
        <row r="364">
          <cell r="D364" t="str">
            <v>Bột bắp A-Asea gói 1kg (10 gói/thùng)</v>
          </cell>
          <cell r="E364" t="str">
            <v>kg</v>
          </cell>
          <cell r="F364" t="str">
            <v>Công ty cổ phần dịch vụ B2B Sen Vàng</v>
          </cell>
          <cell r="G364">
            <v>23334</v>
          </cell>
          <cell r="H364" t="str">
            <v>Check</v>
          </cell>
          <cell r="I364" t="str">
            <v>NPG0812</v>
          </cell>
        </row>
        <row r="365">
          <cell r="D365" t="str">
            <v>Bột Banking soda ARM &amp; HAMMER 454g( 24 hộp/thùng)</v>
          </cell>
          <cell r="E365" t="str">
            <v>Hộp</v>
          </cell>
          <cell r="F365" t="str">
            <v>Công ty cổ phần dịch vụ B2B Sen Vàng</v>
          </cell>
          <cell r="G365">
            <v>37000</v>
          </cell>
          <cell r="H365"/>
          <cell r="I365" t="str">
            <v>NPG0828</v>
          </cell>
        </row>
        <row r="366">
          <cell r="D366" t="str">
            <v>Hạt nêm Hải Châu 10kg/túi, 2 túi/bao</v>
          </cell>
          <cell r="E366" t="str">
            <v>kg</v>
          </cell>
          <cell r="F366" t="str">
            <v>Công ty cổ phần dịch vụ B2B Sen Vàng</v>
          </cell>
          <cell r="G366">
            <v>25251.4</v>
          </cell>
          <cell r="H366"/>
          <cell r="I366" t="str">
            <v>NPG0832</v>
          </cell>
        </row>
        <row r="367">
          <cell r="D367" t="str">
            <v>Nước mắm Phan Thiết Trang Bình Dương 930ml *15 chai</v>
          </cell>
          <cell r="E367" t="str">
            <v>Chai</v>
          </cell>
          <cell r="F367" t="str">
            <v>Công ty cổ phần dịch vụ B2B Sen Vàng</v>
          </cell>
          <cell r="G367">
            <v>3542</v>
          </cell>
          <cell r="H367" t="str">
            <v>Check</v>
          </cell>
          <cell r="I367" t="str">
            <v>NPG0842</v>
          </cell>
        </row>
        <row r="368">
          <cell r="D368" t="str">
            <v>Bột sữa trứng sư tử Asea lon 3.5kg, 4 lon/thùng</v>
          </cell>
          <cell r="E368" t="str">
            <v>Lon</v>
          </cell>
          <cell r="F368" t="str">
            <v>Công ty cổ phần dịch vụ B2B Sen Vàng</v>
          </cell>
          <cell r="G368">
            <v>149385</v>
          </cell>
          <cell r="H368"/>
          <cell r="I368" t="str">
            <v>NPG0849</v>
          </cell>
        </row>
        <row r="369">
          <cell r="D369" t="str">
            <v>Sa tế Nam Dư vị cay 65gr (6 lọ/vỉ -16 vỉ/thùng)</v>
          </cell>
          <cell r="E369" t="str">
            <v>Lọ</v>
          </cell>
          <cell r="F369" t="str">
            <v>Công ty cổ phần dịch vụ B2B Sen Vàng</v>
          </cell>
          <cell r="G369">
            <v>3461</v>
          </cell>
          <cell r="H369"/>
          <cell r="I369" t="str">
            <v>NPG0863</v>
          </cell>
        </row>
        <row r="370">
          <cell r="D370" t="str">
            <v>Hạt nêm từ cá Katsuo Dashi Shimaya 1kg, 10 hộp/thùng</v>
          </cell>
          <cell r="E370" t="str">
            <v>Hộp</v>
          </cell>
          <cell r="F370" t="str">
            <v>Công ty cổ phần dịch vụ B2B Sen Vàng</v>
          </cell>
          <cell r="G370">
            <v>230300</v>
          </cell>
          <cell r="H370"/>
          <cell r="I370" t="str">
            <v>NPG0865</v>
          </cell>
        </row>
        <row r="371">
          <cell r="D371" t="str">
            <v>Rong biển khô Hàn Quốc Miwon 100g</v>
          </cell>
          <cell r="E371" t="str">
            <v>Gói</v>
          </cell>
          <cell r="F371" t="str">
            <v>Công ty cổ phần dịch vụ B2B Sen Vàng</v>
          </cell>
          <cell r="G371">
            <v>103390</v>
          </cell>
          <cell r="H371"/>
          <cell r="I371" t="str">
            <v>NPG0866</v>
          </cell>
        </row>
        <row r="372">
          <cell r="D372" t="str">
            <v>Tương bần Nam Dư 500g/chai, 15 chai/thùng</v>
          </cell>
          <cell r="E372" t="str">
            <v>Chai</v>
          </cell>
          <cell r="F372" t="str">
            <v>Công ty cổ phần dịch vụ B2B Sen Vàng</v>
          </cell>
          <cell r="G372">
            <v>9490</v>
          </cell>
          <cell r="H372"/>
          <cell r="I372" t="str">
            <v>NPG0868</v>
          </cell>
        </row>
        <row r="373">
          <cell r="D373" t="str">
            <v>Mắm tép Nhật Minh 280g (48 Chai/thùng)</v>
          </cell>
          <cell r="E373" t="str">
            <v>Chai</v>
          </cell>
          <cell r="F373" t="str">
            <v>Công ty cổ phần dịch vụ B2B Sen Vàng</v>
          </cell>
          <cell r="G373">
            <v>11000</v>
          </cell>
          <cell r="H373"/>
          <cell r="I373" t="str">
            <v>NPG0872</v>
          </cell>
        </row>
        <row r="374">
          <cell r="D374" t="str">
            <v>Gia vị phở bò Hương Việt Xưa 75g (12 hộp/vỉ, 12 vỉ/thùng)</v>
          </cell>
          <cell r="E374" t="str">
            <v>Hộp</v>
          </cell>
          <cell r="F374" t="str">
            <v>Công ty cổ phần dịch vụ B2B Sen Vàng</v>
          </cell>
          <cell r="G374">
            <v>4480</v>
          </cell>
          <cell r="H374"/>
          <cell r="I374" t="str">
            <v>NPG0873</v>
          </cell>
        </row>
        <row r="375">
          <cell r="D375" t="str">
            <v>Gia vị phở gà Hương Việt Xưa 75g (12 hộp/vỉ, 12 vỉ/thùng)</v>
          </cell>
          <cell r="E375" t="str">
            <v>Hộp</v>
          </cell>
          <cell r="F375" t="str">
            <v>Công ty cổ phần dịch vụ B2B Sen Vàng</v>
          </cell>
          <cell r="G375">
            <v>4480</v>
          </cell>
          <cell r="H375" t="str">
            <v>Check</v>
          </cell>
          <cell r="I375" t="str">
            <v>NPG0874</v>
          </cell>
        </row>
        <row r="376">
          <cell r="D376" t="str">
            <v>Sốt Mayonnaise Kewpie hộp 3kg, 4 hộp/thùng</v>
          </cell>
          <cell r="E376" t="str">
            <v>Hộp</v>
          </cell>
          <cell r="F376" t="str">
            <v>Công ty cổ phần dịch vụ B2B Sen Vàng</v>
          </cell>
          <cell r="G376">
            <v>182810</v>
          </cell>
          <cell r="H376" t="str">
            <v>Check</v>
          </cell>
          <cell r="I376" t="str">
            <v>NPG0878</v>
          </cell>
        </row>
        <row r="377">
          <cell r="D377" t="str">
            <v>Oliu đen tách hạt lọ 3.1kg, 6 lọ/thùng</v>
          </cell>
          <cell r="E377" t="str">
            <v>Lọ</v>
          </cell>
          <cell r="F377" t="str">
            <v>Công ty cổ phần dịch vụ B2B Sen Vàng</v>
          </cell>
          <cell r="G377">
            <v>243040</v>
          </cell>
          <cell r="H377" t="str">
            <v>Check</v>
          </cell>
          <cell r="I377" t="str">
            <v>NPG0879</v>
          </cell>
        </row>
        <row r="378">
          <cell r="D378" t="str">
            <v>Giấm táo Hàn Quốc Ottogi 450ml</v>
          </cell>
          <cell r="E378" t="str">
            <v>Chai</v>
          </cell>
          <cell r="F378" t="str">
            <v>Công ty cổ phần dịch vụ B2B Sen Vàng</v>
          </cell>
          <cell r="G378">
            <v>23500</v>
          </cell>
          <cell r="H378"/>
          <cell r="I378" t="str">
            <v>NPG0881</v>
          </cell>
        </row>
        <row r="379">
          <cell r="D379" t="str">
            <v>Sốt cà chua Heinz Paste lon 3.15kg, 6 lon/thùng</v>
          </cell>
          <cell r="E379" t="str">
            <v>Lon</v>
          </cell>
          <cell r="F379" t="str">
            <v>Công ty cổ phần dịch vụ B2B Sen Vàng</v>
          </cell>
          <cell r="G379">
            <v>338100</v>
          </cell>
          <cell r="H379"/>
          <cell r="I379" t="str">
            <v>NPG0882</v>
          </cell>
        </row>
        <row r="380">
          <cell r="D380" t="str">
            <v>Muối tinh Hải Âu Visalco túi 1kg (30 túi/bao)</v>
          </cell>
          <cell r="E380" t="str">
            <v>kg</v>
          </cell>
          <cell r="F380" t="str">
            <v>Công ty cổ phần dịch vụ B2B Sen Vàng</v>
          </cell>
          <cell r="G380">
            <v>6600</v>
          </cell>
          <cell r="H380"/>
          <cell r="I380" t="str">
            <v>NPG0887</v>
          </cell>
        </row>
        <row r="381">
          <cell r="D381" t="str">
            <v>Phô mai bào Mozzarella 1kg/gói</v>
          </cell>
          <cell r="E381" t="str">
            <v>Gói</v>
          </cell>
          <cell r="F381" t="str">
            <v>Công ty cổ phần dịch vụ B2B Sen Vàng</v>
          </cell>
          <cell r="G381">
            <v>196000</v>
          </cell>
          <cell r="H381"/>
          <cell r="I381" t="str">
            <v>NPG0900</v>
          </cell>
        </row>
        <row r="382">
          <cell r="D382" t="str">
            <v>Dầu ăn orchid 9.8 lít/can</v>
          </cell>
          <cell r="E382" t="str">
            <v>Lít</v>
          </cell>
          <cell r="F382" t="str">
            <v>Công ty cổ phần dịch vụ B2B Sen Vàng</v>
          </cell>
          <cell r="G382">
            <v>35714</v>
          </cell>
          <cell r="H382"/>
          <cell r="I382" t="str">
            <v>NPG0910</v>
          </cell>
        </row>
        <row r="383">
          <cell r="D383" t="str">
            <v>Mật ong Tam Đảo chai 600ml/chai</v>
          </cell>
          <cell r="E383" t="str">
            <v>Chai</v>
          </cell>
          <cell r="F383" t="str">
            <v>Công ty cổ phần dịch vụ B2B Sen Vàng</v>
          </cell>
          <cell r="G383">
            <v>38710</v>
          </cell>
          <cell r="H383"/>
          <cell r="I383" t="str">
            <v>NPG0921</v>
          </cell>
        </row>
        <row r="384">
          <cell r="D384" t="str">
            <v>Kem nấu  Anchor Extra yield cooking cream 1 Lít/hộp</v>
          </cell>
          <cell r="E384" t="str">
            <v>Hộp</v>
          </cell>
          <cell r="F384" t="str">
            <v>Công ty cổ phần dịch vụ B2B Sen Vàng</v>
          </cell>
          <cell r="G384">
            <v>151900</v>
          </cell>
          <cell r="H384"/>
          <cell r="I384" t="str">
            <v>NPG0956</v>
          </cell>
        </row>
        <row r="385">
          <cell r="D385" t="str">
            <v>Mắm chấm An Lợi siêu tiết kiệm 5L/can</v>
          </cell>
          <cell r="E385" t="str">
            <v>can</v>
          </cell>
          <cell r="F385" t="str">
            <v>Công ty cổ phần dịch vụ B2B Sen Vàng</v>
          </cell>
          <cell r="G385">
            <v>45541</v>
          </cell>
          <cell r="H385"/>
          <cell r="I385" t="str">
            <v>NPG0968</v>
          </cell>
        </row>
        <row r="386">
          <cell r="D386" t="str">
            <v>Muối hạt sạch miền bắc 50kg/bao</v>
          </cell>
          <cell r="E386" t="str">
            <v>kg</v>
          </cell>
          <cell r="F386" t="str">
            <v>Công ty cổ phần dịch vụ B2B Sen Vàng</v>
          </cell>
          <cell r="G386">
            <v>5640</v>
          </cell>
          <cell r="H386"/>
          <cell r="I386" t="str">
            <v>NPG0974</v>
          </cell>
        </row>
        <row r="387">
          <cell r="D387" t="str">
            <v>Hạt nêm Chinsu 1.8kg/gói ( 6 gói/thùng)</v>
          </cell>
          <cell r="E387" t="str">
            <v>Gói</v>
          </cell>
          <cell r="F387" t="str">
            <v>Công ty cổ phần dịch vụ B2B Sen Vàng</v>
          </cell>
          <cell r="G387">
            <v>67374</v>
          </cell>
          <cell r="H387" t="str">
            <v>Check</v>
          </cell>
          <cell r="I387" t="str">
            <v>NPG0983</v>
          </cell>
        </row>
        <row r="388">
          <cell r="D388" t="str">
            <v>Bột ớt Tuấn Linh 500g/gói</v>
          </cell>
          <cell r="E388" t="str">
            <v>Gói</v>
          </cell>
          <cell r="F388" t="str">
            <v>Công ty cổ phần dịch vụ B2B Sen Vàng</v>
          </cell>
          <cell r="G388">
            <v>31000</v>
          </cell>
          <cell r="H388"/>
          <cell r="I388" t="str">
            <v>NPG1010</v>
          </cell>
        </row>
        <row r="389">
          <cell r="D389" t="str">
            <v>Tương bần Triệu Sơn chai 1L (20 chai/thùng)</v>
          </cell>
          <cell r="E389" t="str">
            <v>Chai</v>
          </cell>
          <cell r="F389" t="str">
            <v>Công ty cổ phần dịch vụ B2B Sen Vàng</v>
          </cell>
          <cell r="G389">
            <v>23902</v>
          </cell>
          <cell r="H389"/>
          <cell r="I389" t="str">
            <v>NPG1021</v>
          </cell>
        </row>
        <row r="390">
          <cell r="D390" t="str">
            <v>Ngũ vị hương Toàn Gia 3g/ gói, 100 gói/hộp</v>
          </cell>
          <cell r="E390" t="str">
            <v>gói</v>
          </cell>
          <cell r="F390" t="str">
            <v>Công ty cổ phần dịch vụ B2B Sen Vàng</v>
          </cell>
          <cell r="G390">
            <v>550</v>
          </cell>
          <cell r="H390"/>
          <cell r="I390" t="str">
            <v>NPG1027</v>
          </cell>
        </row>
        <row r="391">
          <cell r="D391" t="str">
            <v>Tương cà Cholimex 2,1kg (6chai/thùng)</v>
          </cell>
          <cell r="E391" t="str">
            <v>Chai</v>
          </cell>
          <cell r="F391" t="str">
            <v>Công ty cổ phần dịch vụ B2B Sen Vàng</v>
          </cell>
          <cell r="G391">
            <v>57420</v>
          </cell>
          <cell r="H391"/>
          <cell r="I391" t="str">
            <v>NPG1039</v>
          </cell>
        </row>
        <row r="392">
          <cell r="D392" t="str">
            <v>Tương ớt chua ngọt Cholimex 2.1kg (6 chai/thùng)</v>
          </cell>
          <cell r="E392" t="str">
            <v>Chai</v>
          </cell>
          <cell r="F392" t="str">
            <v>Công ty cổ phần dịch vụ B2B Sen Vàng</v>
          </cell>
          <cell r="G392">
            <v>57420</v>
          </cell>
          <cell r="H392"/>
          <cell r="I392" t="str">
            <v>NPG1040</v>
          </cell>
        </row>
        <row r="393">
          <cell r="D393" t="str">
            <v>Bột cà ry Alofood gói 5g/gói, 50 gói/hộp</v>
          </cell>
          <cell r="E393" t="str">
            <v>Gói</v>
          </cell>
          <cell r="F393" t="str">
            <v>Công ty cổ phần dịch vụ B2B Sen Vàng</v>
          </cell>
          <cell r="G393">
            <v>1813</v>
          </cell>
          <cell r="H393"/>
          <cell r="I393" t="str">
            <v>NPG1042</v>
          </cell>
        </row>
        <row r="394">
          <cell r="D394" t="str">
            <v>Tương ớt Chinsu 1kg/chai, 8chai/thùng</v>
          </cell>
          <cell r="E394" t="str">
            <v>Chai</v>
          </cell>
          <cell r="F394" t="str">
            <v>Công ty cổ phần dịch vụ B2B Sen Vàng</v>
          </cell>
          <cell r="G394">
            <v>49369</v>
          </cell>
          <cell r="H394" t="str">
            <v>Check</v>
          </cell>
          <cell r="I394" t="str">
            <v>NPG1043</v>
          </cell>
        </row>
        <row r="395">
          <cell r="D395" t="str">
            <v>Bột nghệ Tuấn linh 500g/ gói</v>
          </cell>
          <cell r="E395" t="str">
            <v>Gói</v>
          </cell>
          <cell r="F395" t="str">
            <v>Công ty cổ phần dịch vụ B2B Sen Vàng</v>
          </cell>
          <cell r="G395">
            <v>25000</v>
          </cell>
          <cell r="H395" t="str">
            <v>Check</v>
          </cell>
          <cell r="I395" t="str">
            <v>NPG1044</v>
          </cell>
        </row>
        <row r="396">
          <cell r="D396" t="str">
            <v>Dấm bình dương 500ml/chai</v>
          </cell>
          <cell r="E396" t="str">
            <v>Chai</v>
          </cell>
          <cell r="F396" t="str">
            <v>Công ty cổ phần dịch vụ B2B Sen Vàng</v>
          </cell>
          <cell r="G396">
            <v>2000</v>
          </cell>
          <cell r="H396"/>
          <cell r="I396" t="str">
            <v>NPG1047</v>
          </cell>
        </row>
        <row r="397">
          <cell r="D397" t="str">
            <v>Cốc dùng một lần 220ml</v>
          </cell>
          <cell r="E397" t="str">
            <v>Cái</v>
          </cell>
          <cell r="F397" t="str">
            <v>Công ty cổ phần dịch vụ B2B Sen Vàng</v>
          </cell>
          <cell r="G397">
            <v>161</v>
          </cell>
          <cell r="H397"/>
          <cell r="I397" t="str">
            <v>NPV0003</v>
          </cell>
        </row>
        <row r="398">
          <cell r="D398" t="str">
            <v>Đũa dùng một lần (đôi)</v>
          </cell>
          <cell r="E398" t="str">
            <v>đôi</v>
          </cell>
          <cell r="F398" t="str">
            <v>Công ty cổ phần dịch vụ B2B Sen Vàng</v>
          </cell>
          <cell r="G398">
            <v>193</v>
          </cell>
          <cell r="H398"/>
          <cell r="I398" t="str">
            <v>NPV0011</v>
          </cell>
        </row>
        <row r="399">
          <cell r="D399" t="str">
            <v>Găng tay nilon (kg)</v>
          </cell>
          <cell r="E399" t="str">
            <v>kg</v>
          </cell>
          <cell r="F399" t="str">
            <v>Công ty cổ phần dịch vụ B2B Sen Vàng</v>
          </cell>
          <cell r="G399">
            <v>53163</v>
          </cell>
          <cell r="H399"/>
          <cell r="I399" t="str">
            <v>NPV0013</v>
          </cell>
        </row>
        <row r="400">
          <cell r="D400" t="str">
            <v>Găng tay y tế 50 đôi/hộp</v>
          </cell>
          <cell r="E400" t="str">
            <v>Hộp</v>
          </cell>
          <cell r="F400" t="str">
            <v>Công ty cổ phần dịch vụ B2B Sen Vàng</v>
          </cell>
          <cell r="G400">
            <v>72913</v>
          </cell>
          <cell r="H400"/>
          <cell r="I400" t="str">
            <v>NPV0014</v>
          </cell>
        </row>
        <row r="401">
          <cell r="D401" t="str">
            <v>Tăm kg</v>
          </cell>
          <cell r="E401" t="str">
            <v>kg</v>
          </cell>
          <cell r="F401" t="str">
            <v>Công ty cổ phần dịch vụ B2B Sen Vàng</v>
          </cell>
          <cell r="G401">
            <v>64746</v>
          </cell>
          <cell r="H401"/>
          <cell r="I401" t="str">
            <v>NPV0045</v>
          </cell>
        </row>
        <row r="402">
          <cell r="D402" t="str">
            <v>Que xiên tre 0,5Kg/Gói</v>
          </cell>
          <cell r="E402" t="str">
            <v>Gói</v>
          </cell>
          <cell r="F402" t="str">
            <v>Công ty cổ phần dịch vụ B2B Sen Vàng</v>
          </cell>
          <cell r="G402">
            <v>18315</v>
          </cell>
          <cell r="H402"/>
          <cell r="I402" t="str">
            <v>NPV0047</v>
          </cell>
        </row>
        <row r="403">
          <cell r="D403" t="str">
            <v>Túi nilon đen 10kg</v>
          </cell>
          <cell r="E403" t="str">
            <v>kg</v>
          </cell>
          <cell r="F403" t="str">
            <v>Công ty cổ phần dịch vụ B2B Sen Vàng</v>
          </cell>
          <cell r="G403">
            <v>27225</v>
          </cell>
          <cell r="H403"/>
          <cell r="I403" t="str">
            <v>NPV0048</v>
          </cell>
        </row>
        <row r="404">
          <cell r="D404" t="str">
            <v>Túi nilon đen 20kg</v>
          </cell>
          <cell r="E404" t="str">
            <v>kg</v>
          </cell>
          <cell r="F404" t="str">
            <v>Công ty cổ phần dịch vụ B2B Sen Vàng</v>
          </cell>
          <cell r="G404">
            <v>27225</v>
          </cell>
          <cell r="H404"/>
          <cell r="I404" t="str">
            <v>NPV0049</v>
          </cell>
        </row>
        <row r="405">
          <cell r="D405" t="str">
            <v>Túi nilon trắng 1 kg</v>
          </cell>
          <cell r="E405" t="str">
            <v>kg</v>
          </cell>
          <cell r="F405" t="str">
            <v>Công ty cổ phần dịch vụ B2B Sen Vàng</v>
          </cell>
          <cell r="G405">
            <v>40300</v>
          </cell>
          <cell r="H405"/>
          <cell r="I405" t="str">
            <v>NPV0052</v>
          </cell>
        </row>
        <row r="406">
          <cell r="D406" t="str">
            <v>Túi nilon trắng 2kg</v>
          </cell>
          <cell r="E406" t="str">
            <v>kg</v>
          </cell>
          <cell r="F406" t="str">
            <v>Công ty cổ phần dịch vụ B2B Sen Vàng</v>
          </cell>
          <cell r="G406">
            <v>40300</v>
          </cell>
          <cell r="H406"/>
          <cell r="I406" t="str">
            <v>NPV0053</v>
          </cell>
        </row>
        <row r="407">
          <cell r="D407" t="str">
            <v>Túi nilon trắng 5kg</v>
          </cell>
          <cell r="E407" t="str">
            <v>kg</v>
          </cell>
          <cell r="F407" t="str">
            <v>Công ty cổ phần dịch vụ B2B Sen Vàng</v>
          </cell>
          <cell r="G407">
            <v>40300</v>
          </cell>
          <cell r="H407"/>
          <cell r="I407" t="str">
            <v>NPV0054</v>
          </cell>
        </row>
        <row r="408">
          <cell r="D408" t="str">
            <v>Túi nilon trắng 10kg</v>
          </cell>
          <cell r="E408" t="str">
            <v>kg</v>
          </cell>
          <cell r="F408" t="str">
            <v>Công ty cổ phần dịch vụ B2B Sen Vàng</v>
          </cell>
          <cell r="G408">
            <v>40300</v>
          </cell>
          <cell r="H408"/>
          <cell r="I408" t="str">
            <v>NPV0063</v>
          </cell>
        </row>
        <row r="409">
          <cell r="D409" t="str">
            <v>Túi nilon trắng 20kg</v>
          </cell>
          <cell r="E409" t="str">
            <v>kg</v>
          </cell>
          <cell r="F409" t="str">
            <v>Công ty cổ phần dịch vụ B2B Sen Vàng</v>
          </cell>
          <cell r="G409">
            <v>40300</v>
          </cell>
          <cell r="H409"/>
          <cell r="I409" t="str">
            <v>NPV0064</v>
          </cell>
        </row>
        <row r="410">
          <cell r="D410" t="str">
            <v>Túi nilon đen 30 kg</v>
          </cell>
          <cell r="E410" t="str">
            <v>kg</v>
          </cell>
          <cell r="F410" t="str">
            <v>Công ty cổ phần dịch vụ B2B Sen Vàng</v>
          </cell>
          <cell r="G410">
            <v>27225</v>
          </cell>
          <cell r="H410"/>
          <cell r="I410" t="str">
            <v>NPV0075</v>
          </cell>
        </row>
        <row r="411">
          <cell r="D411" t="str">
            <v>Túi nilon đen 5kg</v>
          </cell>
          <cell r="E411" t="str">
            <v>kg</v>
          </cell>
          <cell r="F411" t="str">
            <v>Công ty cổ phần dịch vụ B2B Sen Vàng</v>
          </cell>
          <cell r="G411">
            <v>31000</v>
          </cell>
          <cell r="H411"/>
          <cell r="I411" t="str">
            <v>NPV0081</v>
          </cell>
        </row>
        <row r="412">
          <cell r="D412" t="str">
            <v>Túi nilon đen 25kg</v>
          </cell>
          <cell r="E412" t="str">
            <v>kg</v>
          </cell>
          <cell r="F412" t="str">
            <v>Công ty cổ phần dịch vụ B2B Sen Vàng</v>
          </cell>
          <cell r="G412">
            <v>27225</v>
          </cell>
          <cell r="H412"/>
          <cell r="I412" t="str">
            <v>NPV0111</v>
          </cell>
        </row>
        <row r="413">
          <cell r="D413" t="str">
            <v>Túi nilon đen 40kg</v>
          </cell>
          <cell r="E413" t="str">
            <v>kg</v>
          </cell>
          <cell r="F413" t="str">
            <v>Công ty cổ phần dịch vụ B2B Sen Vàng</v>
          </cell>
          <cell r="G413">
            <v>31581</v>
          </cell>
          <cell r="H413"/>
          <cell r="I413" t="str">
            <v>NPV0134</v>
          </cell>
        </row>
        <row r="414">
          <cell r="D414" t="str">
            <v>Màng bọc thực phẩm đồng tâm 618 KT 45cm x 500m</v>
          </cell>
          <cell r="E414" t="str">
            <v>Cuộn</v>
          </cell>
          <cell r="F414" t="str">
            <v>Công ty cổ phần dịch vụ B2B Sen Vàng</v>
          </cell>
          <cell r="G414">
            <v>272400</v>
          </cell>
          <cell r="H414"/>
          <cell r="I414" t="str">
            <v>NPV0150</v>
          </cell>
        </row>
        <row r="415">
          <cell r="D415" t="str">
            <v>Cốc nhựa dùng 1 lần không nắp 300ml (1000c/day)</v>
          </cell>
          <cell r="E415" t="str">
            <v>Cái</v>
          </cell>
          <cell r="F415" t="str">
            <v>Công ty cổ phần dịch vụ B2B Sen Vàng</v>
          </cell>
          <cell r="G415">
            <v>211</v>
          </cell>
          <cell r="H415"/>
          <cell r="I415" t="str">
            <v>NPV0209</v>
          </cell>
        </row>
        <row r="416">
          <cell r="D416" t="str">
            <v>Bột giặt Omo 2.9kg/túi</v>
          </cell>
          <cell r="E416" t="str">
            <v>Túi</v>
          </cell>
          <cell r="F416" t="str">
            <v>Công ty cổ phần dịch vụ B2B Sen Vàng</v>
          </cell>
          <cell r="G416">
            <v>120000</v>
          </cell>
          <cell r="H416"/>
          <cell r="I416" t="str">
            <v>NPV0211</v>
          </cell>
        </row>
        <row r="417">
          <cell r="D417" t="str">
            <v>Nước lau kính Gift 540ml, 24 chai/ thùng</v>
          </cell>
          <cell r="E417" t="str">
            <v>Chai</v>
          </cell>
          <cell r="F417" t="str">
            <v>Công ty cổ phần dịch vụ B2B Sen Vàng</v>
          </cell>
          <cell r="G417">
            <v>21000</v>
          </cell>
          <cell r="H417"/>
          <cell r="I417" t="str">
            <v>NPV0226</v>
          </cell>
        </row>
        <row r="418">
          <cell r="D418" t="str">
            <v>Nước rửa tay Lifebouy 4kg/can*3 can</v>
          </cell>
          <cell r="E418" t="str">
            <v>can</v>
          </cell>
          <cell r="F418" t="str">
            <v>Công ty cổ phần dịch vụ B2B Sen Vàng</v>
          </cell>
          <cell r="G418">
            <v>249000</v>
          </cell>
          <cell r="H418"/>
          <cell r="I418" t="str">
            <v>NPV0234</v>
          </cell>
        </row>
        <row r="419">
          <cell r="D419" t="str">
            <v>Nước tẩy Vim 880ml/chai</v>
          </cell>
          <cell r="E419" t="str">
            <v>Chai</v>
          </cell>
          <cell r="F419" t="str">
            <v>Công ty cổ phần dịch vụ B2B Sen Vàng</v>
          </cell>
          <cell r="G419">
            <v>32000</v>
          </cell>
          <cell r="H419"/>
          <cell r="I419" t="str">
            <v>NPV0235</v>
          </cell>
        </row>
        <row r="420">
          <cell r="D420" t="str">
            <v>Giấy ăn rút Việt Pháp 10*10, 1kg/ gói</v>
          </cell>
          <cell r="E420" t="str">
            <v>kg</v>
          </cell>
          <cell r="F420" t="str">
            <v>Công ty cổ phần dịch vụ B2B Sen Vàng</v>
          </cell>
          <cell r="G420">
            <v>43560</v>
          </cell>
          <cell r="H420"/>
          <cell r="I420" t="str">
            <v>NPV0236</v>
          </cell>
        </row>
        <row r="421">
          <cell r="D421" t="str">
            <v>Nước rửa chén Sunlight 9.5kg/can</v>
          </cell>
          <cell r="E421" t="str">
            <v>can</v>
          </cell>
          <cell r="F421" t="str">
            <v>Công ty cổ phần dịch vụ B2B Sen Vàng</v>
          </cell>
          <cell r="G421">
            <v>170000</v>
          </cell>
          <cell r="H421"/>
          <cell r="I421" t="str">
            <v>NPV0238</v>
          </cell>
        </row>
        <row r="422">
          <cell r="D422" t="str">
            <v>Túi nilong đen 110*110cm, 1kg/bịch</v>
          </cell>
          <cell r="E422" t="str">
            <v>kg</v>
          </cell>
          <cell r="F422" t="str">
            <v>Công ty cổ phần dịch vụ B2B Sen Vàng</v>
          </cell>
          <cell r="G422">
            <v>31581</v>
          </cell>
          <cell r="H422"/>
          <cell r="I422" t="str">
            <v>NPV0239</v>
          </cell>
        </row>
        <row r="423">
          <cell r="D423" t="str">
            <v>Nước rửa chén Sunlight 3.6kg, 3can/thùng</v>
          </cell>
          <cell r="E423" t="str">
            <v>can</v>
          </cell>
          <cell r="F423" t="str">
            <v>Công ty cổ phần dịch vụ B2B Sen Vàng</v>
          </cell>
          <cell r="G423">
            <v>82000</v>
          </cell>
          <cell r="H423"/>
          <cell r="I423" t="str">
            <v>NPV0251</v>
          </cell>
        </row>
        <row r="424">
          <cell r="D424" t="str">
            <v>Nước lau sàn Gift hương quế can 3.8kg (3can/thùng)</v>
          </cell>
          <cell r="E424" t="str">
            <v>can</v>
          </cell>
          <cell r="F424" t="str">
            <v>Công ty cổ phần dịch vụ B2B Sen Vàng</v>
          </cell>
          <cell r="G424">
            <v>75600</v>
          </cell>
          <cell r="H424"/>
          <cell r="I424" t="str">
            <v>NPV0253</v>
          </cell>
        </row>
        <row r="425">
          <cell r="D425" t="str">
            <v>Giấy ăn F-fine gấp 1 kg/ túi</v>
          </cell>
          <cell r="E425" t="str">
            <v>kg</v>
          </cell>
          <cell r="F425" t="str">
            <v>Công ty cổ phần dịch vụ B2B Sen Vàng</v>
          </cell>
          <cell r="G425">
            <v>38000</v>
          </cell>
          <cell r="H425"/>
          <cell r="I425" t="str">
            <v>NPV0257</v>
          </cell>
        </row>
        <row r="426">
          <cell r="D426" t="str">
            <v>Giấy ăn F-fine rút 1 kg/ túi</v>
          </cell>
          <cell r="E426" t="str">
            <v>kg</v>
          </cell>
          <cell r="F426" t="str">
            <v>Công ty cổ phần dịch vụ B2B Sen Vàng</v>
          </cell>
          <cell r="G426">
            <v>38000</v>
          </cell>
          <cell r="H426"/>
          <cell r="I426" t="str">
            <v>NPV0258</v>
          </cell>
        </row>
        <row r="427">
          <cell r="D427" t="str">
            <v>Găng tay cao su không bột HM GLOVE 100 cái/hộp</v>
          </cell>
          <cell r="E427" t="str">
            <v>Cái</v>
          </cell>
          <cell r="F427" t="str">
            <v>Công ty cổ phần dịch vụ B2B Sen Vàng</v>
          </cell>
          <cell r="G427">
            <v>1980</v>
          </cell>
          <cell r="H427"/>
          <cell r="I427" t="str">
            <v>NPV0260</v>
          </cell>
        </row>
        <row r="428">
          <cell r="D428" t="str">
            <v>Nước rửa chén hương chanh Odin 9,5 kg/ can</v>
          </cell>
          <cell r="E428" t="str">
            <v>can</v>
          </cell>
          <cell r="F428" t="str">
            <v>Công ty cổ phần dịch vụ B2B Sen Vàng</v>
          </cell>
          <cell r="G428">
            <v>137280</v>
          </cell>
          <cell r="H428"/>
          <cell r="I428" t="str">
            <v>NPV0264</v>
          </cell>
        </row>
        <row r="429">
          <cell r="D429" t="str">
            <v>Nước rửa chén Power 9kg/can, 2 can/ thùng</v>
          </cell>
          <cell r="E429" t="str">
            <v>can</v>
          </cell>
          <cell r="F429" t="str">
            <v>Công ty cổ phần dịch vụ B2B Sen Vàng</v>
          </cell>
          <cell r="G429">
            <v>159000</v>
          </cell>
          <cell r="H429"/>
          <cell r="I429" t="str">
            <v>NPV0279</v>
          </cell>
        </row>
        <row r="430">
          <cell r="D430" t="str">
            <v>Nắp cốc nhựa dùng 1 lần 300ml</v>
          </cell>
          <cell r="E430" t="str">
            <v>Cái</v>
          </cell>
          <cell r="F430" t="str">
            <v>Công ty cổ phần dịch vụ B2B Sen Vàng</v>
          </cell>
          <cell r="G430">
            <v>161</v>
          </cell>
          <cell r="H430"/>
          <cell r="I430" t="str">
            <v>NPV0291</v>
          </cell>
        </row>
        <row r="431">
          <cell r="D431" t="str">
            <v>Nước rửa tay Lifebuoy 450ml, 12 chai/thùng</v>
          </cell>
          <cell r="E431" t="str">
            <v>Chai</v>
          </cell>
          <cell r="F431" t="str">
            <v>Công ty cổ phần dịch vụ B2B Sen Vàng</v>
          </cell>
          <cell r="G431">
            <v>67000</v>
          </cell>
          <cell r="H431"/>
          <cell r="I431" t="str">
            <v>NPV0294</v>
          </cell>
        </row>
        <row r="432">
          <cell r="D432" t="str">
            <v>Nắp cốc nhựa dùng 1 lần 400ml</v>
          </cell>
          <cell r="E432" t="str">
            <v>Cái</v>
          </cell>
          <cell r="F432" t="str">
            <v>Công ty cổ phần dịch vụ B2B Sen Vàng</v>
          </cell>
          <cell r="G432">
            <v>142</v>
          </cell>
          <cell r="H432"/>
          <cell r="I432" t="str">
            <v>NPV0307</v>
          </cell>
        </row>
        <row r="433">
          <cell r="D433" t="str">
            <v>Cốc nhựa dùng 1 lần 500ml</v>
          </cell>
          <cell r="E433" t="str">
            <v>Cái</v>
          </cell>
          <cell r="F433" t="str">
            <v>Công ty cổ phần dịch vụ B2B Sen Vàng</v>
          </cell>
          <cell r="G433">
            <v>538</v>
          </cell>
          <cell r="H433"/>
          <cell r="I433" t="str">
            <v>NPV0316</v>
          </cell>
        </row>
        <row r="434">
          <cell r="D434" t="str">
            <v>Màng bọc thực phẩm Đồng Tâm 420 (45cm*250m; 6 hộp/thùng)</v>
          </cell>
          <cell r="E434" t="str">
            <v>Cái</v>
          </cell>
          <cell r="F434" t="str">
            <v>Công ty cổ phần dịch vụ B2B Sen Vàng</v>
          </cell>
          <cell r="G434">
            <v>176000</v>
          </cell>
          <cell r="H434"/>
          <cell r="I434" t="str">
            <v>NPV0322</v>
          </cell>
        </row>
        <row r="435">
          <cell r="D435" t="str">
            <v>Màng bọc thực phẩm Đồng Tâm 400 (30cm*200m; 6 hộp/thùng)</v>
          </cell>
          <cell r="E435" t="str">
            <v>Hộp</v>
          </cell>
          <cell r="F435" t="str">
            <v>Công ty cổ phần dịch vụ B2B Sen Vàng</v>
          </cell>
          <cell r="G435">
            <v>96000</v>
          </cell>
          <cell r="H435"/>
          <cell r="I435" t="str">
            <v>NPV0333</v>
          </cell>
        </row>
        <row r="436">
          <cell r="D436" t="str">
            <v>BVS Daiana dày không cánh, 8 miếng/gói</v>
          </cell>
          <cell r="E436" t="str">
            <v>Gói</v>
          </cell>
          <cell r="F436" t="str">
            <v>Công ty cổ phần dịch vụ B2B Sen Vàng</v>
          </cell>
          <cell r="G436">
            <v>19610</v>
          </cell>
          <cell r="H436"/>
          <cell r="I436" t="str">
            <v>NPV0336</v>
          </cell>
        </row>
        <row r="437">
          <cell r="D437" t="str">
            <v>BVS Daiana dày có cánh, 8 miếng/gói</v>
          </cell>
          <cell r="E437" t="str">
            <v>Gói</v>
          </cell>
          <cell r="F437" t="str">
            <v>Công ty cổ phần dịch vụ B2B Sen Vàng</v>
          </cell>
          <cell r="G437">
            <v>20670</v>
          </cell>
          <cell r="H437"/>
          <cell r="I437" t="str">
            <v>NPV0337</v>
          </cell>
        </row>
        <row r="438">
          <cell r="D438" t="str">
            <v>BVS sensi SMC, 20 miếng/gói</v>
          </cell>
          <cell r="E438" t="str">
            <v>Gói</v>
          </cell>
          <cell r="F438" t="str">
            <v>Công ty cổ phần dịch vụ B2B Sen Vàng</v>
          </cell>
          <cell r="G438">
            <v>16430</v>
          </cell>
          <cell r="H438"/>
          <cell r="I438" t="str">
            <v>NPV0338</v>
          </cell>
        </row>
        <row r="439">
          <cell r="D439" t="str">
            <v>Nắp cốc nhựa dùng 1 lần 220ml</v>
          </cell>
          <cell r="E439" t="str">
            <v>Cái</v>
          </cell>
          <cell r="F439" t="str">
            <v>Công ty cổ phần dịch vụ B2B Sen Vàng</v>
          </cell>
          <cell r="G439">
            <v>149</v>
          </cell>
          <cell r="H439"/>
          <cell r="I439" t="str">
            <v>NPV0346</v>
          </cell>
        </row>
        <row r="440">
          <cell r="D440" t="str">
            <v>Túi nilon đen 1kg</v>
          </cell>
          <cell r="E440" t="str">
            <v>kg</v>
          </cell>
          <cell r="F440" t="str">
            <v>Công ty cổ phần dịch vụ B2B Sen Vàng</v>
          </cell>
          <cell r="G440">
            <v>27225</v>
          </cell>
          <cell r="H440"/>
          <cell r="I440" t="str">
            <v>NPV0349</v>
          </cell>
        </row>
        <row r="441">
          <cell r="D441" t="str">
            <v>Ống hút nhựa thẳng 60 cái/ túi</v>
          </cell>
          <cell r="E441" t="str">
            <v>Cái</v>
          </cell>
          <cell r="F441" t="str">
            <v>Công ty cổ phần dịch vụ B2B Sen Vàng</v>
          </cell>
          <cell r="G441">
            <v>109</v>
          </cell>
          <cell r="H441"/>
          <cell r="I441" t="str">
            <v>NPV0353</v>
          </cell>
        </row>
        <row r="442">
          <cell r="D442" t="str">
            <v>Cốc nhựa dùng 1 lần 400ml có nắp</v>
          </cell>
          <cell r="E442" t="str">
            <v>Cái</v>
          </cell>
          <cell r="F442" t="str">
            <v>Công ty cổ phần dịch vụ B2B Sen Vàng</v>
          </cell>
          <cell r="G442">
            <v>234</v>
          </cell>
          <cell r="H442"/>
          <cell r="I442" t="str">
            <v>NPV0354</v>
          </cell>
        </row>
        <row r="443">
          <cell r="D443" t="str">
            <v>BVS Diana siêu mỏng không cánh 8 miếng/ gói* 48 gói/thùng</v>
          </cell>
          <cell r="E443" t="str">
            <v>Gói</v>
          </cell>
          <cell r="F443" t="str">
            <v>Công ty cổ phần dịch vụ B2B Sen Vàng</v>
          </cell>
          <cell r="G443">
            <v>19000</v>
          </cell>
          <cell r="H443"/>
          <cell r="I443" t="str">
            <v>NPV0360</v>
          </cell>
        </row>
        <row r="444">
          <cell r="D444" t="str">
            <v>Cá ba sa sơ chế bỏ đầu 0.8-1.2kg/con, 10kg/thùng</v>
          </cell>
          <cell r="E444" t="str">
            <v>kg</v>
          </cell>
          <cell r="F444" t="str">
            <v>CÔNG TY CỔ PHẦN THỰC PHẨM TỨ PHƯƠNG</v>
          </cell>
          <cell r="G444">
            <v>45000</v>
          </cell>
          <cell r="H444"/>
          <cell r="I444" t="str">
            <v>NLS0002</v>
          </cell>
        </row>
        <row r="445">
          <cell r="D445" t="str">
            <v>Mực ống trắng 8-10con/kg</v>
          </cell>
          <cell r="E445" t="str">
            <v>kg</v>
          </cell>
          <cell r="F445" t="str">
            <v>CÔNG TY CỔ PHẦN THỰC PHẨM TỨ PHƯƠNG</v>
          </cell>
          <cell r="G445">
            <v>165000</v>
          </cell>
          <cell r="H445"/>
          <cell r="I445" t="str">
            <v>NLS0055</v>
          </cell>
        </row>
        <row r="446">
          <cell r="D446" t="str">
            <v>Cá cam 3-4 con/kg, 10kg/thùng</v>
          </cell>
          <cell r="E446" t="str">
            <v>kg</v>
          </cell>
          <cell r="F446" t="str">
            <v>CÔNG TY CỔ PHẦN THỰC PHẨM TỨ PHƯƠNG</v>
          </cell>
          <cell r="G446">
            <v>60000</v>
          </cell>
          <cell r="H446"/>
          <cell r="I446" t="str">
            <v>NLS0112</v>
          </cell>
        </row>
        <row r="447">
          <cell r="D447" t="str">
            <v>Cá nục hoa 2-3 con/kg, 15kg/thùng</v>
          </cell>
          <cell r="E447" t="str">
            <v>kg</v>
          </cell>
          <cell r="F447" t="str">
            <v>CÔNG TY CỔ PHẦN THỰC PHẨM TỨ PHƯƠNG</v>
          </cell>
          <cell r="G447">
            <v>38000</v>
          </cell>
          <cell r="H447"/>
          <cell r="I447" t="str">
            <v>NLS0146</v>
          </cell>
        </row>
        <row r="448">
          <cell r="D448" t="str">
            <v>Cá bống biển đông lạnh 15-20con/kg, 10 kg/thùng</v>
          </cell>
          <cell r="E448" t="str">
            <v>kg</v>
          </cell>
          <cell r="F448" t="str">
            <v>CÔNG TY CỔ PHẦN THỰC PHẨM TỨ PHƯƠNG</v>
          </cell>
          <cell r="G448">
            <v>35000</v>
          </cell>
          <cell r="H448"/>
          <cell r="I448" t="str">
            <v>NLS0177</v>
          </cell>
        </row>
        <row r="449">
          <cell r="D449" t="str">
            <v>Tôm nõn hấp/tươi  85-93</v>
          </cell>
          <cell r="E449" t="str">
            <v>kg</v>
          </cell>
          <cell r="F449" t="str">
            <v>CÔNG TY CỔ PHẦN THỰC PHẨM TỨ PHƯƠNG</v>
          </cell>
          <cell r="G449">
            <v>135000</v>
          </cell>
          <cell r="H449"/>
          <cell r="I449" t="str">
            <v>NLS0187</v>
          </cell>
        </row>
        <row r="450">
          <cell r="D450" t="str">
            <v>Chả cá ĐL Tú Phương 500g/gói.</v>
          </cell>
          <cell r="E450" t="str">
            <v>kg</v>
          </cell>
          <cell r="F450" t="str">
            <v>CÔNG TY CỔ PHẦN THỰC PHẨM TỨ PHƯƠNG</v>
          </cell>
          <cell r="G450">
            <v>50000</v>
          </cell>
          <cell r="H450"/>
          <cell r="I450" t="str">
            <v>NLS0224</v>
          </cell>
        </row>
        <row r="451">
          <cell r="D451" t="str">
            <v>Cá ngừ ĐL 0.5-1kg/con</v>
          </cell>
          <cell r="E451" t="str">
            <v>kg</v>
          </cell>
          <cell r="F451" t="str">
            <v>CÔNG TY CỔ PHẦN THỰC PHẨM TỨ PHƯƠNG</v>
          </cell>
          <cell r="G451">
            <v>37000</v>
          </cell>
          <cell r="H451"/>
          <cell r="I451" t="str">
            <v>NLS0227</v>
          </cell>
        </row>
        <row r="452">
          <cell r="D452" t="str">
            <v>Mực ống cắt khoanh ĐL 1kg/gói</v>
          </cell>
          <cell r="E452" t="str">
            <v>kg</v>
          </cell>
          <cell r="F452" t="str">
            <v>CÔNG TY CỔ PHẦN THỰC PHẨM TỨ PHƯƠNG</v>
          </cell>
          <cell r="G452">
            <v>48000</v>
          </cell>
          <cell r="H452"/>
          <cell r="I452" t="str">
            <v>NLS0230</v>
          </cell>
        </row>
        <row r="453">
          <cell r="D453" t="str">
            <v>Cá bạc má nguyên con 8-10 con/kg</v>
          </cell>
          <cell r="E453" t="str">
            <v>kg</v>
          </cell>
          <cell r="F453" t="str">
            <v>CÔNG TY CỔ PHẦN THỰC PHẨM TỨ PHƯƠNG</v>
          </cell>
          <cell r="G453">
            <v>35000</v>
          </cell>
          <cell r="H453"/>
          <cell r="I453" t="str">
            <v>NLS0311</v>
          </cell>
        </row>
        <row r="454">
          <cell r="D454" t="str">
            <v>Giò lụa</v>
          </cell>
          <cell r="E454" t="str">
            <v>kg</v>
          </cell>
          <cell r="F454" t="str">
            <v>CÔNG TY CỔ PHẦN THỰC PHẨM TỨ PHƯƠNG</v>
          </cell>
          <cell r="G454">
            <v>86000</v>
          </cell>
          <cell r="H454"/>
          <cell r="I454" t="str">
            <v>NLT0017</v>
          </cell>
        </row>
        <row r="455">
          <cell r="D455" t="str">
            <v>Mọc viên</v>
          </cell>
          <cell r="E455" t="str">
            <v>kg</v>
          </cell>
          <cell r="F455" t="str">
            <v>CÔNG TY CỔ PHẦN THỰC PHẨM TỨ PHƯƠNG</v>
          </cell>
          <cell r="G455">
            <v>85000</v>
          </cell>
          <cell r="H455"/>
          <cell r="I455" t="str">
            <v>NLT0027</v>
          </cell>
        </row>
        <row r="456">
          <cell r="D456" t="str">
            <v>Thịt ba chỉ ĐL Nga 5-12kg/ thùng</v>
          </cell>
          <cell r="E456" t="str">
            <v>kg</v>
          </cell>
          <cell r="F456" t="str">
            <v>CÔNG TY CỔ PHẦN THỰC PHẨM TỨ PHƯƠNG</v>
          </cell>
          <cell r="G456">
            <v>102000</v>
          </cell>
          <cell r="H456"/>
          <cell r="I456" t="str">
            <v>NLT0048</v>
          </cell>
        </row>
        <row r="457">
          <cell r="D457" t="str">
            <v>Thịt chân giò rút xương</v>
          </cell>
          <cell r="E457" t="str">
            <v>kg</v>
          </cell>
          <cell r="F457" t="str">
            <v>CÔNG TY CỔ PHẦN THỰC PHẨM TỨ PHƯƠNG</v>
          </cell>
          <cell r="G457">
            <v>86000</v>
          </cell>
          <cell r="H457"/>
          <cell r="I457" t="str">
            <v>NLT0057</v>
          </cell>
        </row>
        <row r="458">
          <cell r="D458" t="str">
            <v>Gà dai nguyên con Hàn Quốc 15kg/thùng</v>
          </cell>
          <cell r="E458" t="str">
            <v>kg</v>
          </cell>
          <cell r="F458" t="str">
            <v>CÔNG TY CỔ PHẦN THỰC PHẨM TỨ PHƯƠNG</v>
          </cell>
          <cell r="G458">
            <v>46000</v>
          </cell>
          <cell r="H458"/>
          <cell r="I458" t="str">
            <v>NLT0066</v>
          </cell>
        </row>
        <row r="459">
          <cell r="D459" t="str">
            <v>Thịt vịt đông lạnh</v>
          </cell>
          <cell r="E459" t="str">
            <v>kg</v>
          </cell>
          <cell r="F459" t="str">
            <v>CÔNG TY CỔ PHẦN THỰC PHẨM TỨ PHƯƠNG</v>
          </cell>
          <cell r="G459">
            <v>68000</v>
          </cell>
          <cell r="H459"/>
          <cell r="I459" t="str">
            <v>NLT0096</v>
          </cell>
        </row>
        <row r="460">
          <cell r="D460" t="str">
            <v>Ức gà không xương</v>
          </cell>
          <cell r="E460" t="str">
            <v>kg</v>
          </cell>
          <cell r="F460" t="str">
            <v>CÔNG TY CỔ PHẦN THỰC PHẨM TỨ PHƯƠNG</v>
          </cell>
          <cell r="G460">
            <v>67000</v>
          </cell>
          <cell r="H460"/>
          <cell r="I460" t="str">
            <v>NLT0107</v>
          </cell>
        </row>
        <row r="461">
          <cell r="D461" t="str">
            <v>Thịt mông trâu ĐL ấn Độ (M45) 20kg/thùng</v>
          </cell>
          <cell r="E461" t="str">
            <v>kg</v>
          </cell>
          <cell r="F461" t="str">
            <v>CÔNG TY CỔ PHẦN THỰC PHẨM TỨ PHƯƠNG</v>
          </cell>
          <cell r="G461">
            <v>130000</v>
          </cell>
          <cell r="H461"/>
          <cell r="I461" t="str">
            <v>NLT0144</v>
          </cell>
        </row>
        <row r="462">
          <cell r="D462" t="str">
            <v>Chả Quế</v>
          </cell>
          <cell r="E462" t="str">
            <v>kg</v>
          </cell>
          <cell r="F462" t="str">
            <v>CÔNG TY CỔ PHẦN THỰC PHẨM TỨ PHƯƠNG</v>
          </cell>
          <cell r="G462">
            <v>90000</v>
          </cell>
          <cell r="H462"/>
          <cell r="I462" t="str">
            <v>NLT0164</v>
          </cell>
        </row>
        <row r="463">
          <cell r="D463" t="str">
            <v>Giò gà</v>
          </cell>
          <cell r="E463" t="str">
            <v>kg</v>
          </cell>
          <cell r="F463" t="str">
            <v>CÔNG TY CỔ PHẦN THỰC PHẨM TỨ PHƯƠNG</v>
          </cell>
          <cell r="G463">
            <v>80000</v>
          </cell>
          <cell r="H463"/>
          <cell r="I463" t="str">
            <v>NLT0182</v>
          </cell>
        </row>
        <row r="464">
          <cell r="D464" t="str">
            <v>Xương ống ĐL Mir kar Balan 10kg/T</v>
          </cell>
          <cell r="E464" t="str">
            <v>kg</v>
          </cell>
          <cell r="F464" t="str">
            <v>CÔNG TY CỔ PHẦN THỰC PHẨM TỨ PHƯƠNG</v>
          </cell>
          <cell r="G464">
            <v>28000</v>
          </cell>
          <cell r="H464"/>
          <cell r="I464" t="str">
            <v>NLT0194</v>
          </cell>
        </row>
        <row r="465">
          <cell r="D465" t="str">
            <v>Sườn non ĐL Mỹ 10kg/Thùng</v>
          </cell>
          <cell r="E465" t="str">
            <v>kg</v>
          </cell>
          <cell r="F465" t="str">
            <v>CÔNG TY CỔ PHẦN THỰC PHẨM TỨ PHƯƠNG</v>
          </cell>
          <cell r="G465">
            <v>96000</v>
          </cell>
          <cell r="H465"/>
          <cell r="I465" t="str">
            <v>NLT0206</v>
          </cell>
        </row>
        <row r="466">
          <cell r="D466" t="str">
            <v>Thịt nạc vai ĐL Brazin ( 17-28)kg/thùng</v>
          </cell>
          <cell r="E466" t="str">
            <v>kg</v>
          </cell>
          <cell r="F466" t="str">
            <v>CÔNG TY CỔ PHẦN THỰC PHẨM TỨ PHƯƠNG</v>
          </cell>
          <cell r="G466">
            <v>96000</v>
          </cell>
          <cell r="H466"/>
          <cell r="I466" t="str">
            <v>NLT0252</v>
          </cell>
        </row>
        <row r="467">
          <cell r="D467" t="str">
            <v>Thịt trâu nạm ấn độ M11, 18kg/thùng</v>
          </cell>
          <cell r="E467" t="str">
            <v>kg</v>
          </cell>
          <cell r="F467" t="str">
            <v>CÔNG TY CỔ PHẦN THỰC PHẨM TỨ PHƯƠNG</v>
          </cell>
          <cell r="G467">
            <v>118000</v>
          </cell>
          <cell r="H467"/>
          <cell r="I467" t="str">
            <v>NLT0253</v>
          </cell>
        </row>
        <row r="468">
          <cell r="D468" t="str">
            <v>Tỏi gà ĐL Mỹ Mountain 4-6 cái/Kg, 15kg/thùng</v>
          </cell>
          <cell r="E468" t="str">
            <v>kg</v>
          </cell>
          <cell r="F468" t="str">
            <v>CÔNG TY CỔ PHẦN THỰC PHẨM TỨ PHƯƠNG</v>
          </cell>
          <cell r="G468">
            <v>45000</v>
          </cell>
          <cell r="H468"/>
          <cell r="I468" t="str">
            <v>NLT0268</v>
          </cell>
        </row>
        <row r="469">
          <cell r="D469" t="str">
            <v>Khoanh giò ĐL Ba lan 10kg/thùng</v>
          </cell>
          <cell r="E469" t="str">
            <v>kg</v>
          </cell>
          <cell r="F469" t="str">
            <v>CÔNG TY CỔ PHẦN THỰC PHẨM TỨ PHƯƠNG</v>
          </cell>
          <cell r="G469">
            <v>60000</v>
          </cell>
          <cell r="H469"/>
          <cell r="I469" t="str">
            <v>NLT0272</v>
          </cell>
        </row>
        <row r="470">
          <cell r="D470" t="str">
            <v>Móng giò ĐL Nga 10kg/thùng</v>
          </cell>
          <cell r="E470" t="str">
            <v>kg</v>
          </cell>
          <cell r="F470" t="str">
            <v>CÔNG TY CỔ PHẦN THỰC PHẨM TỨ PHƯƠNG</v>
          </cell>
          <cell r="G470">
            <v>40000</v>
          </cell>
          <cell r="H470"/>
          <cell r="I470" t="str">
            <v>NLT0276</v>
          </cell>
        </row>
        <row r="471">
          <cell r="D471" t="str">
            <v>Gà góc 1/4 SIMON Mỹ 15 kg/ thùng</v>
          </cell>
          <cell r="E471" t="str">
            <v>kg</v>
          </cell>
          <cell r="F471" t="str">
            <v>CÔNG TY CỔ PHẦN THỰC PHẨM TỨ PHƯƠNG</v>
          </cell>
          <cell r="G471">
            <v>47000</v>
          </cell>
          <cell r="H471"/>
          <cell r="I471" t="str">
            <v>NLT0294</v>
          </cell>
        </row>
        <row r="472">
          <cell r="D472" t="str">
            <v>Xúc xích Bông Sen Tứ Phương 500g * 12 cái</v>
          </cell>
          <cell r="E472" t="str">
            <v>kg</v>
          </cell>
          <cell r="F472" t="str">
            <v>CÔNG TY CỔ PHẦN THỰC PHẨM TỨ PHƯƠNG</v>
          </cell>
          <cell r="G472">
            <v>60000</v>
          </cell>
          <cell r="H472"/>
          <cell r="I472" t="str">
            <v>NLT0406</v>
          </cell>
        </row>
        <row r="473">
          <cell r="D473" t="str">
            <v>Cánh gà đl Seara Brazil 6-8 cái/kg, 15kg/thùng</v>
          </cell>
          <cell r="E473" t="str">
            <v>kg</v>
          </cell>
          <cell r="F473" t="str">
            <v>CÔNG TY CỔ PHẦN THỰC PHẨM TỨ PHƯƠNG</v>
          </cell>
          <cell r="G473">
            <v>68000</v>
          </cell>
          <cell r="H473"/>
          <cell r="I473" t="str">
            <v>NLT0419</v>
          </cell>
        </row>
        <row r="474">
          <cell r="D474" t="str">
            <v>Bắp trâu ĐL Ấn độ, 20kg/thùng</v>
          </cell>
          <cell r="E474" t="str">
            <v>kg</v>
          </cell>
          <cell r="F474" t="str">
            <v>CÔNG TY CỔ PHẦN THỰC PHẨM TỨ PHƯƠNG</v>
          </cell>
          <cell r="G474">
            <v>125000</v>
          </cell>
          <cell r="H474"/>
          <cell r="I474" t="str">
            <v>NLT0423</v>
          </cell>
        </row>
        <row r="475">
          <cell r="D475" t="str">
            <v>Tai heo ĐL Đức 15kg/thùng</v>
          </cell>
          <cell r="E475" t="str">
            <v>kg</v>
          </cell>
          <cell r="F475" t="str">
            <v>CÔNG TY CỔ PHẦN THỰC PHẨM TỨ PHƯƠNG</v>
          </cell>
          <cell r="G475">
            <v>92000</v>
          </cell>
          <cell r="H475"/>
          <cell r="I475" t="str">
            <v>NLT0432</v>
          </cell>
        </row>
        <row r="476">
          <cell r="D476" t="str">
            <v>Thịt dẻ sườn trâu 123 ĐL Ấn Độ 20kg/thùng</v>
          </cell>
          <cell r="E476" t="str">
            <v>kg</v>
          </cell>
          <cell r="F476" t="str">
            <v>CÔNG TY CỔ PHẦN THỰC PHẨM TỨ PHƯƠNG</v>
          </cell>
          <cell r="G476">
            <v>96000</v>
          </cell>
          <cell r="H476"/>
          <cell r="I476" t="str">
            <v>NLT0435</v>
          </cell>
        </row>
        <row r="477">
          <cell r="D477" t="str">
            <v>Sườn cốt-lết Brazil 17-19kg/thùng</v>
          </cell>
          <cell r="E477" t="str">
            <v>kg</v>
          </cell>
          <cell r="F477" t="str">
            <v>CÔNG TY CỔ PHẦN THỰC PHẨM TỨ PHƯƠNG</v>
          </cell>
          <cell r="G477">
            <v>85000</v>
          </cell>
          <cell r="H477"/>
          <cell r="I477" t="str">
            <v>NLT0468</v>
          </cell>
        </row>
        <row r="478">
          <cell r="D478" t="str">
            <v>Sườn vai ĐL Nga 15kg/thùng</v>
          </cell>
          <cell r="E478" t="str">
            <v>kg</v>
          </cell>
          <cell r="F478" t="str">
            <v>CÔNG TY CỔ PHẦN THỰC PHẨM TỨ PHƯƠNG</v>
          </cell>
          <cell r="G478">
            <v>65000</v>
          </cell>
          <cell r="H478"/>
          <cell r="I478" t="str">
            <v>NLT0480</v>
          </cell>
        </row>
        <row r="479">
          <cell r="D479" t="str">
            <v>Tim heo đông lạnh Hà Lan 10kg/thùng</v>
          </cell>
          <cell r="E479" t="str">
            <v>kg</v>
          </cell>
          <cell r="F479" t="str">
            <v>CÔNG TY CỔ PHẦN THỰC PHẨM TỨ PHƯƠNG</v>
          </cell>
          <cell r="G479">
            <v>44000</v>
          </cell>
          <cell r="H479"/>
          <cell r="I479" t="str">
            <v>NLT0526</v>
          </cell>
        </row>
        <row r="480">
          <cell r="D480" t="str">
            <v>Đùi trống ĐL Tiptop Mỹ 10kg/thùng</v>
          </cell>
          <cell r="E480" t="str">
            <v>kg</v>
          </cell>
          <cell r="F480" t="str">
            <v>CÔNG TY CỔ PHẦN THỰC PHẨM TỨ PHƯƠNG</v>
          </cell>
          <cell r="G480">
            <v>73000</v>
          </cell>
          <cell r="H480"/>
          <cell r="I480" t="str">
            <v>NLT0541</v>
          </cell>
        </row>
        <row r="481">
          <cell r="D481" t="str">
            <v>Thịt trâu nạm ấn độ M19, 18kg/thùng</v>
          </cell>
          <cell r="E481" t="str">
            <v>kg</v>
          </cell>
          <cell r="F481" t="str">
            <v>CÔNG TY CỔ PHẦN THỰC PHẨM TỨ PHƯƠNG</v>
          </cell>
          <cell r="G481">
            <v>94000</v>
          </cell>
          <cell r="H481"/>
          <cell r="I481" t="str">
            <v>NLT0557</v>
          </cell>
        </row>
        <row r="482">
          <cell r="D482" t="str">
            <v>Thịt heo mảnh có da rút xương</v>
          </cell>
          <cell r="E482" t="str">
            <v>kg</v>
          </cell>
          <cell r="F482" t="str">
            <v>CÔNG TY CỔ PHẦN THỰC PHẨM TỨ PHƯƠNG</v>
          </cell>
          <cell r="G482">
            <v>85000</v>
          </cell>
          <cell r="H482"/>
          <cell r="I482" t="str">
            <v>NLT0561</v>
          </cell>
        </row>
        <row r="483">
          <cell r="D483" t="str">
            <v>Thịt ba chỉ heo không xương, có da ĐL (Thanh)</v>
          </cell>
          <cell r="E483" t="str">
            <v>kg</v>
          </cell>
          <cell r="F483" t="str">
            <v>CÔNG TY CỔ PHẦN THỰC PHẨM TỨ PHƯƠNG</v>
          </cell>
          <cell r="G483">
            <v>80000</v>
          </cell>
          <cell r="H483"/>
          <cell r="I483" t="str">
            <v>NLT0570</v>
          </cell>
        </row>
        <row r="484">
          <cell r="D484" t="str">
            <v>Cá nục gai sơ chế bỏ đầu size 10-15 con/kg, 10kg/ Thùng</v>
          </cell>
          <cell r="E484" t="str">
            <v>kg</v>
          </cell>
          <cell r="F484" t="str">
            <v>CÔNG TY CỔ PHẦN THỰC PHẨM TỨ PHƯƠNG</v>
          </cell>
          <cell r="G484">
            <v>40000</v>
          </cell>
          <cell r="H484"/>
          <cell r="I484" t="str">
            <v>NLT0580</v>
          </cell>
        </row>
        <row r="485">
          <cell r="D485" t="str">
            <v>Hộp xốp 3 ngăn</v>
          </cell>
          <cell r="E485" t="str">
            <v>Chiếc</v>
          </cell>
          <cell r="F485" t="str">
            <v>Công ty TNHH Thực phẩm sạch Hiền Nam</v>
          </cell>
          <cell r="G485" t="str">
            <v>Chiếc</v>
          </cell>
          <cell r="H485">
            <v>535</v>
          </cell>
          <cell r="I485" t="str">
            <v>CCDC00817</v>
          </cell>
        </row>
        <row r="486">
          <cell r="D486" t="str">
            <v>Thạch Long Hải 95g* 100 cốc/thùng</v>
          </cell>
          <cell r="E486" t="str">
            <v>Cốc</v>
          </cell>
          <cell r="F486" t="str">
            <v>Công ty TNHH Thực phẩm sạch Hiền Nam</v>
          </cell>
          <cell r="G486" t="str">
            <v>Cốc</v>
          </cell>
          <cell r="H486">
            <v>1750</v>
          </cell>
          <cell r="I486" t="str">
            <v>HHB0027</v>
          </cell>
        </row>
        <row r="487">
          <cell r="D487" t="str">
            <v>Bánh mỳ đặc ruột 150g( cái)</v>
          </cell>
          <cell r="E487" t="str">
            <v>Cái</v>
          </cell>
          <cell r="F487" t="str">
            <v>Công ty TNHH Thực phẩm sạch Hiền Nam</v>
          </cell>
          <cell r="G487" t="str">
            <v>Cái</v>
          </cell>
          <cell r="H487">
            <v>5500</v>
          </cell>
          <cell r="I487" t="str">
            <v>HHB0039</v>
          </cell>
        </row>
        <row r="488">
          <cell r="D488" t="str">
            <v>Sữa fami canxi hộp 200ml, 36hộp/thùng</v>
          </cell>
          <cell r="E488" t="str">
            <v>Hộp</v>
          </cell>
          <cell r="F488" t="str">
            <v>Công ty TNHH Thực phẩm sạch Hiền Nam</v>
          </cell>
          <cell r="G488" t="str">
            <v>Hộp</v>
          </cell>
          <cell r="H488">
            <v>4600</v>
          </cell>
          <cell r="I488" t="str">
            <v>HHS0006</v>
          </cell>
        </row>
        <row r="489">
          <cell r="D489" t="str">
            <v>Miến dong</v>
          </cell>
          <cell r="E489" t="str">
            <v>kg</v>
          </cell>
          <cell r="F489" t="str">
            <v>Công ty TNHH Thực phẩm sạch Hiền Nam</v>
          </cell>
          <cell r="G489" t="str">
            <v>kg</v>
          </cell>
          <cell r="H489">
            <v>33000</v>
          </cell>
          <cell r="I489" t="str">
            <v>NLG0027</v>
          </cell>
        </row>
        <row r="490">
          <cell r="D490" t="str">
            <v>Lạc nhân</v>
          </cell>
          <cell r="E490" t="str">
            <v>kg</v>
          </cell>
          <cell r="F490" t="str">
            <v>Công ty TNHH Thực phẩm sạch Hiền Nam</v>
          </cell>
          <cell r="G490" t="str">
            <v>kg</v>
          </cell>
          <cell r="H490">
            <v>45000</v>
          </cell>
          <cell r="I490" t="str">
            <v>NLT0020</v>
          </cell>
        </row>
        <row r="491">
          <cell r="D491" t="str">
            <v>Bột béo Thành phát 1kg/10 gói/ thùng</v>
          </cell>
          <cell r="E491" t="str">
            <v>kg</v>
          </cell>
          <cell r="F491" t="str">
            <v>Công ty TNHH Thực phẩm sạch Hiền Nam</v>
          </cell>
          <cell r="G491" t="str">
            <v>kg</v>
          </cell>
          <cell r="H491">
            <v>30000</v>
          </cell>
          <cell r="I491" t="str">
            <v>NPG0001</v>
          </cell>
        </row>
        <row r="492">
          <cell r="D492" t="str">
            <v>Bột mỳ ngọc lan 1kg/gói</v>
          </cell>
          <cell r="E492" t="str">
            <v>kg</v>
          </cell>
          <cell r="F492" t="str">
            <v>Công ty TNHH Thực phẩm sạch Hiền Nam</v>
          </cell>
          <cell r="G492" t="str">
            <v>kg</v>
          </cell>
          <cell r="H492">
            <v>22000</v>
          </cell>
          <cell r="I492" t="str">
            <v>NPG0032</v>
          </cell>
        </row>
        <row r="493">
          <cell r="D493" t="str">
            <v>Bột năng Thành phát 1kg/gói, 10 gói/thùng</v>
          </cell>
          <cell r="E493" t="str">
            <v>kg</v>
          </cell>
          <cell r="F493" t="str">
            <v>Công ty TNHH Thực phẩm sạch Hiền Nam</v>
          </cell>
          <cell r="G493" t="str">
            <v>kg</v>
          </cell>
          <cell r="H493">
            <v>22000</v>
          </cell>
          <cell r="I493" t="str">
            <v>NPG0033</v>
          </cell>
        </row>
        <row r="494">
          <cell r="D494" t="str">
            <v>Bột nghệ</v>
          </cell>
          <cell r="E494" t="str">
            <v>kg</v>
          </cell>
          <cell r="F494" t="str">
            <v>Công ty TNHH Thực phẩm sạch Hiền Nam</v>
          </cell>
          <cell r="G494" t="str">
            <v>kg</v>
          </cell>
          <cell r="H494">
            <v>63000</v>
          </cell>
          <cell r="I494" t="str">
            <v>NPG0035</v>
          </cell>
        </row>
        <row r="495">
          <cell r="D495" t="str">
            <v>Đường phèn</v>
          </cell>
          <cell r="E495" t="str">
            <v>kg</v>
          </cell>
          <cell r="F495" t="str">
            <v>Công ty TNHH Thực phẩm sạch Hiền Nam</v>
          </cell>
          <cell r="G495" t="str">
            <v>kg</v>
          </cell>
          <cell r="H495">
            <v>23000</v>
          </cell>
          <cell r="I495" t="str">
            <v>NPG0061</v>
          </cell>
        </row>
        <row r="496">
          <cell r="D496" t="str">
            <v>Đường vàng Lam Sơn (1kg/gói)</v>
          </cell>
          <cell r="E496" t="str">
            <v>kg</v>
          </cell>
          <cell r="F496" t="str">
            <v>Công ty TNHH Thực phẩm sạch Hiền Nam</v>
          </cell>
          <cell r="G496" t="str">
            <v>kg</v>
          </cell>
          <cell r="H496">
            <v>25000</v>
          </cell>
          <cell r="I496" t="str">
            <v>NPG0063</v>
          </cell>
        </row>
        <row r="497">
          <cell r="D497" t="str">
            <v>Hạt điều</v>
          </cell>
          <cell r="E497" t="str">
            <v>kg</v>
          </cell>
          <cell r="F497" t="str">
            <v>Công ty TNHH Thực phẩm sạch Hiền Nam</v>
          </cell>
          <cell r="G497" t="str">
            <v>kg</v>
          </cell>
          <cell r="H497">
            <v>190000</v>
          </cell>
          <cell r="I497" t="str">
            <v>NPG0069</v>
          </cell>
        </row>
        <row r="498">
          <cell r="D498" t="str">
            <v>Tiêu xay</v>
          </cell>
          <cell r="E498" t="str">
            <v>kg</v>
          </cell>
          <cell r="F498" t="str">
            <v>Công ty TNHH Thực phẩm sạch Hiền Nam</v>
          </cell>
          <cell r="G498" t="str">
            <v>kg</v>
          </cell>
          <cell r="H498">
            <v>195000</v>
          </cell>
          <cell r="I498" t="str">
            <v>NPG0073</v>
          </cell>
        </row>
        <row r="499">
          <cell r="D499" t="str">
            <v>Hoa hồi</v>
          </cell>
          <cell r="E499" t="str">
            <v>kg</v>
          </cell>
          <cell r="F499" t="str">
            <v>Công ty TNHH Thực phẩm sạch Hiền Nam</v>
          </cell>
          <cell r="G499" t="str">
            <v>kg</v>
          </cell>
          <cell r="H499">
            <v>190000</v>
          </cell>
          <cell r="I499" t="str">
            <v>NPG0076</v>
          </cell>
        </row>
        <row r="500">
          <cell r="D500" t="str">
            <v>Mộc nhĩ không chân</v>
          </cell>
          <cell r="E500" t="str">
            <v>kg</v>
          </cell>
          <cell r="F500" t="str">
            <v>Công ty TNHH Thực phẩm sạch Hiền Nam</v>
          </cell>
          <cell r="G500" t="str">
            <v>kg</v>
          </cell>
          <cell r="H500">
            <v>103000</v>
          </cell>
          <cell r="I500" t="str">
            <v>NPG0096</v>
          </cell>
        </row>
        <row r="501">
          <cell r="D501" t="str">
            <v>Quế chi</v>
          </cell>
          <cell r="E501" t="str">
            <v>kg</v>
          </cell>
          <cell r="F501" t="str">
            <v>Công ty TNHH Thực phẩm sạch Hiền Nam</v>
          </cell>
          <cell r="G501" t="str">
            <v>kg</v>
          </cell>
          <cell r="H501">
            <v>90000</v>
          </cell>
          <cell r="I501" t="str">
            <v>NPG0117</v>
          </cell>
        </row>
        <row r="502">
          <cell r="D502" t="str">
            <v>Mắm ruốc (lít)</v>
          </cell>
          <cell r="E502" t="str">
            <v>Lít</v>
          </cell>
          <cell r="F502" t="str">
            <v>Công ty TNHH Thực phẩm sạch Hiền Nam</v>
          </cell>
          <cell r="G502" t="str">
            <v>Lít</v>
          </cell>
          <cell r="H502">
            <v>35000</v>
          </cell>
          <cell r="I502" t="str">
            <v>NPG0137</v>
          </cell>
        </row>
        <row r="503">
          <cell r="D503" t="str">
            <v>Thảo quả</v>
          </cell>
          <cell r="E503" t="str">
            <v>kg</v>
          </cell>
          <cell r="F503" t="str">
            <v>Công ty TNHH Thực phẩm sạch Hiền Nam</v>
          </cell>
          <cell r="G503" t="str">
            <v>kg</v>
          </cell>
          <cell r="H503">
            <v>203000</v>
          </cell>
          <cell r="I503" t="str">
            <v>NPG0147</v>
          </cell>
        </row>
        <row r="504">
          <cell r="D504" t="str">
            <v>Vừng trắng</v>
          </cell>
          <cell r="E504" t="str">
            <v>kg</v>
          </cell>
          <cell r="F504" t="str">
            <v>Công ty TNHH Thực phẩm sạch Hiền Nam</v>
          </cell>
          <cell r="G504" t="str">
            <v>kg</v>
          </cell>
          <cell r="H504">
            <v>70000</v>
          </cell>
          <cell r="I504" t="str">
            <v>NPG0154</v>
          </cell>
        </row>
        <row r="505">
          <cell r="D505" t="str">
            <v>Xì dầu Tam thái tử 500ml/chai, 24 chai/thùng</v>
          </cell>
          <cell r="E505" t="str">
            <v>Chai</v>
          </cell>
          <cell r="F505" t="str">
            <v>Công ty TNHH Thực phẩm sạch Hiền Nam</v>
          </cell>
          <cell r="G505" t="str">
            <v>Chai</v>
          </cell>
          <cell r="H505">
            <v>8000</v>
          </cell>
          <cell r="I505" t="str">
            <v>NPG0155</v>
          </cell>
        </row>
        <row r="506">
          <cell r="D506" t="str">
            <v>Bột chiên giòn Thành Phát 1kg/gói</v>
          </cell>
          <cell r="E506" t="str">
            <v>kg</v>
          </cell>
          <cell r="F506" t="str">
            <v>Công ty TNHH Thực phẩm sạch Hiền Nam</v>
          </cell>
          <cell r="G506" t="str">
            <v>kg</v>
          </cell>
          <cell r="H506">
            <v>22000</v>
          </cell>
          <cell r="I506" t="str">
            <v>NPG0274</v>
          </cell>
        </row>
        <row r="507">
          <cell r="D507" t="str">
            <v>Bột năng Tuấn phương 1kg/gói</v>
          </cell>
          <cell r="E507" t="str">
            <v>kg</v>
          </cell>
          <cell r="F507" t="str">
            <v>Công ty TNHH Thực phẩm sạch Hiền Nam</v>
          </cell>
          <cell r="G507" t="str">
            <v>kg</v>
          </cell>
          <cell r="H507">
            <v>22000</v>
          </cell>
          <cell r="I507" t="str">
            <v>NPG0277</v>
          </cell>
        </row>
        <row r="508">
          <cell r="D508" t="str">
            <v>Dầu hào maggi 1,2kg/chai</v>
          </cell>
          <cell r="E508" t="str">
            <v>Chai</v>
          </cell>
          <cell r="F508" t="str">
            <v>Công ty TNHH Thực phẩm sạch Hiền Nam</v>
          </cell>
          <cell r="G508" t="str">
            <v>Chai</v>
          </cell>
          <cell r="H508">
            <v>68000</v>
          </cell>
          <cell r="I508" t="str">
            <v>NPG0312</v>
          </cell>
        </row>
        <row r="509">
          <cell r="D509" t="str">
            <v>Tương ớt nam dư 2.1kg/can</v>
          </cell>
          <cell r="E509" t="str">
            <v>can</v>
          </cell>
          <cell r="F509" t="str">
            <v>Công ty TNHH Thực phẩm sạch Hiền Nam</v>
          </cell>
          <cell r="G509" t="str">
            <v>can</v>
          </cell>
          <cell r="H509">
            <v>22000</v>
          </cell>
          <cell r="I509" t="str">
            <v>NPG0379</v>
          </cell>
        </row>
        <row r="510">
          <cell r="D510" t="str">
            <v>Nước mắm đệ nhị(chấm) 800ml/chai, 18 chai/thùng</v>
          </cell>
          <cell r="E510" t="str">
            <v>Chai</v>
          </cell>
          <cell r="F510" t="str">
            <v>Công ty TNHH Thực phẩm sạch Hiền Nam</v>
          </cell>
          <cell r="G510" t="str">
            <v>Chai</v>
          </cell>
          <cell r="H510">
            <v>20000</v>
          </cell>
          <cell r="I510" t="str">
            <v>NPG0382</v>
          </cell>
        </row>
        <row r="511">
          <cell r="D511" t="str">
            <v>Bột cà ri Hậu Sang (5g/gói)</v>
          </cell>
          <cell r="E511" t="str">
            <v>Gói</v>
          </cell>
          <cell r="F511" t="str">
            <v>Công ty TNHH Thực phẩm sạch Hiền Nam</v>
          </cell>
          <cell r="G511" t="str">
            <v>Gói</v>
          </cell>
          <cell r="H511">
            <v>2000</v>
          </cell>
          <cell r="I511" t="str">
            <v>NPG0429</v>
          </cell>
        </row>
        <row r="512">
          <cell r="D512" t="str">
            <v>Tương cà Nam dư 2 lít/can</v>
          </cell>
          <cell r="E512" t="str">
            <v>Lít</v>
          </cell>
          <cell r="F512" t="str">
            <v>Công ty TNHH Thực phẩm sạch Hiền Nam</v>
          </cell>
          <cell r="G512" t="str">
            <v>Lít</v>
          </cell>
          <cell r="H512">
            <v>38000</v>
          </cell>
          <cell r="I512" t="str">
            <v>NPG0431</v>
          </cell>
        </row>
        <row r="513">
          <cell r="D513" t="str">
            <v>Dấm thiên hương 450ml/chai</v>
          </cell>
          <cell r="E513" t="str">
            <v>Chai</v>
          </cell>
          <cell r="F513" t="str">
            <v>Công ty TNHH Thực phẩm sạch Hiền Nam</v>
          </cell>
          <cell r="G513" t="str">
            <v>Chai</v>
          </cell>
          <cell r="H513">
            <v>2500</v>
          </cell>
          <cell r="I513" t="str">
            <v>NPG0433</v>
          </cell>
        </row>
        <row r="514">
          <cell r="D514" t="str">
            <v>Ngũ vị hương Hậu sanh 5g/gói</v>
          </cell>
          <cell r="E514" t="str">
            <v>Gói</v>
          </cell>
          <cell r="F514" t="str">
            <v>Công ty TNHH Thực phẩm sạch Hiền Nam</v>
          </cell>
          <cell r="G514" t="str">
            <v>Gói</v>
          </cell>
          <cell r="H514">
            <v>1600</v>
          </cell>
          <cell r="I514" t="str">
            <v>NPG0490</v>
          </cell>
        </row>
        <row r="515">
          <cell r="D515" t="str">
            <v>Dầu ăn orchid 19.8 lít / thùng</v>
          </cell>
          <cell r="E515" t="str">
            <v>Lít</v>
          </cell>
          <cell r="F515" t="str">
            <v>Công ty TNHH Thực phẩm sạch Hiền Nam</v>
          </cell>
          <cell r="G515" t="str">
            <v>Lít</v>
          </cell>
          <cell r="H515">
            <v>37000</v>
          </cell>
          <cell r="I515" t="str">
            <v>NPG0532</v>
          </cell>
        </row>
        <row r="516">
          <cell r="D516" t="str">
            <v>Nước mắm cá cơm Cửa Hội 4.85 lít/can</v>
          </cell>
          <cell r="E516" t="str">
            <v>Lít</v>
          </cell>
          <cell r="F516" t="str">
            <v>Công ty TNHH Thực phẩm sạch Hiền Nam</v>
          </cell>
          <cell r="G516" t="str">
            <v>Lít</v>
          </cell>
          <cell r="H516">
            <v>12200</v>
          </cell>
          <cell r="I516" t="str">
            <v>NPG0550</v>
          </cell>
        </row>
        <row r="517">
          <cell r="D517" t="str">
            <v>Mỳ chính Miwon 1kg/ gói</v>
          </cell>
          <cell r="E517" t="str">
            <v>kg</v>
          </cell>
          <cell r="F517" t="str">
            <v>Công ty TNHH Thực phẩm sạch Hiền Nam</v>
          </cell>
          <cell r="G517" t="str">
            <v>kg</v>
          </cell>
          <cell r="H517">
            <v>56000</v>
          </cell>
          <cell r="I517" t="str">
            <v>NPG0611</v>
          </cell>
        </row>
        <row r="518">
          <cell r="D518" t="str">
            <v>Muối hạt 0.5kg/gói</v>
          </cell>
          <cell r="E518" t="str">
            <v>kg</v>
          </cell>
          <cell r="F518" t="str">
            <v>Công ty TNHH Thực phẩm sạch Hiền Nam</v>
          </cell>
          <cell r="G518" t="str">
            <v>kg</v>
          </cell>
          <cell r="H518">
            <v>7000</v>
          </cell>
          <cell r="I518" t="str">
            <v>NPG0628</v>
          </cell>
        </row>
        <row r="519">
          <cell r="D519" t="str">
            <v>Mật ong Việt Nhật 800ml/chai</v>
          </cell>
          <cell r="E519" t="str">
            <v>Chai</v>
          </cell>
          <cell r="F519" t="str">
            <v>Công ty TNHH Thực phẩm sạch Hiền Nam</v>
          </cell>
          <cell r="G519" t="str">
            <v>Chai</v>
          </cell>
          <cell r="H519">
            <v>35000</v>
          </cell>
          <cell r="I519" t="str">
            <v>NPG0802</v>
          </cell>
        </row>
        <row r="520">
          <cell r="D520" t="str">
            <v>Hạt nêm Bếp Vua 5kg/túi</v>
          </cell>
          <cell r="E520" t="str">
            <v>kg</v>
          </cell>
          <cell r="F520" t="str">
            <v>Công ty TNHH Thực phẩm sạch Hiền Nam</v>
          </cell>
          <cell r="G520" t="str">
            <v>kg</v>
          </cell>
          <cell r="H520">
            <v>24000</v>
          </cell>
          <cell r="I520" t="str">
            <v>NPG1017</v>
          </cell>
        </row>
        <row r="521">
          <cell r="D521" t="str">
            <v>Bột canh Hảo hạng 900g/ gói</v>
          </cell>
          <cell r="E521" t="str">
            <v>kg</v>
          </cell>
          <cell r="F521" t="str">
            <v>Công ty TNHH Thực phẩm sạch Hiền Nam</v>
          </cell>
          <cell r="G521" t="str">
            <v>kg</v>
          </cell>
          <cell r="H521">
            <v>17000</v>
          </cell>
          <cell r="I521" t="str">
            <v>NPG1046</v>
          </cell>
        </row>
        <row r="522">
          <cell r="D522" t="str">
            <v>Đũa dùng một lần (đôi)</v>
          </cell>
          <cell r="E522" t="str">
            <v>đôi</v>
          </cell>
          <cell r="F522" t="str">
            <v>Công ty TNHH Thực phẩm sạch Hiền Nam</v>
          </cell>
          <cell r="G522" t="str">
            <v>đôi</v>
          </cell>
          <cell r="H522">
            <v>350</v>
          </cell>
          <cell r="I522" t="str">
            <v>NPV0011</v>
          </cell>
        </row>
        <row r="523">
          <cell r="D523" t="str">
            <v>Găng tay nilon (kg)</v>
          </cell>
          <cell r="E523" t="str">
            <v>kg</v>
          </cell>
          <cell r="F523" t="str">
            <v>Công ty TNHH Thực phẩm sạch Hiền Nam</v>
          </cell>
          <cell r="G523" t="str">
            <v>kg</v>
          </cell>
          <cell r="H523">
            <v>58000</v>
          </cell>
          <cell r="I523" t="str">
            <v>NPV0013</v>
          </cell>
        </row>
        <row r="524">
          <cell r="D524" t="str">
            <v>Găng tay y tế 50 đôi/hộp</v>
          </cell>
          <cell r="E524" t="str">
            <v>Hộp</v>
          </cell>
          <cell r="F524" t="str">
            <v>Công ty TNHH Thực phẩm sạch Hiền Nam</v>
          </cell>
          <cell r="G524" t="str">
            <v>Hộp</v>
          </cell>
          <cell r="H524">
            <v>85000</v>
          </cell>
          <cell r="I524" t="str">
            <v>NPV0014</v>
          </cell>
        </row>
        <row r="525">
          <cell r="D525" t="str">
            <v>Giấy ăn vuông 330x330</v>
          </cell>
          <cell r="E525" t="str">
            <v>kg</v>
          </cell>
          <cell r="F525" t="str">
            <v>Công ty TNHH Thực phẩm sạch Hiền Nam</v>
          </cell>
          <cell r="G525" t="str">
            <v>kg</v>
          </cell>
          <cell r="H525">
            <v>38000</v>
          </cell>
          <cell r="I525" t="str">
            <v>NPV0015</v>
          </cell>
        </row>
        <row r="526">
          <cell r="D526" t="str">
            <v>Màng bọc thực phẩm 45*420cm</v>
          </cell>
          <cell r="E526" t="str">
            <v>Cuộn</v>
          </cell>
          <cell r="F526" t="str">
            <v>Công ty TNHH Thực phẩm sạch Hiền Nam</v>
          </cell>
          <cell r="G526" t="str">
            <v>Cuộn</v>
          </cell>
          <cell r="H526">
            <v>200000</v>
          </cell>
          <cell r="I526" t="str">
            <v>NPV0028</v>
          </cell>
        </row>
        <row r="527">
          <cell r="D527" t="str">
            <v>Túi nilon đen 10kg</v>
          </cell>
          <cell r="E527" t="str">
            <v>kg</v>
          </cell>
          <cell r="F527" t="str">
            <v>Công ty TNHH Thực phẩm sạch Hiền Nam</v>
          </cell>
          <cell r="G527" t="str">
            <v>kg</v>
          </cell>
          <cell r="H527">
            <v>30000</v>
          </cell>
          <cell r="I527" t="str">
            <v>NPV0048</v>
          </cell>
        </row>
        <row r="528">
          <cell r="D528" t="str">
            <v>Túi nilon trắng 2kg</v>
          </cell>
          <cell r="E528" t="str">
            <v>kg</v>
          </cell>
          <cell r="F528" t="str">
            <v>Công ty TNHH Thực phẩm sạch Hiền Nam</v>
          </cell>
          <cell r="G528" t="str">
            <v>kg</v>
          </cell>
          <cell r="H528">
            <v>38000</v>
          </cell>
          <cell r="I528" t="str">
            <v>NPV0053</v>
          </cell>
        </row>
        <row r="529">
          <cell r="D529" t="str">
            <v>Túi nilon trắng 5kg</v>
          </cell>
          <cell r="E529" t="str">
            <v>kg</v>
          </cell>
          <cell r="F529" t="str">
            <v>Công ty TNHH Thực phẩm sạch Hiền Nam</v>
          </cell>
          <cell r="G529" t="str">
            <v>kg</v>
          </cell>
          <cell r="H529">
            <v>40000</v>
          </cell>
          <cell r="I529" t="str">
            <v>NPV0054</v>
          </cell>
        </row>
        <row r="530">
          <cell r="D530" t="str">
            <v>Thìa nhựa dùng một lần loại 150mm</v>
          </cell>
          <cell r="E530" t="str">
            <v>Túi</v>
          </cell>
          <cell r="F530" t="str">
            <v>Công ty TNHH Thực phẩm sạch Hiền Nam</v>
          </cell>
          <cell r="G530" t="str">
            <v>Túi</v>
          </cell>
          <cell r="H530">
            <v>350</v>
          </cell>
          <cell r="I530" t="str">
            <v>NPV0055</v>
          </cell>
        </row>
        <row r="531">
          <cell r="D531" t="str">
            <v>Túi nilon trắng 10kg</v>
          </cell>
          <cell r="E531" t="str">
            <v>kg</v>
          </cell>
          <cell r="F531" t="str">
            <v>Công ty TNHH Thực phẩm sạch Hiền Nam</v>
          </cell>
          <cell r="G531" t="str">
            <v>kg</v>
          </cell>
          <cell r="H531">
            <v>38000</v>
          </cell>
          <cell r="I531" t="str">
            <v>NPV0063</v>
          </cell>
        </row>
        <row r="532">
          <cell r="D532" t="str">
            <v>Bột giặt OMO 4.5kg/gói</v>
          </cell>
          <cell r="E532" t="str">
            <v>kg</v>
          </cell>
          <cell r="F532" t="str">
            <v>Công ty TNHH Thực phẩm sạch Hiền Nam</v>
          </cell>
          <cell r="G532" t="str">
            <v>kg</v>
          </cell>
          <cell r="H532">
            <v>35000</v>
          </cell>
          <cell r="I532" t="str">
            <v>NPV0141</v>
          </cell>
        </row>
        <row r="533">
          <cell r="D533" t="str">
            <v>Nước rửa bát Lix 3.6 kg/can</v>
          </cell>
          <cell r="E533" t="str">
            <v>can</v>
          </cell>
          <cell r="F533" t="str">
            <v>Công ty TNHH Thực phẩm sạch Hiền Nam</v>
          </cell>
          <cell r="G533" t="str">
            <v>can</v>
          </cell>
          <cell r="H533">
            <v>65000</v>
          </cell>
          <cell r="I533" t="str">
            <v>NPV0254</v>
          </cell>
        </row>
        <row r="534">
          <cell r="D534" t="str">
            <v>Nước lau sàn Lix 3.6l/can</v>
          </cell>
          <cell r="E534" t="str">
            <v>can</v>
          </cell>
          <cell r="F534" t="str">
            <v>Công ty TNHH Thực phẩm sạch Hiền Nam</v>
          </cell>
          <cell r="G534" t="str">
            <v>can</v>
          </cell>
          <cell r="H534">
            <v>70000</v>
          </cell>
          <cell r="I534" t="str">
            <v>NPV0273</v>
          </cell>
        </row>
        <row r="535">
          <cell r="D535" t="str">
            <v>Màng bọc thực phẩm Đồng Tâm 420 (45cm*250m; 6 hộp/thùng)</v>
          </cell>
          <cell r="E535" t="str">
            <v>Cái</v>
          </cell>
          <cell r="F535" t="str">
            <v>Công ty TNHH Thực phẩm sạch Hiền Nam</v>
          </cell>
          <cell r="G535" t="str">
            <v>Cái</v>
          </cell>
          <cell r="H535">
            <v>180000</v>
          </cell>
          <cell r="I535" t="str">
            <v>NPV0322</v>
          </cell>
        </row>
        <row r="536">
          <cell r="F536"/>
          <cell r="G536"/>
          <cell r="H536"/>
        </row>
        <row r="537">
          <cell r="F537"/>
          <cell r="G537"/>
          <cell r="H537"/>
        </row>
        <row r="538">
          <cell r="F538"/>
          <cell r="G538"/>
          <cell r="H538"/>
        </row>
        <row r="539">
          <cell r="F539"/>
          <cell r="G539"/>
          <cell r="H539"/>
        </row>
        <row r="540">
          <cell r="H540"/>
        </row>
        <row r="541">
          <cell r="D541"/>
          <cell r="F541"/>
          <cell r="G541"/>
          <cell r="H541"/>
          <cell r="I541"/>
        </row>
        <row r="542">
          <cell r="F542"/>
          <cell r="G542"/>
          <cell r="H542"/>
        </row>
        <row r="543">
          <cell r="F543"/>
          <cell r="G543"/>
          <cell r="H543"/>
        </row>
        <row r="544">
          <cell r="F544"/>
          <cell r="G544"/>
          <cell r="H544"/>
        </row>
        <row r="545">
          <cell r="F545"/>
          <cell r="G545"/>
          <cell r="H545"/>
        </row>
        <row r="546">
          <cell r="F546"/>
          <cell r="G546"/>
          <cell r="H546"/>
        </row>
        <row r="547">
          <cell r="F547"/>
          <cell r="G547"/>
          <cell r="H547"/>
        </row>
        <row r="548">
          <cell r="F548"/>
          <cell r="G548"/>
          <cell r="H548"/>
        </row>
        <row r="549">
          <cell r="F549"/>
          <cell r="G549"/>
          <cell r="H549"/>
        </row>
        <row r="550">
          <cell r="F550"/>
          <cell r="G550"/>
          <cell r="H550"/>
        </row>
        <row r="551">
          <cell r="F551"/>
          <cell r="G551"/>
          <cell r="H551"/>
        </row>
        <row r="552">
          <cell r="F552"/>
          <cell r="G552"/>
          <cell r="H552"/>
        </row>
        <row r="553">
          <cell r="F553"/>
          <cell r="G553"/>
          <cell r="H553"/>
        </row>
        <row r="554">
          <cell r="F554"/>
          <cell r="G554"/>
          <cell r="H554"/>
        </row>
        <row r="555">
          <cell r="F555"/>
          <cell r="G555"/>
          <cell r="H555"/>
        </row>
        <row r="556">
          <cell r="F556"/>
          <cell r="G556"/>
          <cell r="H556"/>
        </row>
        <row r="557">
          <cell r="D557"/>
          <cell r="F557"/>
          <cell r="G557"/>
          <cell r="H557"/>
          <cell r="I557"/>
        </row>
        <row r="558">
          <cell r="F558"/>
          <cell r="G558"/>
          <cell r="H558"/>
        </row>
        <row r="559">
          <cell r="F559"/>
          <cell r="G559"/>
          <cell r="H559"/>
        </row>
        <row r="560">
          <cell r="F560"/>
          <cell r="G560"/>
          <cell r="H560"/>
        </row>
        <row r="561">
          <cell r="F561"/>
          <cell r="G561"/>
          <cell r="H561"/>
        </row>
        <row r="562">
          <cell r="F562"/>
          <cell r="G562"/>
          <cell r="H562"/>
        </row>
        <row r="563">
          <cell r="F563"/>
          <cell r="G563"/>
          <cell r="H563"/>
        </row>
        <row r="564">
          <cell r="F564"/>
          <cell r="G564"/>
          <cell r="H564"/>
        </row>
        <row r="565">
          <cell r="F565"/>
          <cell r="G565"/>
          <cell r="H565"/>
        </row>
        <row r="566">
          <cell r="F566"/>
          <cell r="G566"/>
          <cell r="H566"/>
        </row>
        <row r="567">
          <cell r="F567"/>
          <cell r="G567"/>
          <cell r="H567"/>
        </row>
        <row r="568">
          <cell r="F568"/>
          <cell r="G568"/>
          <cell r="H568"/>
        </row>
        <row r="569">
          <cell r="F569"/>
          <cell r="G569"/>
          <cell r="H569"/>
        </row>
        <row r="570">
          <cell r="F570"/>
          <cell r="G570"/>
          <cell r="H570"/>
        </row>
        <row r="571">
          <cell r="F571"/>
          <cell r="G571"/>
          <cell r="H571"/>
        </row>
        <row r="572">
          <cell r="F572"/>
          <cell r="G572"/>
          <cell r="H572"/>
        </row>
        <row r="573">
          <cell r="F573"/>
          <cell r="G573"/>
          <cell r="H573"/>
        </row>
        <row r="574">
          <cell r="F574"/>
          <cell r="G574"/>
          <cell r="H574"/>
        </row>
        <row r="575">
          <cell r="F575"/>
          <cell r="G575"/>
          <cell r="H575"/>
        </row>
        <row r="576">
          <cell r="F576"/>
          <cell r="G576"/>
          <cell r="H576"/>
        </row>
        <row r="577">
          <cell r="F577"/>
          <cell r="G577"/>
          <cell r="H577"/>
        </row>
        <row r="578">
          <cell r="F578"/>
          <cell r="G578"/>
          <cell r="H578"/>
        </row>
        <row r="579">
          <cell r="F579"/>
          <cell r="G579"/>
          <cell r="H579"/>
        </row>
        <row r="580">
          <cell r="F580"/>
          <cell r="G580"/>
          <cell r="H580"/>
        </row>
        <row r="581">
          <cell r="D581"/>
          <cell r="F581"/>
          <cell r="G581"/>
          <cell r="H581"/>
          <cell r="I581"/>
        </row>
        <row r="582">
          <cell r="D582"/>
          <cell r="F582"/>
          <cell r="G582"/>
          <cell r="H582"/>
          <cell r="I582"/>
        </row>
        <row r="583">
          <cell r="F583"/>
          <cell r="G583"/>
          <cell r="H583"/>
        </row>
        <row r="584">
          <cell r="F584"/>
          <cell r="G584"/>
          <cell r="H584"/>
        </row>
        <row r="585">
          <cell r="F585"/>
          <cell r="G585"/>
          <cell r="H585"/>
        </row>
        <row r="586">
          <cell r="F586"/>
          <cell r="G586"/>
          <cell r="H586"/>
        </row>
        <row r="587">
          <cell r="F587"/>
          <cell r="G587"/>
          <cell r="H587"/>
        </row>
        <row r="588">
          <cell r="F588"/>
          <cell r="G588"/>
          <cell r="H588"/>
        </row>
        <row r="589">
          <cell r="F589"/>
          <cell r="G589"/>
          <cell r="H589"/>
        </row>
        <row r="590">
          <cell r="F590"/>
          <cell r="G590"/>
          <cell r="H590"/>
        </row>
        <row r="591">
          <cell r="F591"/>
          <cell r="G591"/>
          <cell r="H591"/>
        </row>
        <row r="592">
          <cell r="F592"/>
          <cell r="G592"/>
          <cell r="H592"/>
        </row>
        <row r="593">
          <cell r="F593"/>
          <cell r="G593"/>
          <cell r="H593"/>
        </row>
        <row r="594">
          <cell r="F594"/>
          <cell r="G594"/>
          <cell r="H594"/>
        </row>
        <row r="595">
          <cell r="F595"/>
          <cell r="G595"/>
          <cell r="H595"/>
        </row>
        <row r="596">
          <cell r="F596"/>
          <cell r="G596"/>
          <cell r="H596"/>
        </row>
        <row r="597">
          <cell r="F597"/>
          <cell r="G597"/>
          <cell r="H597"/>
        </row>
        <row r="598">
          <cell r="F598"/>
          <cell r="G598"/>
          <cell r="H598"/>
        </row>
        <row r="599">
          <cell r="F599"/>
          <cell r="G599"/>
          <cell r="H599"/>
        </row>
        <row r="600">
          <cell r="F600"/>
          <cell r="G600"/>
          <cell r="H600"/>
        </row>
        <row r="601">
          <cell r="F601"/>
          <cell r="G601"/>
          <cell r="H601"/>
        </row>
        <row r="602">
          <cell r="F602"/>
          <cell r="G602"/>
          <cell r="H602"/>
        </row>
        <row r="603">
          <cell r="F603"/>
          <cell r="G603"/>
          <cell r="H603"/>
        </row>
        <row r="604">
          <cell r="F604"/>
          <cell r="G604"/>
          <cell r="H604"/>
        </row>
        <row r="605">
          <cell r="F605"/>
          <cell r="G605"/>
          <cell r="H605"/>
        </row>
        <row r="606">
          <cell r="F606"/>
          <cell r="G606"/>
          <cell r="H606"/>
        </row>
        <row r="607">
          <cell r="F607"/>
          <cell r="G607"/>
          <cell r="H607"/>
        </row>
        <row r="608">
          <cell r="F608"/>
          <cell r="G608"/>
          <cell r="H608"/>
        </row>
        <row r="609">
          <cell r="F609"/>
          <cell r="G609"/>
          <cell r="H609"/>
        </row>
        <row r="610">
          <cell r="F610"/>
          <cell r="G610"/>
          <cell r="H610"/>
        </row>
        <row r="611">
          <cell r="F611"/>
          <cell r="G611"/>
          <cell r="H611"/>
        </row>
        <row r="612">
          <cell r="F612"/>
          <cell r="G612"/>
          <cell r="H612"/>
        </row>
        <row r="613">
          <cell r="F613"/>
          <cell r="G613"/>
          <cell r="H613"/>
        </row>
        <row r="614">
          <cell r="F614"/>
          <cell r="G614"/>
          <cell r="H614"/>
        </row>
        <row r="615">
          <cell r="F615"/>
          <cell r="G615"/>
          <cell r="H615"/>
        </row>
        <row r="616">
          <cell r="F616"/>
          <cell r="G616"/>
          <cell r="H616"/>
        </row>
        <row r="617">
          <cell r="F617"/>
          <cell r="G617"/>
          <cell r="H617"/>
        </row>
        <row r="618">
          <cell r="F618"/>
          <cell r="G618"/>
          <cell r="H618"/>
        </row>
        <row r="619">
          <cell r="F619"/>
          <cell r="G619"/>
          <cell r="H619"/>
        </row>
        <row r="620">
          <cell r="F620"/>
          <cell r="G620"/>
          <cell r="H620"/>
        </row>
        <row r="621">
          <cell r="F621"/>
          <cell r="G621"/>
          <cell r="H621"/>
        </row>
        <row r="622">
          <cell r="F622"/>
          <cell r="G622"/>
          <cell r="H622"/>
        </row>
        <row r="623">
          <cell r="F623"/>
          <cell r="G623"/>
          <cell r="H623"/>
        </row>
        <row r="624">
          <cell r="F624"/>
          <cell r="G624"/>
          <cell r="H624"/>
        </row>
        <row r="625">
          <cell r="F625"/>
          <cell r="G625"/>
          <cell r="H625"/>
        </row>
        <row r="626">
          <cell r="F626"/>
          <cell r="G626"/>
          <cell r="H626"/>
        </row>
        <row r="627">
          <cell r="F627"/>
          <cell r="G627"/>
          <cell r="H627"/>
        </row>
        <row r="628">
          <cell r="F628"/>
          <cell r="G628"/>
          <cell r="H628"/>
        </row>
        <row r="629">
          <cell r="F629"/>
          <cell r="G629"/>
          <cell r="H629"/>
        </row>
        <row r="630">
          <cell r="F630"/>
          <cell r="G630"/>
          <cell r="H630"/>
        </row>
        <row r="631">
          <cell r="F631"/>
          <cell r="G631"/>
          <cell r="H631"/>
        </row>
        <row r="632">
          <cell r="F632"/>
          <cell r="G632"/>
          <cell r="H632"/>
        </row>
        <row r="633">
          <cell r="F633"/>
          <cell r="G633"/>
          <cell r="H633"/>
        </row>
        <row r="634">
          <cell r="F634"/>
          <cell r="G634"/>
          <cell r="H634"/>
        </row>
        <row r="635">
          <cell r="F635"/>
          <cell r="G635"/>
          <cell r="H635"/>
        </row>
        <row r="636">
          <cell r="F636"/>
          <cell r="G636"/>
          <cell r="H636"/>
        </row>
        <row r="637">
          <cell r="F637"/>
          <cell r="G637"/>
          <cell r="H637"/>
        </row>
        <row r="638">
          <cell r="F638"/>
          <cell r="G638"/>
          <cell r="H638"/>
        </row>
        <row r="639">
          <cell r="F639"/>
          <cell r="G639"/>
          <cell r="H639"/>
        </row>
        <row r="640">
          <cell r="F640"/>
          <cell r="G640"/>
          <cell r="H640"/>
        </row>
        <row r="641">
          <cell r="F641"/>
          <cell r="G641"/>
          <cell r="H641" t="str">
            <v>Check</v>
          </cell>
        </row>
        <row r="642">
          <cell r="F642"/>
          <cell r="G642"/>
          <cell r="H642"/>
        </row>
        <row r="643">
          <cell r="F643"/>
          <cell r="G643"/>
          <cell r="H643"/>
        </row>
        <row r="644">
          <cell r="F644"/>
          <cell r="G644"/>
          <cell r="H644" t="str">
            <v>Check</v>
          </cell>
        </row>
        <row r="645">
          <cell r="F645"/>
          <cell r="G645"/>
          <cell r="H645"/>
        </row>
        <row r="646">
          <cell r="F646"/>
          <cell r="G646"/>
          <cell r="H646"/>
        </row>
        <row r="647">
          <cell r="F647"/>
          <cell r="G647"/>
          <cell r="H647"/>
        </row>
        <row r="648">
          <cell r="F648"/>
          <cell r="G648"/>
          <cell r="H648"/>
        </row>
        <row r="649">
          <cell r="F649"/>
          <cell r="G649"/>
          <cell r="H649"/>
        </row>
        <row r="650">
          <cell r="F650"/>
          <cell r="G650"/>
          <cell r="H650"/>
        </row>
        <row r="651">
          <cell r="F651"/>
          <cell r="G651"/>
          <cell r="H651"/>
        </row>
        <row r="652">
          <cell r="F652"/>
          <cell r="G652"/>
          <cell r="H652"/>
        </row>
        <row r="653">
          <cell r="F653"/>
          <cell r="G653"/>
          <cell r="H653"/>
        </row>
        <row r="654">
          <cell r="F654"/>
          <cell r="G654"/>
          <cell r="H654"/>
        </row>
        <row r="655">
          <cell r="F655"/>
          <cell r="G655"/>
          <cell r="H655"/>
        </row>
        <row r="656">
          <cell r="F656"/>
          <cell r="G656"/>
          <cell r="H656"/>
        </row>
        <row r="657">
          <cell r="F657"/>
          <cell r="G657"/>
          <cell r="H657"/>
        </row>
        <row r="658">
          <cell r="F658"/>
          <cell r="G658"/>
          <cell r="H658"/>
        </row>
        <row r="659">
          <cell r="F659"/>
          <cell r="G659"/>
          <cell r="H659"/>
        </row>
        <row r="660">
          <cell r="F660"/>
          <cell r="G660"/>
          <cell r="H660"/>
        </row>
        <row r="661">
          <cell r="F661"/>
          <cell r="G661"/>
          <cell r="H661"/>
        </row>
        <row r="662">
          <cell r="F662"/>
          <cell r="G662"/>
          <cell r="H662"/>
        </row>
        <row r="663">
          <cell r="F663"/>
          <cell r="G663"/>
          <cell r="H663"/>
        </row>
        <row r="664">
          <cell r="F664"/>
          <cell r="G664"/>
          <cell r="H664"/>
        </row>
        <row r="665">
          <cell r="F665"/>
          <cell r="G665"/>
          <cell r="H665"/>
        </row>
        <row r="666">
          <cell r="F666"/>
          <cell r="G666"/>
          <cell r="H666"/>
        </row>
        <row r="667">
          <cell r="F667"/>
          <cell r="G667"/>
          <cell r="H667"/>
        </row>
        <row r="668">
          <cell r="F668"/>
          <cell r="G668"/>
          <cell r="H668"/>
        </row>
        <row r="669">
          <cell r="F669"/>
          <cell r="G669"/>
          <cell r="H669"/>
        </row>
        <row r="670">
          <cell r="F670"/>
          <cell r="G670"/>
          <cell r="H670"/>
        </row>
        <row r="671">
          <cell r="F671"/>
          <cell r="G671"/>
          <cell r="H671"/>
        </row>
        <row r="672">
          <cell r="F672"/>
          <cell r="G672"/>
          <cell r="H672"/>
        </row>
        <row r="673">
          <cell r="F673"/>
          <cell r="G673"/>
          <cell r="H673"/>
        </row>
        <row r="674">
          <cell r="F674"/>
          <cell r="G674"/>
          <cell r="H674"/>
        </row>
        <row r="675">
          <cell r="F675"/>
          <cell r="G675"/>
          <cell r="H675"/>
        </row>
        <row r="676">
          <cell r="F676"/>
          <cell r="G676"/>
          <cell r="H676"/>
        </row>
        <row r="677">
          <cell r="F677"/>
          <cell r="G677"/>
          <cell r="H677"/>
        </row>
        <row r="678">
          <cell r="F678"/>
          <cell r="G678"/>
          <cell r="H678"/>
        </row>
        <row r="679">
          <cell r="F679"/>
          <cell r="G679"/>
          <cell r="H679"/>
        </row>
        <row r="680">
          <cell r="F680"/>
          <cell r="G680"/>
          <cell r="H680"/>
        </row>
        <row r="681">
          <cell r="F681"/>
          <cell r="G681"/>
          <cell r="H681"/>
        </row>
        <row r="682">
          <cell r="F682"/>
          <cell r="G682"/>
          <cell r="H682"/>
        </row>
        <row r="683">
          <cell r="F683"/>
          <cell r="G683"/>
          <cell r="H683"/>
        </row>
        <row r="684">
          <cell r="F684"/>
          <cell r="G684"/>
          <cell r="H684"/>
        </row>
        <row r="685">
          <cell r="F685"/>
          <cell r="G685"/>
          <cell r="H685"/>
        </row>
        <row r="686">
          <cell r="F686"/>
          <cell r="G686"/>
          <cell r="H686"/>
        </row>
        <row r="687">
          <cell r="F687"/>
          <cell r="G687"/>
          <cell r="H687"/>
        </row>
        <row r="688">
          <cell r="F688"/>
          <cell r="G688"/>
          <cell r="H688"/>
        </row>
        <row r="689">
          <cell r="F689"/>
          <cell r="G689"/>
          <cell r="H689"/>
        </row>
        <row r="690">
          <cell r="F690"/>
          <cell r="G690"/>
          <cell r="H690"/>
        </row>
        <row r="691">
          <cell r="F691"/>
          <cell r="G691"/>
          <cell r="H691"/>
        </row>
        <row r="692">
          <cell r="F692"/>
          <cell r="G692"/>
          <cell r="H692"/>
        </row>
        <row r="693">
          <cell r="F693"/>
          <cell r="G693"/>
          <cell r="H693"/>
        </row>
        <row r="694">
          <cell r="F694"/>
          <cell r="G694"/>
          <cell r="H694"/>
        </row>
        <row r="695">
          <cell r="F695"/>
          <cell r="G695"/>
          <cell r="H695"/>
        </row>
        <row r="696">
          <cell r="F696"/>
          <cell r="G696"/>
          <cell r="H696"/>
        </row>
        <row r="697">
          <cell r="F697"/>
          <cell r="G697"/>
          <cell r="H697"/>
        </row>
        <row r="698">
          <cell r="F698"/>
          <cell r="G698"/>
          <cell r="H698"/>
        </row>
        <row r="699">
          <cell r="F699"/>
          <cell r="G699"/>
          <cell r="H699"/>
        </row>
        <row r="700">
          <cell r="F700"/>
          <cell r="G700"/>
          <cell r="H700"/>
        </row>
        <row r="701">
          <cell r="F701"/>
          <cell r="G701"/>
          <cell r="H701"/>
        </row>
        <row r="702">
          <cell r="F702"/>
          <cell r="G702"/>
          <cell r="H702"/>
        </row>
        <row r="703">
          <cell r="F703"/>
          <cell r="G703"/>
          <cell r="H703"/>
        </row>
        <row r="704">
          <cell r="F704"/>
          <cell r="G704"/>
          <cell r="H704"/>
        </row>
        <row r="705">
          <cell r="F705"/>
          <cell r="G705"/>
          <cell r="H705"/>
        </row>
        <row r="706">
          <cell r="F706"/>
          <cell r="G706"/>
          <cell r="H706"/>
        </row>
        <row r="707">
          <cell r="F707"/>
          <cell r="G707"/>
          <cell r="H707"/>
        </row>
        <row r="708">
          <cell r="F708"/>
          <cell r="G708"/>
          <cell r="H708"/>
        </row>
        <row r="709">
          <cell r="F709"/>
          <cell r="G709"/>
          <cell r="H709"/>
        </row>
        <row r="710">
          <cell r="F710"/>
          <cell r="G710"/>
          <cell r="H710"/>
        </row>
        <row r="711">
          <cell r="F711"/>
          <cell r="G711"/>
          <cell r="H711"/>
        </row>
        <row r="712">
          <cell r="F712"/>
          <cell r="G712"/>
          <cell r="H712"/>
        </row>
        <row r="713">
          <cell r="F713"/>
          <cell r="G713"/>
          <cell r="H713"/>
        </row>
        <row r="714">
          <cell r="F714"/>
          <cell r="G714"/>
          <cell r="H714"/>
        </row>
        <row r="715">
          <cell r="F715"/>
          <cell r="G715"/>
          <cell r="H715"/>
        </row>
        <row r="716">
          <cell r="F716"/>
          <cell r="G716"/>
          <cell r="H716"/>
        </row>
        <row r="717">
          <cell r="F717"/>
          <cell r="G717"/>
          <cell r="H717"/>
        </row>
        <row r="718">
          <cell r="F718"/>
          <cell r="G718"/>
          <cell r="H718"/>
        </row>
        <row r="719">
          <cell r="F719"/>
          <cell r="G719"/>
          <cell r="H719"/>
        </row>
        <row r="720">
          <cell r="F720"/>
          <cell r="G720"/>
          <cell r="H720"/>
        </row>
        <row r="721">
          <cell r="F721"/>
          <cell r="G721"/>
          <cell r="H721"/>
        </row>
        <row r="722">
          <cell r="F722"/>
          <cell r="G722"/>
          <cell r="H722"/>
        </row>
        <row r="723">
          <cell r="F723"/>
          <cell r="G723"/>
          <cell r="H723"/>
        </row>
        <row r="724">
          <cell r="F724"/>
          <cell r="G724"/>
          <cell r="H724"/>
        </row>
        <row r="725">
          <cell r="F725"/>
          <cell r="G725"/>
          <cell r="H725"/>
        </row>
        <row r="726">
          <cell r="F726"/>
          <cell r="G726"/>
          <cell r="H726"/>
        </row>
        <row r="727">
          <cell r="F727"/>
          <cell r="G727"/>
          <cell r="H727"/>
        </row>
        <row r="728">
          <cell r="F728"/>
          <cell r="G728"/>
          <cell r="H728"/>
        </row>
        <row r="729">
          <cell r="F729"/>
          <cell r="G729"/>
          <cell r="H729"/>
        </row>
        <row r="730">
          <cell r="F730"/>
          <cell r="G730"/>
          <cell r="H730"/>
        </row>
        <row r="731">
          <cell r="F731"/>
          <cell r="G731"/>
          <cell r="H731"/>
        </row>
        <row r="732">
          <cell r="F732"/>
          <cell r="G732"/>
          <cell r="H732"/>
        </row>
        <row r="733">
          <cell r="F733"/>
          <cell r="G733"/>
          <cell r="H733"/>
        </row>
        <row r="734">
          <cell r="F734"/>
          <cell r="G734"/>
          <cell r="H734"/>
        </row>
        <row r="735">
          <cell r="F735"/>
          <cell r="G735"/>
          <cell r="H735"/>
        </row>
        <row r="736">
          <cell r="F736"/>
          <cell r="G736"/>
          <cell r="H736"/>
        </row>
        <row r="737">
          <cell r="F737"/>
          <cell r="G737"/>
          <cell r="H737"/>
        </row>
        <row r="738">
          <cell r="F738"/>
          <cell r="G738"/>
          <cell r="H738"/>
        </row>
        <row r="739">
          <cell r="F739"/>
          <cell r="G739"/>
          <cell r="H739"/>
        </row>
        <row r="740">
          <cell r="F740"/>
          <cell r="G740"/>
          <cell r="H740"/>
        </row>
        <row r="741">
          <cell r="F741"/>
          <cell r="G741"/>
          <cell r="H741"/>
        </row>
        <row r="742">
          <cell r="F742"/>
          <cell r="G742"/>
          <cell r="H742"/>
        </row>
        <row r="743">
          <cell r="F743"/>
          <cell r="G743"/>
          <cell r="H743"/>
        </row>
        <row r="744">
          <cell r="G744"/>
        </row>
        <row r="745">
          <cell r="G745"/>
        </row>
        <row r="746">
          <cell r="G746"/>
        </row>
        <row r="747">
          <cell r="G747"/>
        </row>
        <row r="749">
          <cell r="G749"/>
        </row>
        <row r="750">
          <cell r="G750"/>
        </row>
        <row r="751">
          <cell r="G751"/>
        </row>
        <row r="752">
          <cell r="G752"/>
        </row>
        <row r="753">
          <cell r="G753"/>
        </row>
        <row r="754">
          <cell r="G754"/>
        </row>
      </sheetData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Q64"/>
  <sheetViews>
    <sheetView topLeftCell="B29" zoomScale="56" zoomScaleNormal="56" workbookViewId="0">
      <selection activeCell="I36" sqref="I36"/>
    </sheetView>
  </sheetViews>
  <sheetFormatPr baseColWidth="8" defaultColWidth="9.109375" defaultRowHeight="13.8"/>
  <cols>
    <col width="2.109375" customWidth="1" style="58" min="1" max="1"/>
    <col width="7.21875" customWidth="1" style="58" min="2" max="2"/>
    <col width="31.44140625" customWidth="1" style="60" min="3" max="3"/>
    <col width="31.44140625" customWidth="1" style="61" min="4" max="4"/>
    <col width="6.88671875" customWidth="1" style="58" min="5" max="5"/>
    <col width="31.44140625" customWidth="1" style="59" min="6" max="6"/>
    <col width="31.44140625" customWidth="1" style="58" min="7" max="7"/>
    <col width="7.21875" customWidth="1" style="59" min="8" max="8"/>
    <col width="31.44140625" customWidth="1" style="59" min="9" max="9"/>
    <col width="31.44140625" customWidth="1" style="58" min="10" max="10"/>
    <col width="7.44140625" customWidth="1" style="58" min="11" max="11"/>
    <col width="31.44140625" customWidth="1" style="58" min="12" max="15"/>
    <col width="9.109375" customWidth="1" style="58" min="16" max="16384"/>
  </cols>
  <sheetData>
    <row r="1" ht="26.4" customHeight="1">
      <c r="B1" s="278" t="inlineStr">
        <is>
          <t>CÔNG TY: HSS</t>
        </is>
      </c>
      <c r="E1" s="204" t="n"/>
      <c r="F1" s="205" t="n"/>
      <c r="G1" s="204" t="n"/>
      <c r="H1" s="205" t="n"/>
      <c r="I1" s="205" t="n"/>
      <c r="J1" s="204" t="n"/>
      <c r="K1" s="204" t="n"/>
      <c r="L1" s="204" t="n"/>
      <c r="M1" s="204" t="n"/>
    </row>
    <row r="2" ht="26.4" customHeight="1">
      <c r="B2" s="279" t="inlineStr">
        <is>
          <t>THỰC ĐƠN SUẤT ĂN CA CÔNG NHÂN</t>
        </is>
      </c>
      <c r="K2" s="204" t="n"/>
      <c r="L2" s="204" t="n"/>
      <c r="M2" s="206" t="n"/>
      <c r="N2" s="84" t="n"/>
      <c r="O2" s="84" t="n"/>
      <c r="P2" s="84" t="n"/>
      <c r="Q2" s="84" t="n"/>
    </row>
    <row r="3" ht="26.4" customHeight="1">
      <c r="B3" s="280" t="inlineStr">
        <is>
          <t>Dự án:</t>
        </is>
      </c>
      <c r="K3" s="204" t="n"/>
      <c r="L3" s="204" t="n"/>
      <c r="M3" s="206" t="n"/>
      <c r="N3" s="84" t="n"/>
      <c r="O3" s="84" t="n"/>
      <c r="P3" s="84" t="n"/>
      <c r="Q3" s="84" t="n"/>
    </row>
    <row r="4" ht="26.4" customHeight="1">
      <c r="B4" s="281" t="inlineStr">
        <is>
          <t>(TỪ 17/08/2026 đến 23/08/2026)</t>
        </is>
      </c>
      <c r="K4" s="204" t="n"/>
      <c r="L4" s="204" t="n"/>
      <c r="M4" s="206" t="n"/>
      <c r="N4" s="84" t="n"/>
      <c r="O4" s="84" t="n"/>
      <c r="P4" s="84" t="n"/>
      <c r="Q4" s="84" t="n"/>
    </row>
    <row r="5" ht="26.4" customHeight="1">
      <c r="B5" s="340" t="inlineStr">
        <is>
          <t>Thứ</t>
        </is>
      </c>
      <c r="C5" s="341" t="inlineStr">
        <is>
          <t>SÁNG</t>
        </is>
      </c>
      <c r="D5" s="342" t="n"/>
      <c r="E5" s="204" t="n"/>
      <c r="F5" s="343" t="inlineStr">
        <is>
          <t>TRƯA</t>
        </is>
      </c>
      <c r="G5" s="342" t="n"/>
      <c r="H5" s="205" t="n"/>
      <c r="I5" s="344" t="inlineStr">
        <is>
          <t>TỐI</t>
        </is>
      </c>
      <c r="J5" s="342" t="n"/>
      <c r="K5" s="204" t="n"/>
      <c r="L5" s="345" t="inlineStr">
        <is>
          <t>ĐÊM</t>
        </is>
      </c>
      <c r="M5" s="342" t="n"/>
      <c r="N5" s="84" t="n"/>
      <c r="O5" s="84" t="n"/>
      <c r="P5" s="84" t="n"/>
      <c r="Q5" s="84" t="n"/>
    </row>
    <row r="6" ht="26.4" customHeight="1">
      <c r="B6" s="346" t="n"/>
      <c r="C6" s="208" t="inlineStr">
        <is>
          <t>Món</t>
        </is>
      </c>
      <c r="D6" s="208" t="inlineStr">
        <is>
          <t>Trọng lượng 
thành phẩm</t>
        </is>
      </c>
      <c r="E6" s="204" t="n"/>
      <c r="F6" s="209" t="inlineStr">
        <is>
          <t>Món</t>
        </is>
      </c>
      <c r="G6" s="209" t="inlineStr">
        <is>
          <t>Trọng lượng 
thành phẩm</t>
        </is>
      </c>
      <c r="H6" s="205" t="n"/>
      <c r="I6" s="210" t="inlineStr">
        <is>
          <t>Món</t>
        </is>
      </c>
      <c r="J6" s="210" t="inlineStr">
        <is>
          <t>Trọng lượng 
thành phẩm</t>
        </is>
      </c>
      <c r="K6" s="204" t="n"/>
      <c r="L6" s="211" t="inlineStr">
        <is>
          <t>Món</t>
        </is>
      </c>
      <c r="M6" s="211" t="inlineStr">
        <is>
          <t>Trọng lượng 
thành phẩm</t>
        </is>
      </c>
      <c r="N6" s="84" t="n"/>
      <c r="O6" s="84" t="n"/>
      <c r="P6" s="84" t="n"/>
      <c r="Q6" s="84" t="n"/>
    </row>
    <row r="7" ht="26.4" customHeight="1">
      <c r="B7" s="347" t="inlineStr">
        <is>
          <t>Thứ 2</t>
        </is>
      </c>
      <c r="C7" s="212" t="inlineStr">
        <is>
          <t>Bánh bao</t>
        </is>
      </c>
      <c r="D7" s="213" t="inlineStr">
        <is>
          <t>160g-180g</t>
        </is>
      </c>
      <c r="E7" s="204" t="n"/>
      <c r="F7" s="214" t="inlineStr">
        <is>
          <t>Thịt xào hành tây</t>
        </is>
      </c>
      <c r="G7" s="258" t="inlineStr">
        <is>
          <t>Thịt 50g + hành tây 10g</t>
        </is>
      </c>
      <c r="H7" s="205" t="n"/>
      <c r="I7" s="216" t="inlineStr">
        <is>
          <t>Gà kho nghệ</t>
        </is>
      </c>
      <c r="J7" s="217" t="inlineStr">
        <is>
          <t xml:space="preserve">60g-80g
</t>
        </is>
      </c>
      <c r="K7" s="204" t="n"/>
      <c r="L7" s="348" t="inlineStr">
        <is>
          <t>Bún riêu cua cá</t>
        </is>
      </c>
      <c r="M7" s="342" t="n"/>
      <c r="N7" s="84" t="n"/>
      <c r="O7" s="84" t="n"/>
      <c r="P7" s="84" t="n"/>
      <c r="Q7" s="84" t="n"/>
    </row>
    <row r="8" ht="26.4" customHeight="1">
      <c r="B8" s="349" t="n"/>
      <c r="C8" s="213" t="inlineStr">
        <is>
          <t>Trứng luộc</t>
        </is>
      </c>
      <c r="D8" s="213" t="inlineStr">
        <is>
          <t>1 quả</t>
        </is>
      </c>
      <c r="E8" s="204" t="n"/>
      <c r="F8" s="218" t="inlineStr">
        <is>
          <t>Tôm rang lá chanh</t>
        </is>
      </c>
      <c r="G8" s="215" t="inlineStr">
        <is>
          <t>30g-35g</t>
        </is>
      </c>
      <c r="H8" s="205" t="n"/>
      <c r="I8" s="219" t="inlineStr">
        <is>
          <t>Thăn cá chiên xù</t>
        </is>
      </c>
      <c r="J8" s="217" t="inlineStr">
        <is>
          <t xml:space="preserve">50g-60g
</t>
        </is>
      </c>
      <c r="K8" s="204" t="n"/>
      <c r="L8" s="220" t="inlineStr">
        <is>
          <t>Bún tươi</t>
        </is>
      </c>
      <c r="M8" s="220" t="inlineStr">
        <is>
          <t>230g-250g</t>
        </is>
      </c>
    </row>
    <row r="9" ht="26.4" customHeight="1">
      <c r="B9" s="349" t="n"/>
      <c r="C9" s="213" t="inlineStr">
        <is>
          <t>Sữa fami</t>
        </is>
      </c>
      <c r="D9" s="213" t="inlineStr">
        <is>
          <t>180ml</t>
        </is>
      </c>
      <c r="E9" s="204" t="n"/>
      <c r="F9" s="221" t="inlineStr">
        <is>
          <t>Trứng cút rim tiêu</t>
        </is>
      </c>
      <c r="G9" s="215" t="inlineStr">
        <is>
          <t>4 quả</t>
        </is>
      </c>
      <c r="H9" s="205" t="n"/>
      <c r="I9" s="219" t="inlineStr">
        <is>
          <t>Chuối om thịt</t>
        </is>
      </c>
      <c r="J9" s="217" t="inlineStr">
        <is>
          <t xml:space="preserve">60g-70g
</t>
        </is>
      </c>
      <c r="K9" s="204" t="n"/>
      <c r="L9" s="220" t="inlineStr">
        <is>
          <t>Cá chiên</t>
        </is>
      </c>
      <c r="M9" s="220" t="inlineStr">
        <is>
          <t>40g-45g</t>
        </is>
      </c>
    </row>
    <row r="10" ht="26.4" customHeight="1">
      <c r="B10" s="349" t="n"/>
      <c r="C10" s="213" t="n"/>
      <c r="D10" s="213" t="n"/>
      <c r="E10" s="204" t="n"/>
      <c r="F10" s="223" t="inlineStr">
        <is>
          <t>Bắp cải luộc</t>
        </is>
      </c>
      <c r="G10" s="215" t="inlineStr">
        <is>
          <t>75g-80g</t>
        </is>
      </c>
      <c r="H10" s="205" t="n"/>
      <c r="I10" s="219" t="inlineStr">
        <is>
          <t>Rau muống luộc</t>
        </is>
      </c>
      <c r="J10" s="222" t="inlineStr">
        <is>
          <t>75g-80g</t>
        </is>
      </c>
      <c r="K10" s="204" t="n"/>
      <c r="L10" s="220" t="inlineStr">
        <is>
          <t>Sữa izzi</t>
        </is>
      </c>
      <c r="M10" s="220" t="inlineStr">
        <is>
          <t>180ml</t>
        </is>
      </c>
    </row>
    <row r="11" ht="26.4" customHeight="1">
      <c r="B11" s="349" t="n"/>
      <c r="C11" s="213" t="n"/>
      <c r="D11" s="213" t="n"/>
      <c r="E11" s="204" t="n"/>
      <c r="F11" s="223" t="inlineStr">
        <is>
          <t>Cơm trắng</t>
        </is>
      </c>
      <c r="G11" s="215" t="inlineStr">
        <is>
          <t>200-250gr</t>
        </is>
      </c>
      <c r="H11" s="205" t="n"/>
      <c r="I11" s="219" t="inlineStr">
        <is>
          <t>Cơm trắng</t>
        </is>
      </c>
      <c r="J11" s="222" t="inlineStr">
        <is>
          <t>200-250gr</t>
        </is>
      </c>
      <c r="K11" s="204" t="n"/>
      <c r="L11" s="220" t="n"/>
      <c r="M11" s="220" t="n"/>
    </row>
    <row r="12" ht="26.4" customHeight="1">
      <c r="B12" s="349" t="n"/>
      <c r="C12" s="213" t="n"/>
      <c r="D12" s="213" t="n"/>
      <c r="E12" s="204" t="n"/>
      <c r="F12" s="223" t="inlineStr">
        <is>
          <t>Canh rau ngót</t>
        </is>
      </c>
      <c r="G12" s="215" t="inlineStr">
        <is>
          <t>300-350gr</t>
        </is>
      </c>
      <c r="H12" s="205" t="n"/>
      <c r="I12" s="219" t="inlineStr">
        <is>
          <t>Nước luộc dầm chua</t>
        </is>
      </c>
      <c r="J12" s="222" t="inlineStr">
        <is>
          <t>300-350gr</t>
        </is>
      </c>
      <c r="K12" s="204" t="n"/>
      <c r="L12" s="220" t="n"/>
      <c r="M12" s="220" t="n"/>
    </row>
    <row r="13" ht="26.4" customHeight="1">
      <c r="B13" s="346" t="n"/>
      <c r="C13" s="213" t="n"/>
      <c r="D13" s="213" t="n"/>
      <c r="E13" s="204" t="n"/>
      <c r="F13" s="223" t="inlineStr">
        <is>
          <t>Ổi</t>
        </is>
      </c>
      <c r="G13" s="215" t="inlineStr">
        <is>
          <t>80g</t>
        </is>
      </c>
      <c r="H13" s="205" t="n"/>
      <c r="I13" s="219" t="inlineStr">
        <is>
          <t>Thanh long</t>
        </is>
      </c>
      <c r="J13" s="222" t="inlineStr">
        <is>
          <t>80g</t>
        </is>
      </c>
      <c r="K13" s="204" t="n"/>
      <c r="L13" s="220" t="n"/>
      <c r="M13" s="220" t="n"/>
    </row>
    <row r="14" ht="26.4" customHeight="1">
      <c r="B14" s="204" t="n"/>
      <c r="C14" s="281" t="n"/>
      <c r="D14" s="281" t="n"/>
      <c r="E14" s="204" t="n"/>
      <c r="F14" s="224" t="n"/>
      <c r="G14" s="225" t="n"/>
      <c r="H14" s="205" t="n"/>
      <c r="I14" s="224" t="n"/>
      <c r="J14" s="225" t="n"/>
      <c r="K14" s="204" t="n"/>
      <c r="L14" s="226" t="n"/>
      <c r="M14" s="226" t="n"/>
    </row>
    <row r="15" ht="26.4" customHeight="1">
      <c r="B15" s="347" t="inlineStr">
        <is>
          <t>Thứ 3</t>
        </is>
      </c>
      <c r="C15" s="213" t="inlineStr">
        <is>
          <t>Cháo ngao</t>
        </is>
      </c>
      <c r="D15" s="213" t="inlineStr">
        <is>
          <t>200-230g</t>
        </is>
      </c>
      <c r="E15" s="204" t="n"/>
      <c r="F15" s="221" t="inlineStr">
        <is>
          <t>Bò nấu sốt vang</t>
        </is>
      </c>
      <c r="G15" s="258" t="inlineStr">
        <is>
          <t>Bò 40g-45g+ khoai 20g</t>
        </is>
      </c>
      <c r="H15" s="205" t="n"/>
      <c r="I15" s="219" t="inlineStr">
        <is>
          <t>Cá sốt cà chua</t>
        </is>
      </c>
      <c r="J15" s="222" t="inlineStr">
        <is>
          <t>80g-100g</t>
        </is>
      </c>
      <c r="K15" s="204" t="n"/>
      <c r="L15" s="348" t="inlineStr">
        <is>
          <t>Xôi gà đỗ xanh</t>
        </is>
      </c>
      <c r="M15" s="342" t="n"/>
    </row>
    <row r="16" ht="26.4" customHeight="1">
      <c r="B16" s="349" t="n"/>
      <c r="C16" s="213" t="inlineStr">
        <is>
          <t>Trứng vịt lộn</t>
        </is>
      </c>
      <c r="D16" s="213" t="inlineStr">
        <is>
          <t>1 quả</t>
        </is>
      </c>
      <c r="E16" s="204" t="n"/>
      <c r="F16" s="221" t="inlineStr">
        <is>
          <t>Ức gà xào hành nấm</t>
        </is>
      </c>
      <c r="G16" s="215" t="inlineStr">
        <is>
          <t>Ức gà 50g+ hành nấm 15g</t>
        </is>
      </c>
      <c r="H16" s="205" t="n"/>
      <c r="I16" s="216" t="inlineStr">
        <is>
          <t>Tim xào dưa</t>
        </is>
      </c>
      <c r="J16" s="222" t="inlineStr">
        <is>
          <t>Tim 40g + dưa 20g</t>
        </is>
      </c>
      <c r="K16" s="281" t="n"/>
      <c r="L16" s="220" t="inlineStr">
        <is>
          <t>Gà xé</t>
        </is>
      </c>
      <c r="M16" s="220" t="inlineStr">
        <is>
          <t>40g-45g</t>
        </is>
      </c>
    </row>
    <row r="17" ht="26.4" customHeight="1">
      <c r="B17" s="349" t="n"/>
      <c r="C17" s="213" t="inlineStr">
        <is>
          <t>Quẩy</t>
        </is>
      </c>
      <c r="D17" s="213" t="inlineStr">
        <is>
          <t>1 cái</t>
        </is>
      </c>
      <c r="E17" s="204" t="n"/>
      <c r="F17" s="223" t="inlineStr">
        <is>
          <t>Đậu sốt cà chua</t>
        </is>
      </c>
      <c r="G17" s="215" t="inlineStr">
        <is>
          <t>40g-50g</t>
        </is>
      </c>
      <c r="H17" s="205" t="n"/>
      <c r="I17" s="216" t="inlineStr">
        <is>
          <t>Lạc chao</t>
        </is>
      </c>
      <c r="J17" s="222" t="inlineStr">
        <is>
          <t>20g-30g</t>
        </is>
      </c>
      <c r="K17" s="204" t="n"/>
      <c r="L17" s="220" t="inlineStr">
        <is>
          <t>Sữa fami</t>
        </is>
      </c>
      <c r="M17" s="220" t="inlineStr">
        <is>
          <t>180ml</t>
        </is>
      </c>
    </row>
    <row r="18" ht="26.4" customHeight="1">
      <c r="B18" s="349" t="n"/>
      <c r="C18" s="213" t="n"/>
      <c r="D18" s="213" t="n"/>
      <c r="E18" s="204" t="n"/>
      <c r="F18" s="223" t="inlineStr">
        <is>
          <t>Đỗ cove luộc</t>
        </is>
      </c>
      <c r="G18" s="215" t="inlineStr">
        <is>
          <t>75g-80g</t>
        </is>
      </c>
      <c r="H18" s="205" t="n"/>
      <c r="I18" s="219" t="inlineStr">
        <is>
          <t>Bí xanh luộc</t>
        </is>
      </c>
      <c r="J18" s="222" t="inlineStr">
        <is>
          <t>75g-80g</t>
        </is>
      </c>
      <c r="K18" s="204" t="n"/>
      <c r="L18" s="220" t="n"/>
      <c r="M18" s="220" t="n"/>
    </row>
    <row r="19" ht="26.4" customHeight="1">
      <c r="B19" s="349" t="n"/>
      <c r="C19" s="213" t="n"/>
      <c r="D19" s="213" t="n"/>
      <c r="E19" s="204" t="n"/>
      <c r="F19" s="223" t="inlineStr">
        <is>
          <t>Cơm trắng</t>
        </is>
      </c>
      <c r="G19" s="215" t="inlineStr">
        <is>
          <t>200-250gr</t>
        </is>
      </c>
      <c r="H19" s="205" t="n"/>
      <c r="I19" s="219" t="inlineStr">
        <is>
          <t>Cơm trắng</t>
        </is>
      </c>
      <c r="J19" s="222" t="inlineStr">
        <is>
          <t>200-250gr</t>
        </is>
      </c>
      <c r="K19" s="204" t="n"/>
      <c r="L19" s="220" t="n"/>
      <c r="M19" s="220" t="n"/>
    </row>
    <row r="20" ht="26.4" customHeight="1">
      <c r="B20" s="349" t="n"/>
      <c r="C20" s="213" t="n"/>
      <c r="D20" s="213" t="n"/>
      <c r="E20" s="204" t="n"/>
      <c r="F20" s="223" t="inlineStr">
        <is>
          <t>Canh rau dền</t>
        </is>
      </c>
      <c r="G20" s="215" t="inlineStr">
        <is>
          <t>300-350gr</t>
        </is>
      </c>
      <c r="H20" s="205" t="n"/>
      <c r="I20" s="219" t="inlineStr">
        <is>
          <t>Canh cải xanh</t>
        </is>
      </c>
      <c r="J20" s="222" t="inlineStr">
        <is>
          <t>300-350gr</t>
        </is>
      </c>
      <c r="K20" s="204" t="n"/>
      <c r="L20" s="220" t="n"/>
      <c r="M20" s="220" t="n"/>
    </row>
    <row r="21" ht="26.4" customHeight="1">
      <c r="B21" s="346" t="n"/>
      <c r="C21" s="213" t="n"/>
      <c r="D21" s="213" t="n"/>
      <c r="E21" s="204" t="n"/>
      <c r="F21" s="223" t="inlineStr">
        <is>
          <t>Chuối</t>
        </is>
      </c>
      <c r="G21" s="215" t="inlineStr">
        <is>
          <t>1 quả</t>
        </is>
      </c>
      <c r="H21" s="205" t="n"/>
      <c r="I21" s="219" t="inlineStr">
        <is>
          <t>Dưa hấu</t>
        </is>
      </c>
      <c r="J21" s="222" t="inlineStr">
        <is>
          <t>80g</t>
        </is>
      </c>
      <c r="K21" s="204" t="n"/>
      <c r="L21" s="220" t="n"/>
      <c r="M21" s="220" t="n"/>
    </row>
    <row r="22" ht="26.4" customHeight="1">
      <c r="B22" s="204" t="n"/>
      <c r="C22" s="281" t="n"/>
      <c r="D22" s="281" t="n"/>
      <c r="E22" s="204" t="n"/>
      <c r="F22" s="224" t="n"/>
      <c r="G22" s="225" t="n"/>
      <c r="H22" s="205" t="n"/>
      <c r="I22" s="224" t="n"/>
      <c r="J22" s="225" t="n"/>
      <c r="K22" s="204" t="n"/>
      <c r="L22" s="227" t="n"/>
      <c r="M22" s="227" t="n"/>
      <c r="N22" s="79" t="n"/>
      <c r="O22" s="91" t="n"/>
    </row>
    <row r="23" ht="26.4" customHeight="1">
      <c r="B23" s="347" t="inlineStr">
        <is>
          <t>Thứ 4</t>
        </is>
      </c>
      <c r="C23" s="213" t="inlineStr">
        <is>
          <t>Bún chấm</t>
        </is>
      </c>
      <c r="D23" s="213" t="inlineStr">
        <is>
          <t>200g-230g</t>
        </is>
      </c>
      <c r="E23" s="204" t="n"/>
      <c r="F23" s="223" t="inlineStr">
        <is>
          <t>Gà chiên mắm</t>
        </is>
      </c>
      <c r="G23" s="215" t="inlineStr">
        <is>
          <t>60g-80g</t>
        </is>
      </c>
      <c r="H23" s="205" t="n"/>
      <c r="I23" s="219" t="inlineStr">
        <is>
          <t>Sườn chua ngọt</t>
        </is>
      </c>
      <c r="J23" s="222" t="inlineStr">
        <is>
          <t>60g-80g</t>
        </is>
      </c>
      <c r="K23" s="281" t="n"/>
      <c r="L23" s="348" t="inlineStr">
        <is>
          <t>Cháo Sườn ngô</t>
        </is>
      </c>
      <c r="M23" s="342" t="n"/>
    </row>
    <row r="24" ht="26.4" customHeight="1">
      <c r="B24" s="349" t="n"/>
      <c r="C24" s="213" t="inlineStr">
        <is>
          <t>Thịt nướng</t>
        </is>
      </c>
      <c r="D24" s="213" t="inlineStr">
        <is>
          <t>25g-30g</t>
        </is>
      </c>
      <c r="E24" s="204" t="n"/>
      <c r="F24" s="223" t="inlineStr">
        <is>
          <t>Tôm rim me</t>
        </is>
      </c>
      <c r="G24" s="215" t="inlineStr">
        <is>
          <t>30g-35g</t>
        </is>
      </c>
      <c r="H24" s="205" t="n"/>
      <c r="I24" s="219" t="inlineStr">
        <is>
          <t>Trứng đúc thịt</t>
        </is>
      </c>
      <c r="J24" s="222" t="inlineStr">
        <is>
          <t>50g-60g</t>
        </is>
      </c>
      <c r="K24" s="204" t="n"/>
      <c r="L24" s="220" t="inlineStr">
        <is>
          <t>Sườn</t>
        </is>
      </c>
      <c r="M24" s="220" t="inlineStr">
        <is>
          <t>60g</t>
        </is>
      </c>
    </row>
    <row r="25" ht="26.4" customHeight="1">
      <c r="B25" s="349" t="n"/>
      <c r="C25" s="213" t="n"/>
      <c r="D25" s="213" t="n"/>
      <c r="E25" s="204" t="n"/>
      <c r="F25" s="223" t="inlineStr">
        <is>
          <t>Mướp đắng xào trứng</t>
        </is>
      </c>
      <c r="G25" s="215" t="inlineStr">
        <is>
          <t>60g</t>
        </is>
      </c>
      <c r="H25" s="205" t="n"/>
      <c r="I25" s="219" t="inlineStr">
        <is>
          <t>Đậu om cà</t>
        </is>
      </c>
      <c r="J25" s="222" t="inlineStr">
        <is>
          <t>60g</t>
        </is>
      </c>
      <c r="K25" s="204" t="n"/>
      <c r="L25" s="220" t="inlineStr">
        <is>
          <t>Ngô ngọt</t>
        </is>
      </c>
      <c r="M25" s="220" t="inlineStr">
        <is>
          <t>20g-25g</t>
        </is>
      </c>
    </row>
    <row r="26" ht="26.4" customHeight="1">
      <c r="B26" s="349" t="n"/>
      <c r="C26" s="213" t="n"/>
      <c r="D26" s="213" t="n"/>
      <c r="E26" s="204" t="n"/>
      <c r="F26" s="223" t="inlineStr">
        <is>
          <t>Rau muống luộc</t>
        </is>
      </c>
      <c r="G26" s="215" t="inlineStr">
        <is>
          <t>75g-80g</t>
        </is>
      </c>
      <c r="H26" s="205" t="n"/>
      <c r="I26" s="219" t="inlineStr">
        <is>
          <t>Củ cải luộc</t>
        </is>
      </c>
      <c r="J26" s="222" t="inlineStr">
        <is>
          <t>75g-80g</t>
        </is>
      </c>
      <c r="K26" s="204" t="n"/>
      <c r="L26" s="220" t="inlineStr">
        <is>
          <t>Sữa tươi ba vì</t>
        </is>
      </c>
      <c r="M26" s="220" t="inlineStr">
        <is>
          <t>110ml</t>
        </is>
      </c>
    </row>
    <row r="27" ht="26.4" customHeight="1">
      <c r="B27" s="349" t="n"/>
      <c r="C27" s="213" t="n"/>
      <c r="D27" s="213" t="n"/>
      <c r="E27" s="204" t="n"/>
      <c r="F27" s="223" t="inlineStr">
        <is>
          <t>Cơm trắng</t>
        </is>
      </c>
      <c r="G27" s="215" t="inlineStr">
        <is>
          <t>200-250gr</t>
        </is>
      </c>
      <c r="H27" s="205" t="n"/>
      <c r="I27" s="219" t="inlineStr">
        <is>
          <t>Cơm trắng</t>
        </is>
      </c>
      <c r="J27" s="222" t="inlineStr">
        <is>
          <t>200-250gr</t>
        </is>
      </c>
      <c r="K27" s="204" t="n"/>
      <c r="L27" s="220" t="n"/>
      <c r="M27" s="220" t="n"/>
    </row>
    <row r="28" ht="26.4" customHeight="1">
      <c r="B28" s="349" t="n"/>
      <c r="C28" s="213" t="n"/>
      <c r="D28" s="213" t="n"/>
      <c r="E28" s="204" t="n"/>
      <c r="F28" s="223" t="inlineStr">
        <is>
          <t>Nước luộc dầm chua</t>
        </is>
      </c>
      <c r="G28" s="215" t="inlineStr">
        <is>
          <t>300-350gr</t>
        </is>
      </c>
      <c r="H28" s="205" t="n"/>
      <c r="I28" s="219" t="inlineStr">
        <is>
          <t>Canh rau ngót</t>
        </is>
      </c>
      <c r="J28" s="222" t="inlineStr">
        <is>
          <t>300-350gr</t>
        </is>
      </c>
      <c r="K28" s="204" t="n"/>
      <c r="L28" s="220" t="n"/>
      <c r="M28" s="220" t="n"/>
    </row>
    <row r="29" ht="26.4" customHeight="1">
      <c r="B29" s="346" t="n"/>
      <c r="C29" s="213" t="n"/>
      <c r="D29" s="213" t="n"/>
      <c r="E29" s="204" t="n"/>
      <c r="F29" s="223" t="inlineStr">
        <is>
          <t>Cam</t>
        </is>
      </c>
      <c r="G29" s="215" t="inlineStr">
        <is>
          <t>80g</t>
        </is>
      </c>
      <c r="H29" s="205" t="n"/>
      <c r="I29" s="219" t="inlineStr">
        <is>
          <t>Ổi</t>
        </is>
      </c>
      <c r="J29" s="222" t="inlineStr">
        <is>
          <t>80g</t>
        </is>
      </c>
      <c r="K29" s="204" t="n"/>
      <c r="L29" s="220" t="n"/>
      <c r="M29" s="220" t="n"/>
    </row>
    <row r="30" ht="26.4" customHeight="1">
      <c r="B30" s="204" t="n"/>
      <c r="C30" s="281" t="n"/>
      <c r="D30" s="281" t="n"/>
      <c r="E30" s="204" t="n"/>
      <c r="F30" s="224" t="n"/>
      <c r="G30" s="225" t="n"/>
      <c r="H30" s="205" t="n"/>
      <c r="I30" s="224" t="n"/>
      <c r="J30" s="225" t="n"/>
      <c r="K30" s="204" t="n"/>
      <c r="L30" s="227" t="n"/>
      <c r="M30" s="227" t="n"/>
    </row>
    <row r="31" ht="26.4" customHeight="1">
      <c r="B31" s="347" t="inlineStr">
        <is>
          <t>Thứ 5</t>
        </is>
      </c>
      <c r="C31" s="213" t="inlineStr">
        <is>
          <t>Xôi giò rim</t>
        </is>
      </c>
      <c r="D31" s="213" t="inlineStr">
        <is>
          <t>180g-200g</t>
        </is>
      </c>
      <c r="E31" s="204" t="n"/>
      <c r="F31" s="223" t="inlineStr">
        <is>
          <t>Vịt om sấu khoai môn</t>
        </is>
      </c>
      <c r="G31" s="215" t="inlineStr">
        <is>
          <t>60g-80g</t>
        </is>
      </c>
      <c r="H31" s="205" t="n"/>
      <c r="I31" s="219" t="inlineStr">
        <is>
          <t>Bò kho củ cải</t>
        </is>
      </c>
      <c r="J31" s="217" t="inlineStr">
        <is>
          <t>Bò 40g-45g+ củ cải 20g</t>
        </is>
      </c>
      <c r="K31" s="204" t="n"/>
      <c r="L31" s="348" t="inlineStr">
        <is>
          <t>Bánh cuốn chả mực + thịt nướng</t>
        </is>
      </c>
      <c r="M31" s="342" t="n"/>
    </row>
    <row r="32" ht="26.4" customHeight="1">
      <c r="B32" s="349" t="n"/>
      <c r="C32" s="213" t="inlineStr">
        <is>
          <t>Sữa fami</t>
        </is>
      </c>
      <c r="D32" s="213" t="inlineStr">
        <is>
          <t>180ml</t>
        </is>
      </c>
      <c r="E32" s="204" t="n"/>
      <c r="F32" s="223" t="inlineStr">
        <is>
          <t>Thịt xào su su</t>
        </is>
      </c>
      <c r="G32" s="215" t="inlineStr">
        <is>
          <t>Thịt 50g+ su su 20g</t>
        </is>
      </c>
      <c r="H32" s="205" t="n"/>
      <c r="I32" s="219" t="inlineStr">
        <is>
          <t>Chả cá sốt thì là</t>
        </is>
      </c>
      <c r="J32" s="222" t="inlineStr">
        <is>
          <t>50g-60g</t>
        </is>
      </c>
      <c r="K32" s="204" t="n"/>
      <c r="L32" s="220" t="inlineStr">
        <is>
          <t>Bánh cuốn</t>
        </is>
      </c>
      <c r="M32" s="220" t="inlineStr">
        <is>
          <t>230g-250g</t>
        </is>
      </c>
      <c r="N32" s="80" t="n"/>
    </row>
    <row r="33" ht="26.4" customHeight="1">
      <c r="B33" s="349" t="n"/>
      <c r="C33" s="228" t="n"/>
      <c r="D33" s="228" t="n"/>
      <c r="E33" s="204" t="n"/>
      <c r="F33" s="223" t="inlineStr">
        <is>
          <t>Lạc chao</t>
        </is>
      </c>
      <c r="G33" s="215" t="inlineStr">
        <is>
          <t>20g-25g</t>
        </is>
      </c>
      <c r="H33" s="205" t="n"/>
      <c r="I33" s="219" t="inlineStr">
        <is>
          <t>Thịt băm om chuối</t>
        </is>
      </c>
      <c r="J33" s="222" t="inlineStr">
        <is>
          <t>60g-70g</t>
        </is>
      </c>
      <c r="K33" s="204" t="n"/>
      <c r="L33" s="220" t="inlineStr">
        <is>
          <t>Chả mực</t>
        </is>
      </c>
      <c r="M33" s="220" t="inlineStr">
        <is>
          <t>20g</t>
        </is>
      </c>
    </row>
    <row r="34" ht="26.4" customHeight="1">
      <c r="B34" s="349" t="n"/>
      <c r="C34" s="213" t="n"/>
      <c r="D34" s="213" t="n"/>
      <c r="E34" s="204" t="n"/>
      <c r="F34" s="223" t="inlineStr">
        <is>
          <t>Bắp cải luộc</t>
        </is>
      </c>
      <c r="G34" s="215" t="inlineStr">
        <is>
          <t>75g-80g</t>
        </is>
      </c>
      <c r="H34" s="205" t="n"/>
      <c r="I34" s="219" t="inlineStr">
        <is>
          <t>Đỗ cove luộc</t>
        </is>
      </c>
      <c r="J34" s="222" t="inlineStr">
        <is>
          <t>75g-80g</t>
        </is>
      </c>
      <c r="K34" s="204" t="n"/>
      <c r="L34" s="220" t="inlineStr">
        <is>
          <t>Thịt nướng</t>
        </is>
      </c>
      <c r="M34" s="220" t="inlineStr">
        <is>
          <t>30g-35g</t>
        </is>
      </c>
    </row>
    <row r="35" ht="26.4" customHeight="1">
      <c r="B35" s="349" t="n"/>
      <c r="C35" s="213" t="n"/>
      <c r="D35" s="213" t="n"/>
      <c r="E35" s="204" t="n"/>
      <c r="F35" s="223" t="inlineStr">
        <is>
          <t>Cơm trắng</t>
        </is>
      </c>
      <c r="G35" s="215" t="inlineStr">
        <is>
          <t>200-250gr</t>
        </is>
      </c>
      <c r="H35" s="205" t="n"/>
      <c r="I35" s="219" t="inlineStr">
        <is>
          <t>Cơm trắng</t>
        </is>
      </c>
      <c r="J35" s="222" t="inlineStr">
        <is>
          <t>200-250gr</t>
        </is>
      </c>
      <c r="K35" s="204" t="n"/>
      <c r="L35" s="220" t="n"/>
      <c r="M35" s="220" t="n"/>
    </row>
    <row r="36" ht="26.4" customHeight="1">
      <c r="B36" s="349" t="n"/>
      <c r="C36" s="213" t="n"/>
      <c r="D36" s="213" t="n"/>
      <c r="E36" s="204" t="n"/>
      <c r="F36" s="223" t="inlineStr">
        <is>
          <t>Canh chua dứa giá</t>
        </is>
      </c>
      <c r="G36" s="215" t="inlineStr">
        <is>
          <t>300-350gr</t>
        </is>
      </c>
      <c r="H36" s="205" t="n"/>
      <c r="I36" s="219" t="inlineStr">
        <is>
          <t>Canh rau dền</t>
        </is>
      </c>
      <c r="J36" s="222" t="inlineStr">
        <is>
          <t>300-350gr</t>
        </is>
      </c>
      <c r="K36" s="204" t="n"/>
      <c r="L36" s="220" t="n"/>
      <c r="M36" s="220" t="n"/>
    </row>
    <row r="37" ht="26.4" customHeight="1">
      <c r="B37" s="346" t="n"/>
      <c r="C37" s="213" t="n"/>
      <c r="D37" s="213" t="n"/>
      <c r="E37" s="204" t="n"/>
      <c r="F37" s="223" t="inlineStr">
        <is>
          <t>Sữa chua</t>
        </is>
      </c>
      <c r="G37" s="215" t="inlineStr">
        <is>
          <t>1 hộp</t>
        </is>
      </c>
      <c r="H37" s="205" t="n"/>
      <c r="I37" s="219" t="inlineStr">
        <is>
          <t>Cam</t>
        </is>
      </c>
      <c r="J37" s="222" t="inlineStr">
        <is>
          <t>80g</t>
        </is>
      </c>
      <c r="K37" s="204" t="n"/>
      <c r="L37" s="220" t="n"/>
      <c r="M37" s="220" t="n"/>
    </row>
    <row r="38" ht="26.4" customHeight="1">
      <c r="B38" s="204" t="n"/>
      <c r="C38" s="281" t="n"/>
      <c r="D38" s="281" t="n"/>
      <c r="E38" s="204" t="n"/>
      <c r="F38" s="224" t="n"/>
      <c r="G38" s="225" t="n"/>
      <c r="H38" s="205" t="n"/>
      <c r="I38" s="224" t="n"/>
      <c r="J38" s="225" t="n"/>
      <c r="K38" s="204" t="n"/>
      <c r="L38" s="227" t="n"/>
      <c r="M38" s="227" t="n"/>
    </row>
    <row r="39" ht="26.4" customHeight="1">
      <c r="B39" s="347" t="inlineStr">
        <is>
          <t>Thứ 6</t>
        </is>
      </c>
      <c r="C39" s="213" t="inlineStr">
        <is>
          <t>Cháo thịt băm</t>
        </is>
      </c>
      <c r="D39" s="213" t="inlineStr">
        <is>
          <t>200g-230g</t>
        </is>
      </c>
      <c r="E39" s="204" t="n"/>
      <c r="F39" s="223" t="inlineStr">
        <is>
          <t>Cá nục kho cay</t>
        </is>
      </c>
      <c r="G39" s="215" t="inlineStr">
        <is>
          <t>60g-80g</t>
        </is>
      </c>
      <c r="H39" s="205" t="n"/>
      <c r="I39" s="219" t="inlineStr">
        <is>
          <t>Gà om nấm</t>
        </is>
      </c>
      <c r="J39" s="222" t="inlineStr">
        <is>
          <t>60g-80g</t>
        </is>
      </c>
      <c r="K39" s="204" t="n"/>
      <c r="L39" s="348" t="inlineStr">
        <is>
          <t>Xôi thịt kho trứng</t>
        </is>
      </c>
      <c r="M39" s="342" t="n"/>
    </row>
    <row r="40" ht="26.4" customHeight="1">
      <c r="B40" s="349" t="n"/>
      <c r="C40" s="213" t="inlineStr">
        <is>
          <t>Trứng vịt lộn</t>
        </is>
      </c>
      <c r="D40" s="213" t="inlineStr">
        <is>
          <t>1 quả</t>
        </is>
      </c>
      <c r="E40" s="204" t="n"/>
      <c r="F40" s="223" t="inlineStr">
        <is>
          <t>Thịt xào măng giá</t>
        </is>
      </c>
      <c r="G40" s="215" t="inlineStr">
        <is>
          <t>Thịt 50g+ măng giá 20g</t>
        </is>
      </c>
      <c r="H40" s="205" t="n"/>
      <c r="I40" s="219" t="inlineStr">
        <is>
          <t>Tôm chiên vừng</t>
        </is>
      </c>
      <c r="J40" s="222" t="inlineStr">
        <is>
          <t>30g-35g</t>
        </is>
      </c>
      <c r="K40" s="204" t="n"/>
      <c r="L40" s="220" t="inlineStr">
        <is>
          <t>Thịt</t>
        </is>
      </c>
      <c r="M40" s="220" t="inlineStr">
        <is>
          <t>35g-40g</t>
        </is>
      </c>
    </row>
    <row r="41" ht="26.4" customHeight="1">
      <c r="B41" s="349" t="n"/>
      <c r="C41" s="213" t="inlineStr">
        <is>
          <t>Quẩy</t>
        </is>
      </c>
      <c r="D41" s="213" t="inlineStr">
        <is>
          <t>1 cái</t>
        </is>
      </c>
      <c r="E41" s="204" t="n"/>
      <c r="F41" s="223" t="inlineStr">
        <is>
          <t>Đậu sốt trắng cà chua</t>
        </is>
      </c>
      <c r="G41" s="215" t="inlineStr">
        <is>
          <t>60g-70g</t>
        </is>
      </c>
      <c r="H41" s="205" t="n"/>
      <c r="I41" s="219" t="inlineStr">
        <is>
          <t>Thịt băm xào đỗ cove</t>
        </is>
      </c>
      <c r="J41" s="222" t="inlineStr">
        <is>
          <t>60g</t>
        </is>
      </c>
      <c r="K41" s="204" t="n"/>
      <c r="L41" s="220" t="inlineStr">
        <is>
          <t>Trứng gà</t>
        </is>
      </c>
      <c r="M41" s="220" t="inlineStr">
        <is>
          <t>1 quả</t>
        </is>
      </c>
    </row>
    <row r="42" ht="26.4" customHeight="1">
      <c r="B42" s="349" t="n"/>
      <c r="C42" s="213" t="n"/>
      <c r="D42" s="213" t="n"/>
      <c r="E42" s="204" t="n"/>
      <c r="F42" s="223" t="inlineStr">
        <is>
          <t>Bí đỏ xào tỏi</t>
        </is>
      </c>
      <c r="G42" s="215" t="inlineStr">
        <is>
          <t>75g-80g</t>
        </is>
      </c>
      <c r="H42" s="205" t="n"/>
      <c r="I42" s="219" t="inlineStr">
        <is>
          <t>Rau muống luộc</t>
        </is>
      </c>
      <c r="J42" s="222" t="inlineStr">
        <is>
          <t>75g-80g</t>
        </is>
      </c>
      <c r="K42" s="204" t="n"/>
      <c r="L42" s="220" t="inlineStr">
        <is>
          <t>Sữa chua</t>
        </is>
      </c>
      <c r="M42" s="220" t="inlineStr">
        <is>
          <t>1 hộp 90g</t>
        </is>
      </c>
    </row>
    <row r="43" ht="26.4" customHeight="1">
      <c r="B43" s="349" t="n"/>
      <c r="C43" s="213" t="n"/>
      <c r="D43" s="213" t="n"/>
      <c r="E43" s="204" t="n"/>
      <c r="F43" s="223" t="inlineStr">
        <is>
          <t>Cơm trắng</t>
        </is>
      </c>
      <c r="G43" s="215" t="inlineStr">
        <is>
          <t>200-250gr</t>
        </is>
      </c>
      <c r="H43" s="205" t="n"/>
      <c r="I43" s="219" t="inlineStr">
        <is>
          <t>Cơm trắng</t>
        </is>
      </c>
      <c r="J43" s="222" t="inlineStr">
        <is>
          <t>200-250gr</t>
        </is>
      </c>
      <c r="K43" s="204" t="n"/>
      <c r="L43" s="220" t="n"/>
      <c r="M43" s="220" t="n"/>
    </row>
    <row r="44" ht="26.4" customHeight="1">
      <c r="B44" s="349" t="n"/>
      <c r="C44" s="213" t="n"/>
      <c r="D44" s="213" t="n"/>
      <c r="E44" s="204" t="n"/>
      <c r="F44" s="223" t="inlineStr">
        <is>
          <t>Canh rau ngót</t>
        </is>
      </c>
      <c r="G44" s="215" t="inlineStr">
        <is>
          <t>300-350gr</t>
        </is>
      </c>
      <c r="H44" s="205" t="n"/>
      <c r="I44" s="219" t="inlineStr">
        <is>
          <t>Nước luộc dầm chua</t>
        </is>
      </c>
      <c r="J44" s="222" t="inlineStr">
        <is>
          <t>300-350gr</t>
        </is>
      </c>
      <c r="K44" s="204" t="n"/>
      <c r="L44" s="220" t="n"/>
      <c r="M44" s="220" t="n"/>
    </row>
    <row r="45" ht="26.4" customHeight="1">
      <c r="B45" s="346" t="n"/>
      <c r="C45" s="213" t="n"/>
      <c r="D45" s="213" t="n"/>
      <c r="E45" s="204" t="n"/>
      <c r="F45" s="223" t="inlineStr">
        <is>
          <t>Chuối</t>
        </is>
      </c>
      <c r="G45" s="215" t="inlineStr">
        <is>
          <t>1 quả</t>
        </is>
      </c>
      <c r="H45" s="205" t="n"/>
      <c r="I45" s="219" t="inlineStr">
        <is>
          <t>Ổi</t>
        </is>
      </c>
      <c r="J45" s="222" t="inlineStr">
        <is>
          <t>80g</t>
        </is>
      </c>
      <c r="K45" s="204" t="n"/>
      <c r="L45" s="220" t="n"/>
      <c r="M45" s="220" t="n"/>
    </row>
    <row r="46" ht="26.4" customHeight="1">
      <c r="B46" s="204" t="n"/>
      <c r="C46" s="281" t="n"/>
      <c r="D46" s="281" t="n"/>
      <c r="E46" s="204" t="n"/>
      <c r="F46" s="224" t="n"/>
      <c r="G46" s="225" t="n"/>
      <c r="H46" s="205" t="n"/>
      <c r="I46" s="224" t="n"/>
      <c r="J46" s="225" t="n"/>
      <c r="K46" s="204" t="n"/>
      <c r="L46" s="227" t="n"/>
      <c r="M46" s="227" t="n"/>
    </row>
    <row r="47" ht="26.4" customHeight="1">
      <c r="B47" s="347" t="inlineStr">
        <is>
          <t>Thứ 7</t>
        </is>
      </c>
      <c r="C47" s="212" t="inlineStr">
        <is>
          <t>Bánh cuốn</t>
        </is>
      </c>
      <c r="D47" s="213" t="inlineStr">
        <is>
          <t>200g-230g</t>
        </is>
      </c>
      <c r="E47" s="204" t="n"/>
      <c r="F47" s="223" t="inlineStr">
        <is>
          <t>Bò kho dưa chua</t>
        </is>
      </c>
      <c r="G47" s="215" t="inlineStr">
        <is>
          <t>Bò 40g-45g+ dưa 20g</t>
        </is>
      </c>
      <c r="H47" s="205" t="n"/>
      <c r="I47" s="219" t="inlineStr">
        <is>
          <t>Sườn chua ngọt</t>
        </is>
      </c>
      <c r="J47" s="222" t="inlineStr">
        <is>
          <t>60g-80g</t>
        </is>
      </c>
      <c r="K47" s="204" t="n"/>
      <c r="L47" s="348" t="inlineStr">
        <is>
          <t>Bún riêu ốc</t>
        </is>
      </c>
      <c r="M47" s="342" t="n"/>
    </row>
    <row r="48" ht="26.4" customHeight="1">
      <c r="B48" s="349" t="n"/>
      <c r="C48" s="213" t="inlineStr">
        <is>
          <t>Chả quế</t>
        </is>
      </c>
      <c r="D48" s="213" t="inlineStr">
        <is>
          <t>30g</t>
        </is>
      </c>
      <c r="E48" s="204" t="n"/>
      <c r="F48" s="223" t="inlineStr">
        <is>
          <t>Ức gà chiên xù</t>
        </is>
      </c>
      <c r="G48" s="215" t="inlineStr">
        <is>
          <t>50g-60g</t>
        </is>
      </c>
      <c r="H48" s="205" t="n"/>
      <c r="I48" s="219" t="inlineStr">
        <is>
          <t>Trứng xào thịt băm</t>
        </is>
      </c>
      <c r="J48" s="222" t="inlineStr">
        <is>
          <t>50g-60g</t>
        </is>
      </c>
      <c r="K48" s="204" t="n"/>
      <c r="L48" s="220" t="inlineStr">
        <is>
          <t>Bún tươi</t>
        </is>
      </c>
      <c r="M48" s="220" t="inlineStr">
        <is>
          <t>230g-250g</t>
        </is>
      </c>
    </row>
    <row r="49" ht="26.4" customHeight="1">
      <c r="B49" s="349" t="n"/>
      <c r="C49" s="213" t="n"/>
      <c r="D49" s="213" t="inlineStr">
        <is>
          <t>25g</t>
        </is>
      </c>
      <c r="E49" s="204" t="n"/>
      <c r="F49" s="223" t="inlineStr">
        <is>
          <t>Lạc chao</t>
        </is>
      </c>
      <c r="G49" s="215" t="inlineStr">
        <is>
          <t>20g-25g</t>
        </is>
      </c>
      <c r="H49" s="205" t="n"/>
      <c r="I49" s="219" t="inlineStr">
        <is>
          <t>Cá cơm chiên chua ngọt</t>
        </is>
      </c>
      <c r="J49" s="222" t="inlineStr">
        <is>
          <t>20g</t>
        </is>
      </c>
      <c r="K49" s="204" t="n"/>
      <c r="L49" s="220" t="inlineStr">
        <is>
          <t>Ốc</t>
        </is>
      </c>
      <c r="M49" s="220" t="inlineStr">
        <is>
          <t>40g-50g</t>
        </is>
      </c>
    </row>
    <row r="50" ht="26.4" customHeight="1">
      <c r="B50" s="349" t="n"/>
      <c r="C50" s="213" t="n"/>
      <c r="D50" s="213" t="n"/>
      <c r="E50" s="204" t="n"/>
      <c r="F50" s="223" t="inlineStr">
        <is>
          <t>Su su cà rốt luộc</t>
        </is>
      </c>
      <c r="G50" s="215" t="inlineStr">
        <is>
          <t>75g-80g</t>
        </is>
      </c>
      <c r="H50" s="205" t="n"/>
      <c r="I50" s="219" t="inlineStr">
        <is>
          <t>Bắp cải luộc</t>
        </is>
      </c>
      <c r="J50" s="222" t="inlineStr">
        <is>
          <t>75g-80g</t>
        </is>
      </c>
      <c r="K50" s="204" t="n"/>
      <c r="L50" s="220" t="inlineStr">
        <is>
          <t>Sữa fami</t>
        </is>
      </c>
      <c r="M50" s="220" t="inlineStr">
        <is>
          <t>180ml</t>
        </is>
      </c>
    </row>
    <row r="51" ht="26.4" customHeight="1">
      <c r="B51" s="349" t="n"/>
      <c r="C51" s="213" t="n"/>
      <c r="D51" s="213" t="n"/>
      <c r="E51" s="204" t="n"/>
      <c r="F51" s="223" t="inlineStr">
        <is>
          <t>Cơm trắng</t>
        </is>
      </c>
      <c r="G51" s="215" t="inlineStr">
        <is>
          <t>200-250gr</t>
        </is>
      </c>
      <c r="H51" s="205" t="n"/>
      <c r="I51" s="219" t="inlineStr">
        <is>
          <t>Cơm trắng</t>
        </is>
      </c>
      <c r="J51" s="222" t="inlineStr">
        <is>
          <t>200-250gr</t>
        </is>
      </c>
      <c r="K51" s="204" t="n"/>
      <c r="L51" s="220" t="n"/>
      <c r="M51" s="220" t="n"/>
    </row>
    <row r="52" ht="26.4" customHeight="1">
      <c r="B52" s="349" t="n"/>
      <c r="C52" s="213" t="n"/>
      <c r="D52" s="213" t="n"/>
      <c r="E52" s="204" t="n"/>
      <c r="F52" s="214" t="inlineStr">
        <is>
          <t>Canh cải ngọt</t>
        </is>
      </c>
      <c r="G52" s="215" t="inlineStr">
        <is>
          <t>300-350gr</t>
        </is>
      </c>
      <c r="H52" s="205" t="n"/>
      <c r="I52" s="219" t="inlineStr">
        <is>
          <t>Canh bầu xanh</t>
        </is>
      </c>
      <c r="J52" s="222" t="inlineStr">
        <is>
          <t>300-350gr</t>
        </is>
      </c>
      <c r="K52" s="204" t="n"/>
      <c r="L52" s="220" t="n"/>
      <c r="M52" s="220" t="n"/>
    </row>
    <row r="53" ht="26.4" customHeight="1">
      <c r="B53" s="346" t="n"/>
      <c r="C53" s="213" t="n"/>
      <c r="D53" s="213" t="n"/>
      <c r="E53" s="204" t="n"/>
      <c r="F53" s="223" t="inlineStr">
        <is>
          <t>Dưa hấu</t>
        </is>
      </c>
      <c r="G53" s="215" t="inlineStr">
        <is>
          <t>80g</t>
        </is>
      </c>
      <c r="H53" s="205" t="n"/>
      <c r="I53" s="219" t="inlineStr">
        <is>
          <t>Cam</t>
        </is>
      </c>
      <c r="J53" s="222" t="inlineStr">
        <is>
          <t>80g</t>
        </is>
      </c>
      <c r="K53" s="204" t="n"/>
      <c r="L53" s="220" t="n"/>
      <c r="M53" s="220" t="n"/>
    </row>
    <row r="54" ht="26.4" customHeight="1">
      <c r="B54" s="204" t="n"/>
      <c r="C54" s="281" t="n"/>
      <c r="D54" s="281" t="n"/>
      <c r="E54" s="204" t="n"/>
      <c r="F54" s="224" t="n"/>
      <c r="G54" s="225" t="n"/>
      <c r="H54" s="205" t="n"/>
      <c r="I54" s="224" t="n"/>
      <c r="J54" s="225" t="n"/>
      <c r="K54" s="204" t="n"/>
      <c r="L54" s="227" t="n"/>
      <c r="M54" s="227" t="n"/>
    </row>
    <row r="55" ht="26.4" customHeight="1">
      <c r="B55" s="347" t="inlineStr">
        <is>
          <t>Thứ CN</t>
        </is>
      </c>
      <c r="C55" s="229" t="inlineStr">
        <is>
          <t>Bánh chưng</t>
        </is>
      </c>
      <c r="D55" s="213" t="inlineStr">
        <is>
          <t>180g-200g</t>
        </is>
      </c>
      <c r="E55" s="204" t="n"/>
      <c r="F55" s="223" t="inlineStr">
        <is>
          <t>Thịt xào hành tây</t>
        </is>
      </c>
      <c r="G55" s="215" t="inlineStr">
        <is>
          <t>Thịt 50g+ hành tây 10g</t>
        </is>
      </c>
      <c r="H55" s="205" t="n"/>
      <c r="I55" s="219" t="inlineStr">
        <is>
          <t>Cá chiên giềng</t>
        </is>
      </c>
      <c r="J55" s="222" t="inlineStr">
        <is>
          <t>80g-100g</t>
        </is>
      </c>
      <c r="K55" s="281" t="n"/>
      <c r="L55" s="350" t="inlineStr">
        <is>
          <t>Bún hải sản</t>
        </is>
      </c>
      <c r="M55" s="342" t="n"/>
    </row>
    <row r="56" ht="26.4" customHeight="1">
      <c r="B56" s="349" t="n"/>
      <c r="C56" s="213" t="inlineStr">
        <is>
          <t>Sữa fami</t>
        </is>
      </c>
      <c r="D56" s="229" t="inlineStr">
        <is>
          <t>180ml</t>
        </is>
      </c>
      <c r="E56" s="204" t="n"/>
      <c r="F56" s="223" t="inlineStr">
        <is>
          <t>Tôm rang me</t>
        </is>
      </c>
      <c r="G56" s="215" t="inlineStr">
        <is>
          <t>30g-35g</t>
        </is>
      </c>
      <c r="H56" s="205" t="n"/>
      <c r="I56" s="219" t="inlineStr">
        <is>
          <t>Ức gà xào sả ớt</t>
        </is>
      </c>
      <c r="J56" s="222" t="inlineStr">
        <is>
          <t>50g-60g</t>
        </is>
      </c>
      <c r="K56" s="204" t="n"/>
      <c r="L56" s="220" t="inlineStr">
        <is>
          <t>Bún tươi</t>
        </is>
      </c>
      <c r="M56" s="230" t="inlineStr">
        <is>
          <t>230g-250g</t>
        </is>
      </c>
    </row>
    <row r="57" ht="26.4" customHeight="1">
      <c r="B57" s="349" t="n"/>
      <c r="C57" s="213" t="n"/>
      <c r="D57" s="213" t="n"/>
      <c r="E57" s="204" t="n"/>
      <c r="F57" s="223" t="inlineStr">
        <is>
          <t>Ốc om chuối</t>
        </is>
      </c>
      <c r="G57" s="215" t="inlineStr">
        <is>
          <t>60g-70g</t>
        </is>
      </c>
      <c r="H57" s="205" t="n"/>
      <c r="I57" s="219" t="inlineStr">
        <is>
          <t>Lạc chao</t>
        </is>
      </c>
      <c r="J57" s="222" t="inlineStr">
        <is>
          <t>15g-20g</t>
        </is>
      </c>
      <c r="K57" s="204" t="n"/>
      <c r="L57" s="220" t="inlineStr">
        <is>
          <t>Tôm</t>
        </is>
      </c>
      <c r="M57" s="220" t="inlineStr">
        <is>
          <t>20g</t>
        </is>
      </c>
    </row>
    <row r="58" ht="26.4" customHeight="1">
      <c r="B58" s="349" t="n"/>
      <c r="C58" s="213" t="n"/>
      <c r="D58" s="213" t="n"/>
      <c r="E58" s="204" t="n"/>
      <c r="F58" s="223" t="inlineStr">
        <is>
          <t>Đỗ cove luộc</t>
        </is>
      </c>
      <c r="G58" s="215" t="inlineStr">
        <is>
          <t>75g-80g</t>
        </is>
      </c>
      <c r="H58" s="205" t="n"/>
      <c r="I58" s="219" t="inlineStr">
        <is>
          <t>Khoai tây xào</t>
        </is>
      </c>
      <c r="J58" s="222" t="inlineStr">
        <is>
          <t>75g-80g</t>
        </is>
      </c>
      <c r="K58" s="204" t="n"/>
      <c r="L58" s="220" t="inlineStr">
        <is>
          <t>Cá chiên</t>
        </is>
      </c>
      <c r="M58" s="220" t="inlineStr">
        <is>
          <t>20g</t>
        </is>
      </c>
    </row>
    <row r="59" ht="26.4" customHeight="1">
      <c r="B59" s="349" t="n"/>
      <c r="C59" s="213" t="n"/>
      <c r="D59" s="213" t="n"/>
      <c r="E59" s="204" t="n"/>
      <c r="F59" s="223" t="inlineStr">
        <is>
          <t>Cơm trắng</t>
        </is>
      </c>
      <c r="G59" s="215" t="inlineStr">
        <is>
          <t>200-250gr</t>
        </is>
      </c>
      <c r="H59" s="205" t="n"/>
      <c r="I59" s="219" t="inlineStr">
        <is>
          <t>Cơm trắng</t>
        </is>
      </c>
      <c r="J59" s="222" t="inlineStr">
        <is>
          <t>200-250gr</t>
        </is>
      </c>
      <c r="K59" s="204" t="n"/>
      <c r="L59" s="220" t="inlineStr">
        <is>
          <t>Chả cá</t>
        </is>
      </c>
      <c r="M59" s="220" t="inlineStr">
        <is>
          <t>15g</t>
        </is>
      </c>
    </row>
    <row r="60" ht="26.4" customHeight="1">
      <c r="B60" s="349" t="n"/>
      <c r="C60" s="213" t="n"/>
      <c r="D60" s="213" t="n"/>
      <c r="E60" s="204" t="n"/>
      <c r="F60" s="223" t="inlineStr">
        <is>
          <t>Canh rau dền</t>
        </is>
      </c>
      <c r="G60" s="215" t="inlineStr">
        <is>
          <t>300-350gr</t>
        </is>
      </c>
      <c r="H60" s="205" t="n"/>
      <c r="I60" s="219" t="inlineStr">
        <is>
          <t>Canh rau ngót</t>
        </is>
      </c>
      <c r="J60" s="222" t="inlineStr">
        <is>
          <t>300-350gr</t>
        </is>
      </c>
      <c r="K60" s="204" t="n"/>
      <c r="L60" s="220" t="n"/>
      <c r="M60" s="220" t="n"/>
    </row>
    <row r="61" ht="26.4" customHeight="1">
      <c r="B61" s="346" t="n"/>
      <c r="C61" s="213" t="n"/>
      <c r="D61" s="213" t="n"/>
      <c r="E61" s="204" t="n"/>
      <c r="F61" s="223" t="inlineStr">
        <is>
          <t>Thạch</t>
        </is>
      </c>
      <c r="G61" s="215" t="inlineStr">
        <is>
          <t>90g</t>
        </is>
      </c>
      <c r="H61" s="205" t="n"/>
      <c r="I61" s="219" t="inlineStr">
        <is>
          <t>Chuối chín</t>
        </is>
      </c>
      <c r="J61" s="222" t="inlineStr">
        <is>
          <t>1 quả</t>
        </is>
      </c>
      <c r="K61" s="204" t="n"/>
      <c r="L61" s="220" t="n"/>
      <c r="M61" s="220" t="n"/>
    </row>
    <row r="62" ht="26.4" customHeight="1">
      <c r="B62" s="204" t="n"/>
      <c r="C62" s="281" t="n"/>
      <c r="D62" s="281" t="n"/>
      <c r="E62" s="204" t="n"/>
      <c r="F62" s="205" t="n"/>
      <c r="G62" s="204" t="n"/>
      <c r="H62" s="205" t="n"/>
      <c r="I62" s="205" t="n"/>
      <c r="J62" s="204" t="n"/>
      <c r="K62" s="204" t="n"/>
      <c r="L62" s="204" t="n"/>
      <c r="M62" s="204" t="n"/>
    </row>
    <row r="63" ht="26.4" customHeight="1">
      <c r="B63" s="204" t="n"/>
      <c r="C63" s="274" t="inlineStr">
        <is>
          <t>NHÀ CUNG CẤP</t>
        </is>
      </c>
      <c r="E63" s="204" t="n"/>
      <c r="F63" s="275" t="inlineStr">
        <is>
          <t>PHÒNG KÝ TÚC XÁ SGC</t>
        </is>
      </c>
      <c r="H63" s="205" t="n"/>
      <c r="I63" s="275" t="inlineStr">
        <is>
          <t>CÁN BỘ LÃNH ĐẠO DỰ ÁN</t>
        </is>
      </c>
      <c r="K63" s="204" t="n"/>
      <c r="L63" s="204" t="n"/>
      <c r="M63" s="204" t="n"/>
    </row>
    <row r="64" ht="26.4" customHeight="1">
      <c r="B64" s="204" t="n"/>
      <c r="C64" s="281" t="n"/>
      <c r="D64" s="281" t="n"/>
      <c r="E64" s="204" t="n"/>
      <c r="F64" s="205" t="n"/>
      <c r="G64" s="204" t="n"/>
      <c r="H64" s="205" t="n"/>
      <c r="I64" s="205" t="n"/>
      <c r="J64" s="204" t="n"/>
      <c r="K64" s="204" t="n"/>
      <c r="L64" s="204" t="n"/>
      <c r="M64" s="204" t="n"/>
    </row>
  </sheetData>
  <mergeCells count="26">
    <mergeCell ref="B39:B45"/>
    <mergeCell ref="L7:M7"/>
    <mergeCell ref="B1:D1"/>
    <mergeCell ref="F63:G63"/>
    <mergeCell ref="C5:D5"/>
    <mergeCell ref="B23:B29"/>
    <mergeCell ref="L47:M47"/>
    <mergeCell ref="B15:B21"/>
    <mergeCell ref="C63:D63"/>
    <mergeCell ref="F5:G5"/>
    <mergeCell ref="L15:M15"/>
    <mergeCell ref="B55:B61"/>
    <mergeCell ref="L5:M5"/>
    <mergeCell ref="L23:M23"/>
    <mergeCell ref="L39:M39"/>
    <mergeCell ref="L55:M55"/>
    <mergeCell ref="B7:B13"/>
    <mergeCell ref="B47:B53"/>
    <mergeCell ref="I5:J5"/>
    <mergeCell ref="B4:J4"/>
    <mergeCell ref="L31:M31"/>
    <mergeCell ref="B5:B6"/>
    <mergeCell ref="B31:B37"/>
    <mergeCell ref="B3:J3"/>
    <mergeCell ref="I63:J63"/>
    <mergeCell ref="B2:J2"/>
  </mergeCells>
  <pageMargins left="0" right="0" top="0" bottom="0" header="0" footer="0"/>
  <pageSetup orientation="landscape" paperSize="9" scale="49" verticalDpi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Q64"/>
  <sheetViews>
    <sheetView topLeftCell="A36" zoomScale="49" zoomScaleNormal="49" workbookViewId="0">
      <selection activeCell="I56" sqref="I56"/>
    </sheetView>
  </sheetViews>
  <sheetFormatPr baseColWidth="8" defaultColWidth="9.109375" defaultRowHeight="13.8"/>
  <cols>
    <col width="2.109375" customWidth="1" style="58" min="1" max="1"/>
    <col width="28.33203125" customWidth="1" style="58" min="2" max="2"/>
    <col width="39.44140625" customWidth="1" style="60" min="3" max="3"/>
    <col width="28.77734375" customWidth="1" style="61" min="4" max="4"/>
    <col width="7.88671875" customWidth="1" style="58" min="5" max="5"/>
    <col width="39.44140625" customWidth="1" style="59" min="6" max="6"/>
    <col width="32.44140625" customWidth="1" style="58" min="7" max="7"/>
    <col width="6.33203125" customWidth="1" style="59" min="8" max="8"/>
    <col width="39.44140625" customWidth="1" style="59" min="9" max="9"/>
    <col width="29.88671875" customWidth="1" style="58" min="10" max="10"/>
    <col width="7" customWidth="1" style="58" min="11" max="11"/>
    <col width="39.44140625" customWidth="1" style="58" min="12" max="12"/>
    <col width="24.21875" customWidth="1" style="58" min="13" max="13"/>
    <col width="39.44140625" customWidth="1" style="58" min="14" max="14"/>
    <col width="9.109375" customWidth="1" style="58" min="15" max="16384"/>
  </cols>
  <sheetData>
    <row r="1" ht="43.2" customHeight="1">
      <c r="B1" s="301" t="inlineStr">
        <is>
          <t>CÔNG TY: HSS</t>
        </is>
      </c>
      <c r="E1" s="297" t="n"/>
      <c r="F1" s="232" t="n"/>
      <c r="G1" s="297" t="n"/>
      <c r="H1" s="232" t="n"/>
      <c r="I1" s="232" t="n"/>
      <c r="J1" s="297" t="n"/>
      <c r="K1" s="297" t="n"/>
      <c r="L1" s="297" t="n"/>
      <c r="M1" s="297" t="n"/>
    </row>
    <row r="2" ht="43.2" customHeight="1">
      <c r="B2" s="302" t="inlineStr">
        <is>
          <t>THỰC ĐƠN SUẤT ĂN CA CÔNG NHÂN</t>
        </is>
      </c>
      <c r="K2" s="297" t="n"/>
      <c r="L2" s="297" t="n"/>
      <c r="M2" s="233" t="n"/>
      <c r="N2" s="84" t="n"/>
      <c r="O2" s="84" t="n"/>
      <c r="P2" s="84" t="n"/>
      <c r="Q2" s="84" t="n"/>
    </row>
    <row r="3" ht="43.2" customHeight="1">
      <c r="B3" s="303" t="inlineStr">
        <is>
          <t>Dự án:</t>
        </is>
      </c>
      <c r="K3" s="297" t="n"/>
      <c r="L3" s="297" t="n"/>
      <c r="M3" s="233" t="n"/>
      <c r="N3" s="84" t="n"/>
      <c r="O3" s="84" t="n"/>
      <c r="P3" s="84" t="n"/>
      <c r="Q3" s="84" t="n"/>
    </row>
    <row r="4" ht="43.2" customHeight="1">
      <c r="B4" s="303" t="inlineStr">
        <is>
          <t>(TỪ 17/08/2026 đến 23/08/2026)</t>
        </is>
      </c>
      <c r="K4" s="297" t="n"/>
      <c r="L4" s="297" t="n"/>
      <c r="M4" s="233" t="n"/>
      <c r="N4" s="84" t="n"/>
      <c r="O4" s="84" t="n"/>
      <c r="P4" s="84" t="n"/>
      <c r="Q4" s="84" t="n"/>
    </row>
    <row r="5" ht="43.2" customHeight="1">
      <c r="B5" s="351" t="inlineStr">
        <is>
          <t>Thứ</t>
        </is>
      </c>
      <c r="C5" s="352" t="inlineStr">
        <is>
          <t>SÁNG</t>
        </is>
      </c>
      <c r="D5" s="342" t="n"/>
      <c r="E5" s="297" t="n"/>
      <c r="F5" s="353" t="inlineStr">
        <is>
          <t>TRƯA</t>
        </is>
      </c>
      <c r="G5" s="342" t="n"/>
      <c r="H5" s="232" t="n"/>
      <c r="I5" s="354" t="inlineStr">
        <is>
          <t>TỐI</t>
        </is>
      </c>
      <c r="J5" s="342" t="n"/>
      <c r="K5" s="297" t="n"/>
      <c r="L5" s="355" t="inlineStr">
        <is>
          <t>ĐÊM</t>
        </is>
      </c>
      <c r="M5" s="342" t="n"/>
      <c r="N5" s="84" t="n"/>
      <c r="O5" s="84" t="n"/>
      <c r="P5" s="84" t="n"/>
      <c r="Q5" s="84" t="n"/>
    </row>
    <row r="6" ht="43.2" customHeight="1">
      <c r="B6" s="346" t="n"/>
      <c r="C6" s="235" t="inlineStr">
        <is>
          <t>Món</t>
        </is>
      </c>
      <c r="D6" s="235" t="inlineStr">
        <is>
          <t>Trọng lượng 
thành phẩm</t>
        </is>
      </c>
      <c r="E6" s="297" t="n"/>
      <c r="F6" s="236" t="inlineStr">
        <is>
          <t>Món</t>
        </is>
      </c>
      <c r="G6" s="236" t="inlineStr">
        <is>
          <t>Trọng lượng 
thành phẩm</t>
        </is>
      </c>
      <c r="H6" s="232" t="n"/>
      <c r="I6" s="237" t="inlineStr">
        <is>
          <t>Món</t>
        </is>
      </c>
      <c r="J6" s="237" t="inlineStr">
        <is>
          <t>Trọng lượng 
thành phẩm</t>
        </is>
      </c>
      <c r="K6" s="297" t="n"/>
      <c r="L6" s="238" t="inlineStr">
        <is>
          <t>Món</t>
        </is>
      </c>
      <c r="M6" s="238" t="inlineStr">
        <is>
          <t>Trọng lượng 
thành phẩm</t>
        </is>
      </c>
      <c r="N6" s="84" t="n"/>
      <c r="O6" s="84" t="n"/>
      <c r="P6" s="84" t="n"/>
      <c r="Q6" s="84" t="n"/>
    </row>
    <row r="7" ht="43.2" customHeight="1">
      <c r="B7" s="351" t="inlineStr">
        <is>
          <t>Thứ 2</t>
        </is>
      </c>
      <c r="C7" s="239" t="inlineStr">
        <is>
          <t>Bánh mì kẹp</t>
        </is>
      </c>
      <c r="D7" s="240" t="inlineStr">
        <is>
          <t>1 cái</t>
        </is>
      </c>
      <c r="E7" s="297" t="n"/>
      <c r="F7" s="241" t="inlineStr">
        <is>
          <t>Tôm rang lá chanh</t>
        </is>
      </c>
      <c r="G7" s="242" t="inlineStr">
        <is>
          <t>30g-35g</t>
        </is>
      </c>
      <c r="H7" s="232" t="n"/>
      <c r="I7" s="243" t="inlineStr">
        <is>
          <t>Gà kho nghệ</t>
        </is>
      </c>
      <c r="J7" s="244" t="inlineStr">
        <is>
          <t xml:space="preserve">60g-70g
</t>
        </is>
      </c>
      <c r="K7" s="297" t="n"/>
      <c r="L7" s="355" t="inlineStr">
        <is>
          <t>Bún riêu cua cá + giò</t>
        </is>
      </c>
      <c r="M7" s="342" t="n"/>
      <c r="N7" s="84" t="n"/>
      <c r="O7" s="84" t="n"/>
      <c r="P7" s="84" t="n"/>
      <c r="Q7" s="84" t="n"/>
    </row>
    <row r="8" ht="43.2" customHeight="1">
      <c r="B8" s="349" t="n"/>
      <c r="C8" s="240" t="inlineStr">
        <is>
          <t>Chả</t>
        </is>
      </c>
      <c r="D8" s="240" t="inlineStr">
        <is>
          <t>30g-35g</t>
        </is>
      </c>
      <c r="E8" s="297" t="n"/>
      <c r="F8" s="245" t="inlineStr">
        <is>
          <t>Thịt xào hành tây</t>
        </is>
      </c>
      <c r="G8" s="242" t="inlineStr">
        <is>
          <t>30g-35g</t>
        </is>
      </c>
      <c r="H8" s="232" t="n"/>
      <c r="I8" s="246" t="inlineStr">
        <is>
          <t>Thăn cá chiên xù</t>
        </is>
      </c>
      <c r="J8" s="244" t="inlineStr">
        <is>
          <t xml:space="preserve">40g-50g
</t>
        </is>
      </c>
      <c r="K8" s="297" t="n"/>
      <c r="L8" s="247" t="inlineStr">
        <is>
          <t>Bún tươi</t>
        </is>
      </c>
      <c r="M8" s="247" t="inlineStr">
        <is>
          <t>230g-250g</t>
        </is>
      </c>
    </row>
    <row r="9" ht="43.2" customHeight="1">
      <c r="B9" s="349" t="n"/>
      <c r="C9" s="240" t="inlineStr">
        <is>
          <t>Sữa fami</t>
        </is>
      </c>
      <c r="D9" s="240" t="inlineStr">
        <is>
          <t>180ml</t>
        </is>
      </c>
      <c r="E9" s="297" t="n"/>
      <c r="F9" s="248" t="inlineStr">
        <is>
          <t>Trứng cút rim tiêu</t>
        </is>
      </c>
      <c r="G9" s="242" t="inlineStr">
        <is>
          <t>4 quả</t>
        </is>
      </c>
      <c r="H9" s="232" t="n"/>
      <c r="I9" s="246" t="inlineStr">
        <is>
          <t>Chuối om thịt</t>
        </is>
      </c>
      <c r="J9" s="249" t="inlineStr">
        <is>
          <t xml:space="preserve">60g-70g
</t>
        </is>
      </c>
      <c r="K9" s="297" t="n"/>
      <c r="L9" s="247" t="inlineStr">
        <is>
          <t>Cá chiên</t>
        </is>
      </c>
      <c r="M9" s="247" t="inlineStr">
        <is>
          <t>30g-35g</t>
        </is>
      </c>
    </row>
    <row r="10" ht="43.2" customHeight="1">
      <c r="B10" s="349" t="n"/>
      <c r="C10" s="240" t="n"/>
      <c r="D10" s="240" t="n"/>
      <c r="E10" s="297" t="n"/>
      <c r="F10" s="250" t="inlineStr">
        <is>
          <t>Bắp cải luộc</t>
        </is>
      </c>
      <c r="G10" s="242" t="inlineStr">
        <is>
          <t>75g-80g</t>
        </is>
      </c>
      <c r="H10" s="232" t="n"/>
      <c r="I10" s="246" t="inlineStr">
        <is>
          <t>Rau muống luộc</t>
        </is>
      </c>
      <c r="J10" s="249" t="inlineStr">
        <is>
          <t>75g-80g</t>
        </is>
      </c>
      <c r="K10" s="297" t="n"/>
      <c r="L10" s="247" t="inlineStr">
        <is>
          <t>Giò lụa</t>
        </is>
      </c>
      <c r="M10" s="247" t="inlineStr">
        <is>
          <t>15g-20g</t>
        </is>
      </c>
    </row>
    <row r="11" ht="43.2" customHeight="1">
      <c r="B11" s="349" t="n"/>
      <c r="C11" s="240" t="n"/>
      <c r="D11" s="240" t="n"/>
      <c r="E11" s="297" t="n"/>
      <c r="F11" s="250" t="inlineStr">
        <is>
          <t>Cơm trắng</t>
        </is>
      </c>
      <c r="G11" s="242" t="inlineStr">
        <is>
          <t>200-250gr</t>
        </is>
      </c>
      <c r="H11" s="232" t="n"/>
      <c r="I11" s="246" t="inlineStr">
        <is>
          <t>Cơm trắng</t>
        </is>
      </c>
      <c r="J11" s="249" t="inlineStr">
        <is>
          <t>200-250gr</t>
        </is>
      </c>
      <c r="K11" s="297" t="n"/>
      <c r="L11" s="247" t="n"/>
      <c r="M11" s="247" t="n"/>
    </row>
    <row r="12" ht="43.2" customHeight="1">
      <c r="B12" s="349" t="n"/>
      <c r="C12" s="240" t="n"/>
      <c r="D12" s="240" t="n"/>
      <c r="E12" s="297" t="n"/>
      <c r="F12" s="250" t="inlineStr">
        <is>
          <t>Canh rau ngót</t>
        </is>
      </c>
      <c r="G12" s="242" t="inlineStr">
        <is>
          <t>300-350gr</t>
        </is>
      </c>
      <c r="H12" s="232" t="n"/>
      <c r="I12" s="246" t="inlineStr">
        <is>
          <t>Nước luộc dầm chua</t>
        </is>
      </c>
      <c r="J12" s="249" t="inlineStr">
        <is>
          <t>300-350gr</t>
        </is>
      </c>
      <c r="K12" s="297" t="n"/>
      <c r="L12" s="247" t="n"/>
      <c r="M12" s="247" t="n"/>
    </row>
    <row r="13" ht="43.2" customHeight="1">
      <c r="B13" s="346" t="n"/>
      <c r="C13" s="240" t="n"/>
      <c r="D13" s="240" t="n"/>
      <c r="E13" s="297" t="n"/>
      <c r="F13" s="250" t="inlineStr">
        <is>
          <t>Ổi</t>
        </is>
      </c>
      <c r="G13" s="242" t="inlineStr">
        <is>
          <t>80g</t>
        </is>
      </c>
      <c r="H13" s="232" t="n"/>
      <c r="I13" s="246" t="inlineStr">
        <is>
          <t>Thanh long</t>
        </is>
      </c>
      <c r="J13" s="249" t="inlineStr">
        <is>
          <t>80g</t>
        </is>
      </c>
      <c r="K13" s="297" t="n"/>
      <c r="L13" s="247" t="n"/>
      <c r="M13" s="247" t="n"/>
    </row>
    <row r="14" ht="43.2" customHeight="1">
      <c r="B14" s="297" t="n"/>
      <c r="C14" s="303" t="n"/>
      <c r="D14" s="303" t="n"/>
      <c r="E14" s="297" t="n"/>
      <c r="F14" s="251" t="n"/>
      <c r="G14" s="252" t="n"/>
      <c r="H14" s="232" t="n"/>
      <c r="I14" s="251" t="n"/>
      <c r="J14" s="252" t="n"/>
      <c r="K14" s="297" t="n"/>
      <c r="L14" s="253" t="n"/>
      <c r="M14" s="253" t="n"/>
    </row>
    <row r="15" ht="43.2" customHeight="1">
      <c r="B15" s="351" t="inlineStr">
        <is>
          <t>Thứ 3</t>
        </is>
      </c>
      <c r="C15" s="240" t="inlineStr">
        <is>
          <t>Cháo ngao</t>
        </is>
      </c>
      <c r="D15" s="240" t="inlineStr">
        <is>
          <t>200-230g</t>
        </is>
      </c>
      <c r="E15" s="297" t="n"/>
      <c r="F15" s="248" t="inlineStr">
        <is>
          <t>Bò nấu sốt vang</t>
        </is>
      </c>
      <c r="G15" s="242" t="inlineStr">
        <is>
          <t>35g-40g</t>
        </is>
      </c>
      <c r="H15" s="232" t="n"/>
      <c r="I15" s="246" t="inlineStr">
        <is>
          <t>Cá sốt cà chua</t>
        </is>
      </c>
      <c r="J15" s="249" t="inlineStr">
        <is>
          <t>75g-80g</t>
        </is>
      </c>
      <c r="K15" s="297" t="n"/>
      <c r="L15" s="355" t="inlineStr">
        <is>
          <t>Xôi gà đỗ xanh</t>
        </is>
      </c>
      <c r="M15" s="342" t="n"/>
    </row>
    <row r="16" ht="43.2" customHeight="1">
      <c r="B16" s="349" t="n"/>
      <c r="C16" s="240" t="inlineStr">
        <is>
          <t>Trứng vịt lộn</t>
        </is>
      </c>
      <c r="D16" s="240" t="inlineStr">
        <is>
          <t>1 quả</t>
        </is>
      </c>
      <c r="E16" s="297" t="n"/>
      <c r="F16" s="248" t="inlineStr">
        <is>
          <t>Ức gà xào hành nấm</t>
        </is>
      </c>
      <c r="G16" s="242" t="inlineStr">
        <is>
          <t>35g-40g</t>
        </is>
      </c>
      <c r="H16" s="232" t="n"/>
      <c r="I16" s="243" t="inlineStr">
        <is>
          <t>Tim xào dưa</t>
        </is>
      </c>
      <c r="J16" s="249" t="inlineStr">
        <is>
          <t>20g-25g</t>
        </is>
      </c>
      <c r="K16" s="303" t="n"/>
      <c r="L16" s="247" t="inlineStr">
        <is>
          <t>Gà xé</t>
        </is>
      </c>
      <c r="M16" s="247" t="inlineStr">
        <is>
          <t>30g-35g</t>
        </is>
      </c>
    </row>
    <row r="17" ht="43.2" customHeight="1">
      <c r="B17" s="349" t="n"/>
      <c r="C17" s="240" t="inlineStr">
        <is>
          <t>Quẩy</t>
        </is>
      </c>
      <c r="D17" s="240" t="inlineStr">
        <is>
          <t>1 cái</t>
        </is>
      </c>
      <c r="E17" s="297" t="n"/>
      <c r="F17" s="250" t="inlineStr">
        <is>
          <t>Đậu sốt cà chua</t>
        </is>
      </c>
      <c r="G17" s="242" t="inlineStr">
        <is>
          <t>50g-60g</t>
        </is>
      </c>
      <c r="H17" s="232" t="n"/>
      <c r="I17" s="243" t="inlineStr">
        <is>
          <t>Lạc chao</t>
        </is>
      </c>
      <c r="J17" s="249" t="inlineStr">
        <is>
          <t>20g-30g</t>
        </is>
      </c>
      <c r="K17" s="297" t="n"/>
      <c r="L17" s="247" t="inlineStr">
        <is>
          <t>Sữa chua</t>
        </is>
      </c>
      <c r="M17" s="247" t="inlineStr">
        <is>
          <t>1 hộp95g</t>
        </is>
      </c>
    </row>
    <row r="18" ht="43.2" customHeight="1">
      <c r="B18" s="349" t="n"/>
      <c r="C18" s="240" t="n"/>
      <c r="D18" s="240" t="n"/>
      <c r="E18" s="297" t="n"/>
      <c r="F18" s="250" t="inlineStr">
        <is>
          <t>Đỗ cove luộc</t>
        </is>
      </c>
      <c r="G18" s="242" t="inlineStr">
        <is>
          <t>75g-80g</t>
        </is>
      </c>
      <c r="H18" s="232" t="n"/>
      <c r="I18" s="246" t="inlineStr">
        <is>
          <t>Bí xanh luộc</t>
        </is>
      </c>
      <c r="J18" s="249" t="inlineStr">
        <is>
          <t>75g-80g</t>
        </is>
      </c>
      <c r="K18" s="297" t="n"/>
      <c r="L18" s="247" t="n"/>
      <c r="M18" s="247" t="n"/>
    </row>
    <row r="19" ht="43.2" customHeight="1">
      <c r="B19" s="349" t="n"/>
      <c r="C19" s="240" t="n"/>
      <c r="D19" s="240" t="n"/>
      <c r="E19" s="297" t="n"/>
      <c r="F19" s="250" t="inlineStr">
        <is>
          <t>Cơm trắng</t>
        </is>
      </c>
      <c r="G19" s="242" t="inlineStr">
        <is>
          <t>200-250gr</t>
        </is>
      </c>
      <c r="H19" s="232" t="n"/>
      <c r="I19" s="246" t="inlineStr">
        <is>
          <t>Cơm trắng</t>
        </is>
      </c>
      <c r="J19" s="249" t="inlineStr">
        <is>
          <t>200-250gr</t>
        </is>
      </c>
      <c r="K19" s="297" t="n"/>
      <c r="L19" s="247" t="n"/>
      <c r="M19" s="247" t="n"/>
    </row>
    <row r="20" ht="43.2" customHeight="1">
      <c r="B20" s="349" t="n"/>
      <c r="C20" s="240" t="n"/>
      <c r="D20" s="240" t="n"/>
      <c r="E20" s="297" t="n"/>
      <c r="F20" s="250" t="inlineStr">
        <is>
          <t>Canh rau dền</t>
        </is>
      </c>
      <c r="G20" s="242" t="inlineStr">
        <is>
          <t>300-350gr</t>
        </is>
      </c>
      <c r="H20" s="232" t="n"/>
      <c r="I20" s="246" t="inlineStr">
        <is>
          <t>Canh cải xanh</t>
        </is>
      </c>
      <c r="J20" s="249" t="inlineStr">
        <is>
          <t>300-350gr</t>
        </is>
      </c>
      <c r="K20" s="297" t="n"/>
      <c r="L20" s="247" t="n"/>
      <c r="M20" s="247" t="n"/>
    </row>
    <row r="21" ht="43.2" customHeight="1">
      <c r="B21" s="346" t="n"/>
      <c r="C21" s="240" t="n"/>
      <c r="D21" s="240" t="n"/>
      <c r="E21" s="297" t="n"/>
      <c r="F21" s="250" t="inlineStr">
        <is>
          <t>Chuối</t>
        </is>
      </c>
      <c r="G21" s="242" t="inlineStr">
        <is>
          <t>1 quả</t>
        </is>
      </c>
      <c r="H21" s="232" t="n"/>
      <c r="I21" s="246" t="inlineStr">
        <is>
          <t>Dưa hấu</t>
        </is>
      </c>
      <c r="J21" s="249" t="inlineStr">
        <is>
          <t>90g-100g</t>
        </is>
      </c>
      <c r="K21" s="297" t="n"/>
      <c r="L21" s="247" t="n"/>
      <c r="M21" s="247" t="n"/>
    </row>
    <row r="22" ht="43.2" customHeight="1">
      <c r="B22" s="297" t="n"/>
      <c r="C22" s="303" t="n"/>
      <c r="D22" s="303" t="n"/>
      <c r="E22" s="297" t="n"/>
      <c r="F22" s="251" t="n"/>
      <c r="G22" s="252" t="n"/>
      <c r="H22" s="232" t="n"/>
      <c r="I22" s="251" t="n"/>
      <c r="J22" s="252" t="n"/>
      <c r="K22" s="297" t="n"/>
      <c r="L22" s="254" t="n"/>
      <c r="M22" s="254" t="n"/>
      <c r="N22" s="79" t="n"/>
      <c r="O22" s="91" t="n"/>
    </row>
    <row r="23" ht="43.2" customHeight="1">
      <c r="B23" s="351" t="inlineStr">
        <is>
          <t>Thứ 4</t>
        </is>
      </c>
      <c r="C23" s="240" t="inlineStr">
        <is>
          <t>Bún chấm</t>
        </is>
      </c>
      <c r="D23" s="240" t="inlineStr">
        <is>
          <t>200g-230g</t>
        </is>
      </c>
      <c r="E23" s="297" t="n"/>
      <c r="F23" s="250" t="inlineStr">
        <is>
          <t>Gà chiên mắm</t>
        </is>
      </c>
      <c r="G23" s="242" t="inlineStr">
        <is>
          <t>60g-70g</t>
        </is>
      </c>
      <c r="H23" s="232" t="n"/>
      <c r="I23" s="246" t="inlineStr">
        <is>
          <t>Sườn chua ngọt</t>
        </is>
      </c>
      <c r="J23" s="249" t="inlineStr">
        <is>
          <t>55g-60g</t>
        </is>
      </c>
      <c r="K23" s="303" t="n"/>
      <c r="L23" s="355" t="inlineStr">
        <is>
          <t>Cháo Sườn ngô</t>
        </is>
      </c>
      <c r="M23" s="342" t="n"/>
    </row>
    <row r="24" ht="43.2" customHeight="1">
      <c r="B24" s="349" t="n"/>
      <c r="C24" s="240" t="inlineStr">
        <is>
          <t>Thịt nướng</t>
        </is>
      </c>
      <c r="D24" s="240" t="inlineStr">
        <is>
          <t>25g-30g</t>
        </is>
      </c>
      <c r="E24" s="297" t="n"/>
      <c r="F24" s="250" t="inlineStr">
        <is>
          <t>Giò lụa rim tiêu</t>
        </is>
      </c>
      <c r="G24" s="242" t="inlineStr">
        <is>
          <t>35g-40g</t>
        </is>
      </c>
      <c r="H24" s="232" t="n"/>
      <c r="I24" s="246" t="inlineStr">
        <is>
          <t>Trứng đúc thịt</t>
        </is>
      </c>
      <c r="J24" s="249" t="inlineStr">
        <is>
          <t>60g</t>
        </is>
      </c>
      <c r="K24" s="297" t="n"/>
      <c r="L24" s="247" t="inlineStr">
        <is>
          <t>Sườn</t>
        </is>
      </c>
      <c r="M24" s="247" t="inlineStr">
        <is>
          <t>45g-50g</t>
        </is>
      </c>
    </row>
    <row r="25" ht="43.2" customHeight="1">
      <c r="B25" s="349" t="n"/>
      <c r="C25" s="240" t="n"/>
      <c r="D25" s="240" t="n"/>
      <c r="E25" s="297" t="n"/>
      <c r="F25" s="250" t="inlineStr">
        <is>
          <t>Mướp đắng xào trứng</t>
        </is>
      </c>
      <c r="G25" s="242" t="inlineStr">
        <is>
          <t>60g</t>
        </is>
      </c>
      <c r="H25" s="232" t="n"/>
      <c r="I25" s="246" t="inlineStr">
        <is>
          <t>Đậu om cà</t>
        </is>
      </c>
      <c r="J25" s="249" t="inlineStr">
        <is>
          <t>60g</t>
        </is>
      </c>
      <c r="K25" s="297" t="n"/>
      <c r="L25" s="247" t="inlineStr">
        <is>
          <t>Ngô ngọt</t>
        </is>
      </c>
      <c r="M25" s="247" t="inlineStr">
        <is>
          <t>20g-25g</t>
        </is>
      </c>
    </row>
    <row r="26" ht="43.2" customHeight="1">
      <c r="B26" s="349" t="n"/>
      <c r="C26" s="240" t="n"/>
      <c r="D26" s="240" t="n"/>
      <c r="E26" s="297" t="n"/>
      <c r="F26" s="250" t="inlineStr">
        <is>
          <t>Rau muống luộc</t>
        </is>
      </c>
      <c r="G26" s="242" t="inlineStr">
        <is>
          <t>75g-80g</t>
        </is>
      </c>
      <c r="H26" s="232" t="n"/>
      <c r="I26" s="246" t="inlineStr">
        <is>
          <t>Củ cải luộc</t>
        </is>
      </c>
      <c r="J26" s="249" t="inlineStr">
        <is>
          <t>75g-80g</t>
        </is>
      </c>
      <c r="K26" s="297" t="n"/>
      <c r="L26" s="247" t="n"/>
      <c r="M26" s="247" t="n"/>
    </row>
    <row r="27" ht="43.2" customHeight="1">
      <c r="B27" s="349" t="n"/>
      <c r="C27" s="240" t="n"/>
      <c r="D27" s="240" t="n"/>
      <c r="E27" s="297" t="n"/>
      <c r="F27" s="250" t="inlineStr">
        <is>
          <t>Cơm trắng</t>
        </is>
      </c>
      <c r="G27" s="242" t="inlineStr">
        <is>
          <t>200-250gr</t>
        </is>
      </c>
      <c r="H27" s="232" t="n"/>
      <c r="I27" s="246" t="inlineStr">
        <is>
          <t>Cơm trắng</t>
        </is>
      </c>
      <c r="J27" s="249" t="inlineStr">
        <is>
          <t>200-250gr</t>
        </is>
      </c>
      <c r="K27" s="297" t="n"/>
      <c r="L27" s="247" t="n"/>
      <c r="M27" s="247" t="n"/>
    </row>
    <row r="28" ht="43.2" customHeight="1">
      <c r="B28" s="349" t="n"/>
      <c r="C28" s="240" t="n"/>
      <c r="D28" s="240" t="n"/>
      <c r="E28" s="297" t="n"/>
      <c r="F28" s="250" t="inlineStr">
        <is>
          <t>Nước luộc dầm chua</t>
        </is>
      </c>
      <c r="G28" s="242" t="inlineStr">
        <is>
          <t>300-350gr</t>
        </is>
      </c>
      <c r="H28" s="232" t="n"/>
      <c r="I28" s="246" t="inlineStr">
        <is>
          <t>Canh rau ngót</t>
        </is>
      </c>
      <c r="J28" s="249" t="inlineStr">
        <is>
          <t>300-350gr</t>
        </is>
      </c>
      <c r="K28" s="297" t="n"/>
      <c r="L28" s="247" t="n"/>
      <c r="M28" s="247" t="n"/>
    </row>
    <row r="29" ht="43.2" customHeight="1">
      <c r="B29" s="346" t="n"/>
      <c r="C29" s="240" t="n"/>
      <c r="D29" s="240" t="n"/>
      <c r="E29" s="297" t="n"/>
      <c r="F29" s="250" t="inlineStr">
        <is>
          <t>Cam</t>
        </is>
      </c>
      <c r="G29" s="242" t="inlineStr">
        <is>
          <t>80g</t>
        </is>
      </c>
      <c r="H29" s="232" t="n"/>
      <c r="I29" s="246" t="inlineStr">
        <is>
          <t>Ổi</t>
        </is>
      </c>
      <c r="J29" s="249" t="inlineStr">
        <is>
          <t>80g</t>
        </is>
      </c>
      <c r="K29" s="297" t="n"/>
      <c r="L29" s="247" t="n"/>
      <c r="M29" s="247" t="n"/>
    </row>
    <row r="30" ht="43.2" customHeight="1">
      <c r="B30" s="297" t="n"/>
      <c r="C30" s="303" t="n"/>
      <c r="D30" s="303" t="n"/>
      <c r="E30" s="297" t="n"/>
      <c r="F30" s="251" t="n"/>
      <c r="G30" s="252" t="n"/>
      <c r="H30" s="232" t="n"/>
      <c r="I30" s="251" t="n"/>
      <c r="J30" s="252" t="n"/>
      <c r="K30" s="297" t="n"/>
      <c r="L30" s="254" t="n"/>
      <c r="M30" s="254" t="n"/>
    </row>
    <row r="31" ht="43.2" customHeight="1">
      <c r="B31" s="351" t="inlineStr">
        <is>
          <t>Thứ 5</t>
        </is>
      </c>
      <c r="C31" s="240" t="inlineStr">
        <is>
          <t>Xôi giò rim</t>
        </is>
      </c>
      <c r="D31" s="240" t="inlineStr">
        <is>
          <t>180g-200g</t>
        </is>
      </c>
      <c r="E31" s="297" t="n"/>
      <c r="F31" s="250" t="inlineStr">
        <is>
          <t>Vịt om sấu khoai môn</t>
        </is>
      </c>
      <c r="G31" s="242" t="inlineStr">
        <is>
          <t>50g-55g</t>
        </is>
      </c>
      <c r="H31" s="232" t="n"/>
      <c r="I31" s="246" t="inlineStr">
        <is>
          <t>Bò kho củ cải</t>
        </is>
      </c>
      <c r="J31" s="249" t="inlineStr">
        <is>
          <t>35g-40g</t>
        </is>
      </c>
      <c r="K31" s="297" t="n"/>
      <c r="L31" s="355" t="inlineStr">
        <is>
          <t>Bánh cuốn chả mực + thịt nướng</t>
        </is>
      </c>
      <c r="M31" s="342" t="n"/>
    </row>
    <row r="32" ht="43.2" customHeight="1">
      <c r="B32" s="349" t="n"/>
      <c r="C32" s="240" t="inlineStr">
        <is>
          <t>Sữa fami</t>
        </is>
      </c>
      <c r="D32" s="240" t="inlineStr">
        <is>
          <t>180ml</t>
        </is>
      </c>
      <c r="E32" s="297" t="n"/>
      <c r="F32" s="250" t="inlineStr">
        <is>
          <t>Thịt xào su su</t>
        </is>
      </c>
      <c r="G32" s="242" t="inlineStr">
        <is>
          <t>30g-35g</t>
        </is>
      </c>
      <c r="H32" s="232" t="n"/>
      <c r="I32" s="246" t="inlineStr">
        <is>
          <t>Chả cá sốt thì là</t>
        </is>
      </c>
      <c r="J32" s="249" t="inlineStr">
        <is>
          <t>40g-45g</t>
        </is>
      </c>
      <c r="K32" s="297" t="n"/>
      <c r="L32" s="247" t="inlineStr">
        <is>
          <t>Bánh cuốn</t>
        </is>
      </c>
      <c r="M32" s="247" t="inlineStr">
        <is>
          <t>230g-250g</t>
        </is>
      </c>
      <c r="N32" s="80" t="n"/>
    </row>
    <row r="33" ht="43.2" customHeight="1">
      <c r="B33" s="349" t="n"/>
      <c r="C33" s="255" t="n"/>
      <c r="D33" s="255" t="n"/>
      <c r="E33" s="297" t="n"/>
      <c r="F33" s="250" t="inlineStr">
        <is>
          <t>Lạc chao</t>
        </is>
      </c>
      <c r="G33" s="242" t="inlineStr">
        <is>
          <t>20g-25g</t>
        </is>
      </c>
      <c r="H33" s="232" t="n"/>
      <c r="I33" s="246" t="inlineStr">
        <is>
          <t>Thịt băm om chuối</t>
        </is>
      </c>
      <c r="J33" s="249" t="inlineStr">
        <is>
          <t>60g</t>
        </is>
      </c>
      <c r="K33" s="297" t="n"/>
      <c r="L33" s="247" t="inlineStr">
        <is>
          <t>Chả mực</t>
        </is>
      </c>
      <c r="M33" s="247" t="inlineStr">
        <is>
          <t>20g</t>
        </is>
      </c>
    </row>
    <row r="34" ht="43.2" customHeight="1">
      <c r="B34" s="349" t="n"/>
      <c r="C34" s="240" t="n"/>
      <c r="D34" s="240" t="n"/>
      <c r="E34" s="297" t="n"/>
      <c r="F34" s="250" t="inlineStr">
        <is>
          <t>Bắp cải luộc</t>
        </is>
      </c>
      <c r="G34" s="242" t="inlineStr">
        <is>
          <t>75g-80g</t>
        </is>
      </c>
      <c r="H34" s="232" t="n"/>
      <c r="I34" s="246" t="inlineStr">
        <is>
          <t>Đỗ cove luộc</t>
        </is>
      </c>
      <c r="J34" s="249" t="inlineStr">
        <is>
          <t>75g-80g</t>
        </is>
      </c>
      <c r="K34" s="297" t="n"/>
      <c r="L34" s="247" t="inlineStr">
        <is>
          <t>Thịt nướng</t>
        </is>
      </c>
      <c r="M34" s="247" t="inlineStr">
        <is>
          <t>30g-35g</t>
        </is>
      </c>
    </row>
    <row r="35" ht="43.2" customHeight="1">
      <c r="B35" s="349" t="n"/>
      <c r="C35" s="240" t="n"/>
      <c r="D35" s="240" t="n"/>
      <c r="E35" s="297" t="n"/>
      <c r="F35" s="250" t="inlineStr">
        <is>
          <t>Cơm trắng</t>
        </is>
      </c>
      <c r="G35" s="242" t="inlineStr">
        <is>
          <t>200-250gr</t>
        </is>
      </c>
      <c r="H35" s="232" t="n"/>
      <c r="I35" s="246" t="inlineStr">
        <is>
          <t>Cơm trắng</t>
        </is>
      </c>
      <c r="J35" s="249" t="inlineStr">
        <is>
          <t>200-250gr</t>
        </is>
      </c>
      <c r="K35" s="297" t="n"/>
      <c r="L35" s="247" t="n"/>
      <c r="M35" s="247" t="n"/>
    </row>
    <row r="36" ht="43.2" customHeight="1">
      <c r="B36" s="349" t="n"/>
      <c r="C36" s="240" t="n"/>
      <c r="D36" s="240" t="n"/>
      <c r="E36" s="297" t="n"/>
      <c r="F36" s="250" t="inlineStr">
        <is>
          <t>Canh chua dứa giá</t>
        </is>
      </c>
      <c r="G36" s="242" t="inlineStr">
        <is>
          <t>300-350gr</t>
        </is>
      </c>
      <c r="H36" s="232" t="n"/>
      <c r="I36" s="246" t="inlineStr">
        <is>
          <t>Canh rau dền</t>
        </is>
      </c>
      <c r="J36" s="249" t="inlineStr">
        <is>
          <t>300-350gr</t>
        </is>
      </c>
      <c r="K36" s="297" t="n"/>
      <c r="L36" s="247" t="n"/>
      <c r="M36" s="247" t="n"/>
    </row>
    <row r="37" ht="43.2" customHeight="1">
      <c r="B37" s="346" t="n"/>
      <c r="C37" s="240" t="n"/>
      <c r="D37" s="240" t="n"/>
      <c r="E37" s="297" t="n"/>
      <c r="F37" s="250" t="inlineStr">
        <is>
          <t>Sữa chua</t>
        </is>
      </c>
      <c r="G37" s="242" t="inlineStr">
        <is>
          <t>1 hộp</t>
        </is>
      </c>
      <c r="H37" s="232" t="n"/>
      <c r="I37" s="246" t="inlineStr">
        <is>
          <t>Cam</t>
        </is>
      </c>
      <c r="J37" s="249" t="inlineStr">
        <is>
          <t>80g</t>
        </is>
      </c>
      <c r="K37" s="297" t="n"/>
      <c r="L37" s="247" t="n"/>
      <c r="M37" s="247" t="n"/>
    </row>
    <row r="38" ht="43.2" customHeight="1">
      <c r="B38" s="297" t="n"/>
      <c r="C38" s="303" t="n"/>
      <c r="D38" s="303" t="n"/>
      <c r="E38" s="297" t="n"/>
      <c r="F38" s="251" t="n"/>
      <c r="G38" s="252" t="n"/>
      <c r="H38" s="232" t="n"/>
      <c r="I38" s="251" t="n"/>
      <c r="J38" s="252" t="n"/>
      <c r="K38" s="297" t="n"/>
      <c r="L38" s="254" t="n"/>
      <c r="M38" s="254" t="n"/>
    </row>
    <row r="39" ht="43.2" customHeight="1">
      <c r="B39" s="351" t="inlineStr">
        <is>
          <t>Thứ 6</t>
        </is>
      </c>
      <c r="C39" s="240" t="inlineStr">
        <is>
          <t>Cháo thịt băm</t>
        </is>
      </c>
      <c r="D39" s="240" t="inlineStr">
        <is>
          <t>200g-230g</t>
        </is>
      </c>
      <c r="E39" s="297" t="n"/>
      <c r="F39" s="250" t="inlineStr">
        <is>
          <t>Cá nục kho cay</t>
        </is>
      </c>
      <c r="G39" s="242" t="inlineStr">
        <is>
          <t>60g-70g</t>
        </is>
      </c>
      <c r="H39" s="232" t="n"/>
      <c r="I39" s="246" t="inlineStr">
        <is>
          <t>Gà om nấm</t>
        </is>
      </c>
      <c r="J39" s="249" t="inlineStr">
        <is>
          <t>60g-70g</t>
        </is>
      </c>
      <c r="K39" s="297" t="n"/>
      <c r="L39" s="355" t="inlineStr">
        <is>
          <t>Xôi thịt kho trứng</t>
        </is>
      </c>
      <c r="M39" s="342" t="n"/>
    </row>
    <row r="40" ht="43.2" customHeight="1">
      <c r="B40" s="349" t="n"/>
      <c r="C40" s="240" t="inlineStr">
        <is>
          <t>Trứng vịt lộn</t>
        </is>
      </c>
      <c r="D40" s="240" t="inlineStr">
        <is>
          <t>1 quả</t>
        </is>
      </c>
      <c r="E40" s="297" t="n"/>
      <c r="F40" s="250" t="inlineStr">
        <is>
          <t>Thịt xào măng giá</t>
        </is>
      </c>
      <c r="G40" s="242" t="inlineStr">
        <is>
          <t>30g-35g</t>
        </is>
      </c>
      <c r="H40" s="232" t="n"/>
      <c r="I40" s="246" t="inlineStr">
        <is>
          <t>Giò lụa rim</t>
        </is>
      </c>
      <c r="J40" s="249" t="inlineStr">
        <is>
          <t>35g-40g</t>
        </is>
      </c>
      <c r="K40" s="297" t="n"/>
      <c r="L40" s="247" t="inlineStr">
        <is>
          <t>Thịt</t>
        </is>
      </c>
      <c r="M40" s="247" t="inlineStr">
        <is>
          <t>35g-40g</t>
        </is>
      </c>
    </row>
    <row r="41" ht="43.2" customHeight="1">
      <c r="B41" s="349" t="n"/>
      <c r="C41" s="240" t="inlineStr">
        <is>
          <t>Quẩy</t>
        </is>
      </c>
      <c r="D41" s="240" t="inlineStr">
        <is>
          <t>1 cái</t>
        </is>
      </c>
      <c r="E41" s="297" t="n"/>
      <c r="F41" s="250" t="inlineStr">
        <is>
          <t>Đậu sốt trắng cà chua</t>
        </is>
      </c>
      <c r="G41" s="242" t="inlineStr">
        <is>
          <t>60g-70g</t>
        </is>
      </c>
      <c r="H41" s="232" t="n"/>
      <c r="I41" s="246" t="inlineStr">
        <is>
          <t>Thịt băm xào đỗ cove</t>
        </is>
      </c>
      <c r="J41" s="249" t="inlineStr">
        <is>
          <t>40g-50g</t>
        </is>
      </c>
      <c r="K41" s="297" t="n"/>
      <c r="L41" s="247" t="inlineStr">
        <is>
          <t>Trứng gà</t>
        </is>
      </c>
      <c r="M41" s="247" t="inlineStr">
        <is>
          <t>1 quả</t>
        </is>
      </c>
    </row>
    <row r="42" ht="43.2" customHeight="1">
      <c r="B42" s="349" t="n"/>
      <c r="C42" s="240" t="n"/>
      <c r="D42" s="240" t="n"/>
      <c r="E42" s="297" t="n"/>
      <c r="F42" s="250" t="inlineStr">
        <is>
          <t>Bí đỏ xào tỏi</t>
        </is>
      </c>
      <c r="G42" s="242" t="inlineStr">
        <is>
          <t>75g-80g</t>
        </is>
      </c>
      <c r="H42" s="232" t="n"/>
      <c r="I42" s="246" t="inlineStr">
        <is>
          <t>Rau muống luộc</t>
        </is>
      </c>
      <c r="J42" s="249" t="inlineStr">
        <is>
          <t>75g-80g</t>
        </is>
      </c>
      <c r="K42" s="297" t="n"/>
      <c r="L42" s="247" t="n"/>
      <c r="M42" s="247" t="n"/>
    </row>
    <row r="43" ht="43.2" customHeight="1">
      <c r="B43" s="349" t="n"/>
      <c r="C43" s="240" t="n"/>
      <c r="D43" s="240" t="n"/>
      <c r="E43" s="297" t="n"/>
      <c r="F43" s="250" t="inlineStr">
        <is>
          <t>Cơm trắng</t>
        </is>
      </c>
      <c r="G43" s="242" t="inlineStr">
        <is>
          <t>200-250gr</t>
        </is>
      </c>
      <c r="H43" s="232" t="n"/>
      <c r="I43" s="246" t="inlineStr">
        <is>
          <t>Cơm trắng</t>
        </is>
      </c>
      <c r="J43" s="249" t="inlineStr">
        <is>
          <t>200-250gr</t>
        </is>
      </c>
      <c r="K43" s="297" t="n"/>
      <c r="L43" s="247" t="n"/>
      <c r="M43" s="247" t="n"/>
    </row>
    <row r="44" ht="43.2" customHeight="1">
      <c r="B44" s="349" t="n"/>
      <c r="C44" s="240" t="n"/>
      <c r="D44" s="240" t="n"/>
      <c r="E44" s="297" t="n"/>
      <c r="F44" s="250" t="inlineStr">
        <is>
          <t>Canh rau ngót</t>
        </is>
      </c>
      <c r="G44" s="242" t="inlineStr">
        <is>
          <t>300-350gr</t>
        </is>
      </c>
      <c r="H44" s="232" t="n"/>
      <c r="I44" s="246" t="inlineStr">
        <is>
          <t>Nước luộc dầm chua</t>
        </is>
      </c>
      <c r="J44" s="249" t="inlineStr">
        <is>
          <t>300-350gr</t>
        </is>
      </c>
      <c r="K44" s="297" t="n"/>
      <c r="L44" s="247" t="n"/>
      <c r="M44" s="247" t="n"/>
    </row>
    <row r="45" ht="43.2" customHeight="1">
      <c r="B45" s="346" t="n"/>
      <c r="C45" s="240" t="n"/>
      <c r="D45" s="240" t="n"/>
      <c r="E45" s="297" t="n"/>
      <c r="F45" s="250" t="inlineStr">
        <is>
          <t>Chuối</t>
        </is>
      </c>
      <c r="G45" s="242" t="inlineStr">
        <is>
          <t>1 quả</t>
        </is>
      </c>
      <c r="H45" s="232" t="n"/>
      <c r="I45" s="246" t="inlineStr">
        <is>
          <t>Ổi</t>
        </is>
      </c>
      <c r="J45" s="249" t="inlineStr">
        <is>
          <t>80g</t>
        </is>
      </c>
      <c r="K45" s="297" t="n"/>
      <c r="L45" s="247" t="n"/>
      <c r="M45" s="247" t="n"/>
    </row>
    <row r="46" ht="43.2" customHeight="1">
      <c r="B46" s="297" t="n"/>
      <c r="C46" s="303" t="n"/>
      <c r="D46" s="303" t="n"/>
      <c r="E46" s="297" t="n"/>
      <c r="F46" s="251" t="n"/>
      <c r="G46" s="252" t="n"/>
      <c r="H46" s="232" t="n"/>
      <c r="I46" s="251" t="n"/>
      <c r="J46" s="252" t="n"/>
      <c r="K46" s="297" t="n"/>
      <c r="L46" s="254" t="n"/>
      <c r="M46" s="254" t="n"/>
    </row>
    <row r="47" ht="43.2" customHeight="1">
      <c r="B47" s="351" t="inlineStr">
        <is>
          <t>Thứ 7</t>
        </is>
      </c>
      <c r="C47" s="239" t="inlineStr">
        <is>
          <t>Bánh mì kẹp</t>
        </is>
      </c>
      <c r="D47" s="240" t="inlineStr">
        <is>
          <t>1 cái</t>
        </is>
      </c>
      <c r="E47" s="297" t="n"/>
      <c r="F47" s="250" t="inlineStr">
        <is>
          <t>Bò kho dưa chua</t>
        </is>
      </c>
      <c r="G47" s="242" t="inlineStr">
        <is>
          <t>35g-40g</t>
        </is>
      </c>
      <c r="H47" s="232" t="n"/>
      <c r="I47" s="246" t="inlineStr">
        <is>
          <t>Sườn chua ngọt</t>
        </is>
      </c>
      <c r="J47" s="249" t="inlineStr">
        <is>
          <t>55g-60g</t>
        </is>
      </c>
      <c r="K47" s="297" t="n"/>
      <c r="L47" s="355" t="inlineStr">
        <is>
          <t>Bún riêu ốc + giò</t>
        </is>
      </c>
      <c r="M47" s="342" t="n"/>
    </row>
    <row r="48" ht="43.2" customHeight="1">
      <c r="B48" s="349" t="n"/>
      <c r="C48" s="240" t="inlineStr">
        <is>
          <t>Trứng rán</t>
        </is>
      </c>
      <c r="D48" s="240" t="inlineStr">
        <is>
          <t>20g-25g</t>
        </is>
      </c>
      <c r="E48" s="297" t="n"/>
      <c r="F48" s="250" t="inlineStr">
        <is>
          <t>Ức gà chiên xù</t>
        </is>
      </c>
      <c r="G48" s="242" t="inlineStr">
        <is>
          <t>40g-50g</t>
        </is>
      </c>
      <c r="H48" s="232" t="n"/>
      <c r="I48" s="246" t="inlineStr">
        <is>
          <t>Trứng xào thịt băm</t>
        </is>
      </c>
      <c r="J48" s="249" t="inlineStr">
        <is>
          <t>55g-60g</t>
        </is>
      </c>
      <c r="K48" s="297" t="n"/>
      <c r="L48" s="247" t="inlineStr">
        <is>
          <t>Bún tươi</t>
        </is>
      </c>
      <c r="M48" s="247" t="inlineStr">
        <is>
          <t>230g-250g</t>
        </is>
      </c>
    </row>
    <row r="49" ht="43.2" customHeight="1">
      <c r="B49" s="349" t="n"/>
      <c r="C49" s="240" t="inlineStr">
        <is>
          <t>Xúc xích</t>
        </is>
      </c>
      <c r="D49" s="240" t="inlineStr">
        <is>
          <t>25g</t>
        </is>
      </c>
      <c r="E49" s="297" t="n"/>
      <c r="F49" s="250" t="inlineStr">
        <is>
          <t>Lạc chao</t>
        </is>
      </c>
      <c r="G49" s="242" t="inlineStr">
        <is>
          <t>20g-25g</t>
        </is>
      </c>
      <c r="H49" s="232" t="n"/>
      <c r="I49" s="246" t="inlineStr">
        <is>
          <t>Cá cơm chiên chua ngọt</t>
        </is>
      </c>
      <c r="J49" s="249" t="inlineStr">
        <is>
          <t>20g</t>
        </is>
      </c>
      <c r="K49" s="297" t="n"/>
      <c r="L49" s="247" t="inlineStr">
        <is>
          <t>Ốc</t>
        </is>
      </c>
      <c r="M49" s="247" t="inlineStr">
        <is>
          <t>35g-40g</t>
        </is>
      </c>
    </row>
    <row r="50" ht="43.2" customHeight="1">
      <c r="B50" s="349" t="n"/>
      <c r="C50" s="240" t="n"/>
      <c r="D50" s="240" t="n"/>
      <c r="E50" s="297" t="n"/>
      <c r="F50" s="250" t="inlineStr">
        <is>
          <t>Su su cà rốt luộc</t>
        </is>
      </c>
      <c r="G50" s="242" t="inlineStr">
        <is>
          <t>75g-80g</t>
        </is>
      </c>
      <c r="H50" s="232" t="n"/>
      <c r="I50" s="246" t="inlineStr">
        <is>
          <t>Bắp cải luộc</t>
        </is>
      </c>
      <c r="J50" s="249" t="inlineStr">
        <is>
          <t>75g-80g</t>
        </is>
      </c>
      <c r="K50" s="297" t="n"/>
      <c r="L50" s="247" t="inlineStr">
        <is>
          <t>Giò</t>
        </is>
      </c>
      <c r="M50" s="247" t="inlineStr">
        <is>
          <t>20g</t>
        </is>
      </c>
    </row>
    <row r="51" ht="43.2" customHeight="1">
      <c r="B51" s="349" t="n"/>
      <c r="C51" s="240" t="n"/>
      <c r="D51" s="240" t="n"/>
      <c r="E51" s="297" t="n"/>
      <c r="F51" s="250" t="inlineStr">
        <is>
          <t>Cơm trắng</t>
        </is>
      </c>
      <c r="G51" s="242" t="inlineStr">
        <is>
          <t>200-250gr</t>
        </is>
      </c>
      <c r="H51" s="232" t="n"/>
      <c r="I51" s="246" t="inlineStr">
        <is>
          <t>Cơm trắng</t>
        </is>
      </c>
      <c r="J51" s="249" t="inlineStr">
        <is>
          <t>200-250gr</t>
        </is>
      </c>
      <c r="K51" s="297" t="n"/>
      <c r="L51" s="247" t="n"/>
      <c r="M51" s="247" t="n"/>
    </row>
    <row r="52" ht="43.2" customHeight="1">
      <c r="B52" s="349" t="n"/>
      <c r="C52" s="240" t="n"/>
      <c r="D52" s="240" t="n"/>
      <c r="E52" s="297" t="n"/>
      <c r="F52" s="241" t="inlineStr">
        <is>
          <t>Canh cải ngọt</t>
        </is>
      </c>
      <c r="G52" s="242" t="inlineStr">
        <is>
          <t>300-350gr</t>
        </is>
      </c>
      <c r="H52" s="232" t="n"/>
      <c r="I52" s="246" t="inlineStr">
        <is>
          <t>Canh bầu xanh</t>
        </is>
      </c>
      <c r="J52" s="249" t="inlineStr">
        <is>
          <t>300-350gr</t>
        </is>
      </c>
      <c r="K52" s="297" t="n"/>
      <c r="L52" s="247" t="n"/>
      <c r="M52" s="247" t="n"/>
    </row>
    <row r="53" ht="43.2" customHeight="1">
      <c r="B53" s="346" t="n"/>
      <c r="C53" s="240" t="n"/>
      <c r="D53" s="240" t="n"/>
      <c r="E53" s="297" t="n"/>
      <c r="F53" s="250" t="inlineStr">
        <is>
          <t>Dưa hấu</t>
        </is>
      </c>
      <c r="G53" s="242" t="inlineStr">
        <is>
          <t>80g</t>
        </is>
      </c>
      <c r="H53" s="232" t="n"/>
      <c r="I53" s="246" t="inlineStr">
        <is>
          <t>Cam</t>
        </is>
      </c>
      <c r="J53" s="249" t="inlineStr">
        <is>
          <t>80g</t>
        </is>
      </c>
      <c r="K53" s="297" t="n"/>
      <c r="L53" s="247" t="n"/>
      <c r="M53" s="247" t="n"/>
    </row>
    <row r="54" ht="43.2" customHeight="1">
      <c r="B54" s="297" t="n"/>
      <c r="C54" s="303" t="n"/>
      <c r="D54" s="303" t="n"/>
      <c r="E54" s="297" t="n"/>
      <c r="F54" s="251" t="n"/>
      <c r="G54" s="252" t="n"/>
      <c r="H54" s="232" t="n"/>
      <c r="I54" s="251" t="n"/>
      <c r="J54" s="252" t="n"/>
      <c r="K54" s="297" t="n"/>
      <c r="L54" s="254" t="n"/>
      <c r="M54" s="254" t="n"/>
    </row>
    <row r="55" ht="43.2" customHeight="1">
      <c r="B55" s="351" t="inlineStr">
        <is>
          <t>Thứ CN</t>
        </is>
      </c>
      <c r="C55" s="256" t="inlineStr">
        <is>
          <t>Bánh chưng</t>
        </is>
      </c>
      <c r="D55" s="240" t="inlineStr">
        <is>
          <t>180g-200g</t>
        </is>
      </c>
      <c r="E55" s="297" t="n"/>
      <c r="F55" s="250" t="inlineStr">
        <is>
          <t>Tôm rim me</t>
        </is>
      </c>
      <c r="G55" s="242" t="inlineStr">
        <is>
          <t>30g-35g</t>
        </is>
      </c>
      <c r="H55" s="232" t="n"/>
      <c r="I55" s="246" t="inlineStr">
        <is>
          <t>Cá chiên giềng</t>
        </is>
      </c>
      <c r="J55" s="249" t="inlineStr">
        <is>
          <t>75g-80g</t>
        </is>
      </c>
      <c r="K55" s="303" t="n"/>
      <c r="L55" s="356" t="inlineStr">
        <is>
          <t>Bún hải sản</t>
        </is>
      </c>
      <c r="M55" s="342" t="n"/>
    </row>
    <row r="56" ht="43.2" customHeight="1">
      <c r="B56" s="349" t="n"/>
      <c r="C56" s="240" t="inlineStr">
        <is>
          <t>Sữa fami</t>
        </is>
      </c>
      <c r="D56" s="256" t="inlineStr">
        <is>
          <t>180ml</t>
        </is>
      </c>
      <c r="E56" s="297" t="n"/>
      <c r="F56" s="250" t="inlineStr">
        <is>
          <t>Thịt xào hành tây</t>
        </is>
      </c>
      <c r="G56" s="242" t="inlineStr">
        <is>
          <t>30g-35g</t>
        </is>
      </c>
      <c r="H56" s="232" t="n"/>
      <c r="I56" s="246" t="inlineStr">
        <is>
          <t>Ức gà xào sả ớt</t>
        </is>
      </c>
      <c r="J56" s="249" t="inlineStr">
        <is>
          <t>35g-40g</t>
        </is>
      </c>
      <c r="K56" s="297" t="n"/>
      <c r="L56" s="247" t="inlineStr">
        <is>
          <t>Bún tươi</t>
        </is>
      </c>
      <c r="M56" s="257" t="inlineStr">
        <is>
          <t>230g-250g</t>
        </is>
      </c>
    </row>
    <row r="57" ht="43.2" customHeight="1">
      <c r="B57" s="349" t="n"/>
      <c r="C57" s="240" t="n"/>
      <c r="D57" s="240" t="n"/>
      <c r="E57" s="297" t="n"/>
      <c r="F57" s="250" t="inlineStr">
        <is>
          <t>Ốc om chuối</t>
        </is>
      </c>
      <c r="G57" s="242" t="inlineStr">
        <is>
          <t>60g</t>
        </is>
      </c>
      <c r="H57" s="232" t="n"/>
      <c r="I57" s="246" t="inlineStr">
        <is>
          <t>Lạc chao</t>
        </is>
      </c>
      <c r="J57" s="249" t="inlineStr">
        <is>
          <t>15g-20g</t>
        </is>
      </c>
      <c r="K57" s="297" t="n"/>
      <c r="L57" s="247" t="inlineStr">
        <is>
          <t>Tôm</t>
        </is>
      </c>
      <c r="M57" s="247" t="inlineStr">
        <is>
          <t>20g</t>
        </is>
      </c>
    </row>
    <row r="58" ht="43.2" customHeight="1">
      <c r="B58" s="349" t="n"/>
      <c r="C58" s="240" t="n"/>
      <c r="D58" s="240" t="n"/>
      <c r="E58" s="297" t="n"/>
      <c r="F58" s="250" t="inlineStr">
        <is>
          <t>Đỗ cove luộc</t>
        </is>
      </c>
      <c r="G58" s="242" t="inlineStr">
        <is>
          <t>75g-80g</t>
        </is>
      </c>
      <c r="H58" s="232" t="n"/>
      <c r="I58" s="246" t="inlineStr">
        <is>
          <t>Khoai tây xào</t>
        </is>
      </c>
      <c r="J58" s="249" t="inlineStr">
        <is>
          <t>75g-80g</t>
        </is>
      </c>
      <c r="K58" s="297" t="n"/>
      <c r="L58" s="247" t="inlineStr">
        <is>
          <t>Cá chiên</t>
        </is>
      </c>
      <c r="M58" s="247" t="inlineStr">
        <is>
          <t>20g</t>
        </is>
      </c>
    </row>
    <row r="59" ht="43.2" customHeight="1">
      <c r="B59" s="349" t="n"/>
      <c r="C59" s="240" t="n"/>
      <c r="D59" s="240" t="n"/>
      <c r="E59" s="297" t="n"/>
      <c r="F59" s="250" t="inlineStr">
        <is>
          <t>Cơm trắng</t>
        </is>
      </c>
      <c r="G59" s="242" t="inlineStr">
        <is>
          <t>200-250gr</t>
        </is>
      </c>
      <c r="H59" s="232" t="n"/>
      <c r="I59" s="246" t="inlineStr">
        <is>
          <t>Cơm trắng</t>
        </is>
      </c>
      <c r="J59" s="249" t="inlineStr">
        <is>
          <t>200-250gr</t>
        </is>
      </c>
      <c r="K59" s="297" t="n"/>
      <c r="L59" s="247" t="inlineStr">
        <is>
          <t>Chả cá</t>
        </is>
      </c>
      <c r="M59" s="247" t="inlineStr">
        <is>
          <t>15g</t>
        </is>
      </c>
    </row>
    <row r="60" ht="43.2" customHeight="1">
      <c r="B60" s="349" t="n"/>
      <c r="C60" s="240" t="n"/>
      <c r="D60" s="240" t="n"/>
      <c r="E60" s="297" t="n"/>
      <c r="F60" s="250" t="inlineStr">
        <is>
          <t>Canh rau dền</t>
        </is>
      </c>
      <c r="G60" s="242" t="inlineStr">
        <is>
          <t>300-350gr</t>
        </is>
      </c>
      <c r="H60" s="232" t="n"/>
      <c r="I60" s="246" t="inlineStr">
        <is>
          <t>Canh rau ngót</t>
        </is>
      </c>
      <c r="J60" s="249" t="inlineStr">
        <is>
          <t>300-350gr</t>
        </is>
      </c>
      <c r="K60" s="297" t="n"/>
      <c r="L60" s="247" t="n"/>
      <c r="M60" s="247" t="n"/>
    </row>
    <row r="61" ht="43.2" customHeight="1">
      <c r="B61" s="346" t="n"/>
      <c r="C61" s="240" t="n"/>
      <c r="D61" s="240" t="n"/>
      <c r="E61" s="297" t="n"/>
      <c r="F61" s="250" t="inlineStr">
        <is>
          <t>Thạch</t>
        </is>
      </c>
      <c r="G61" s="242" t="inlineStr">
        <is>
          <t>90g</t>
        </is>
      </c>
      <c r="H61" s="232" t="n"/>
      <c r="I61" s="246" t="inlineStr">
        <is>
          <t>Chuối chín</t>
        </is>
      </c>
      <c r="J61" s="249" t="inlineStr">
        <is>
          <t>1 quả</t>
        </is>
      </c>
      <c r="K61" s="297" t="n"/>
      <c r="L61" s="247" t="n"/>
      <c r="M61" s="247" t="n"/>
    </row>
    <row r="62" ht="43.2" customHeight="1">
      <c r="B62" s="297" t="n"/>
      <c r="C62" s="303" t="n"/>
      <c r="D62" s="303" t="n"/>
      <c r="E62" s="297" t="n"/>
      <c r="F62" s="232" t="n"/>
      <c r="G62" s="297" t="n"/>
      <c r="H62" s="232" t="n"/>
      <c r="I62" s="232" t="n"/>
      <c r="J62" s="297" t="n"/>
      <c r="K62" s="297" t="n"/>
      <c r="L62" s="297" t="n"/>
      <c r="M62" s="297" t="n"/>
    </row>
    <row r="63" ht="43.2" customHeight="1">
      <c r="B63" s="297" t="n"/>
      <c r="C63" s="297" t="inlineStr">
        <is>
          <t>NHÀ CUNG CẤP</t>
        </is>
      </c>
      <c r="E63" s="297" t="n"/>
      <c r="F63" s="298" t="inlineStr">
        <is>
          <t>PHÒNG KÝ TÚC XÁ SGC</t>
        </is>
      </c>
      <c r="H63" s="232" t="n"/>
      <c r="I63" s="298" t="inlineStr">
        <is>
          <t>CÁN BỘ LÃNH ĐẠO DỰ ÁN</t>
        </is>
      </c>
      <c r="K63" s="297" t="n"/>
      <c r="L63" s="297" t="n"/>
      <c r="M63" s="297" t="n"/>
    </row>
    <row r="64" ht="43.2" customHeight="1">
      <c r="B64" s="297" t="n"/>
      <c r="C64" s="303" t="n"/>
      <c r="D64" s="303" t="n"/>
      <c r="E64" s="297" t="n"/>
      <c r="F64" s="232" t="n"/>
      <c r="G64" s="297" t="n"/>
      <c r="H64" s="232" t="n"/>
      <c r="I64" s="232" t="n"/>
      <c r="J64" s="297" t="n"/>
      <c r="K64" s="297" t="n"/>
      <c r="L64" s="297" t="n"/>
      <c r="M64" s="297" t="n"/>
    </row>
    <row r="65" ht="43.2" customHeight="1"/>
  </sheetData>
  <mergeCells count="26">
    <mergeCell ref="B39:B45"/>
    <mergeCell ref="L7:M7"/>
    <mergeCell ref="B1:D1"/>
    <mergeCell ref="F63:G63"/>
    <mergeCell ref="C5:D5"/>
    <mergeCell ref="B23:B29"/>
    <mergeCell ref="L47:M47"/>
    <mergeCell ref="B15:B21"/>
    <mergeCell ref="C63:D63"/>
    <mergeCell ref="F5:G5"/>
    <mergeCell ref="L15:M15"/>
    <mergeCell ref="B55:B61"/>
    <mergeCell ref="L5:M5"/>
    <mergeCell ref="L23:M23"/>
    <mergeCell ref="L39:M39"/>
    <mergeCell ref="L55:M55"/>
    <mergeCell ref="B7:B13"/>
    <mergeCell ref="B47:B53"/>
    <mergeCell ref="I5:J5"/>
    <mergeCell ref="B4:J4"/>
    <mergeCell ref="L31:M31"/>
    <mergeCell ref="B5:B6"/>
    <mergeCell ref="B31:B37"/>
    <mergeCell ref="B3:J3"/>
    <mergeCell ref="I63:J63"/>
    <mergeCell ref="B2:J2"/>
  </mergeCells>
  <pageMargins left="0.7" right="0.7" top="0.75" bottom="0.75" header="0.3" footer="0.3"/>
  <pageSetup orientation="landscape" paperSize="9" scale="45" verticalDpi="0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Q106"/>
  <sheetViews>
    <sheetView topLeftCell="A12" zoomScale="70" zoomScaleNormal="70" workbookViewId="0">
      <selection activeCell="M99" sqref="M99"/>
    </sheetView>
  </sheetViews>
  <sheetFormatPr baseColWidth="8" defaultColWidth="8.88671875" defaultRowHeight="18"/>
  <cols>
    <col width="20.109375" bestFit="1" customWidth="1" style="14" min="1" max="1"/>
    <col width="25.88671875" customWidth="1" style="23" min="2" max="2"/>
    <col width="23.6640625" customWidth="1" style="14" min="3" max="3"/>
    <col width="38.44140625" customWidth="1" style="139" min="4" max="4"/>
    <col width="12.88671875" customWidth="1" style="8" min="5" max="5"/>
    <col width="11.5546875" customWidth="1" style="357" min="6" max="6"/>
    <col width="12.44140625" customWidth="1" style="8" min="7" max="7"/>
    <col width="14.5546875" customWidth="1" style="357" min="8" max="8"/>
    <col width="12.44140625" customWidth="1" style="8" min="9" max="9"/>
    <col width="13.44140625" customWidth="1" style="1" min="10" max="10"/>
    <col width="7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 ht="20.4" customHeight="1">
      <c r="A2" s="314" t="inlineStr">
        <is>
          <t>Bữa Sáng 20.000Đ vin alpha</t>
        </is>
      </c>
      <c r="B2" s="358" t="n"/>
      <c r="C2" s="106" t="n"/>
      <c r="D2" s="141" t="n"/>
      <c r="E2" s="106" t="n"/>
      <c r="F2" s="106" t="n"/>
      <c r="G2" s="106" t="n"/>
      <c r="H2" s="106" t="n"/>
      <c r="I2" s="106" t="n"/>
      <c r="J2" s="106" t="n"/>
    </row>
    <row r="3" ht="61.2" customHeight="1">
      <c r="A3" s="99" t="inlineStr">
        <is>
          <t>Cơ cấu</t>
        </is>
      </c>
      <c r="B3" s="99" t="inlineStr">
        <is>
          <t>Món ăn</t>
        </is>
      </c>
      <c r="C3" s="99" t="inlineStr">
        <is>
          <t>Mã hàng</t>
        </is>
      </c>
      <c r="D3" s="142" t="inlineStr">
        <is>
          <t>Nguyên liệu</t>
        </is>
      </c>
      <c r="E3" s="99" t="inlineStr">
        <is>
          <t>Định lượng sống</t>
        </is>
      </c>
      <c r="F3" s="359" t="inlineStr">
        <is>
          <t>Số suất</t>
        </is>
      </c>
      <c r="G3" s="99" t="inlineStr">
        <is>
          <t>Gọi hàng</t>
        </is>
      </c>
      <c r="H3" s="359" t="inlineStr">
        <is>
          <t>Đơn giá</t>
        </is>
      </c>
      <c r="I3" s="99" t="inlineStr">
        <is>
          <t>Thành tiền</t>
        </is>
      </c>
      <c r="J3" s="99" t="inlineStr">
        <is>
          <t>Tổng</t>
        </is>
      </c>
    </row>
    <row r="4" ht="26.4" customHeight="1">
      <c r="A4" s="310" t="n"/>
      <c r="B4" s="310" t="inlineStr">
        <is>
          <t>bánh bao 
trứng luộc
sữa fami</t>
        </is>
      </c>
      <c r="C4" s="310" t="inlineStr">
        <is>
          <t>NLG0043</t>
        </is>
      </c>
      <c r="D4" s="74" t="inlineStr">
        <is>
          <t>Bánh bao thập cẩm 180g/cái</t>
        </is>
      </c>
      <c r="E4" s="95" t="n">
        <v>1000</v>
      </c>
      <c r="F4" s="360" t="n">
        <v>600</v>
      </c>
      <c r="G4" s="361">
        <f>E4*F4/1000</f>
        <v/>
      </c>
      <c r="H4" s="360" t="n">
        <v>11000</v>
      </c>
      <c r="I4" s="362">
        <f>IFERROR(E4*H4/1000,"")</f>
        <v/>
      </c>
      <c r="J4" s="362">
        <f>I4</f>
        <v/>
      </c>
    </row>
    <row r="5" ht="26.4" customHeight="1">
      <c r="A5" s="349" t="n"/>
      <c r="B5" s="349" t="n"/>
      <c r="C5" s="310" t="inlineStr">
        <is>
          <t>NLT0181</t>
        </is>
      </c>
      <c r="D5" s="143" t="inlineStr">
        <is>
          <t>trứng gà cn</t>
        </is>
      </c>
      <c r="E5" s="95" t="n">
        <v>1000</v>
      </c>
      <c r="F5" s="360" t="n">
        <v>600</v>
      </c>
      <c r="G5" s="361">
        <f>E5*F5/1000</f>
        <v/>
      </c>
      <c r="H5" s="360" t="n">
        <v>2300</v>
      </c>
      <c r="I5" s="362">
        <f>IFERROR(E5*H5/1000,"")</f>
        <v/>
      </c>
      <c r="J5" s="362">
        <f>I5</f>
        <v/>
      </c>
    </row>
    <row r="6" ht="26.4" customHeight="1">
      <c r="A6" s="349" t="n"/>
      <c r="B6" s="349" t="n"/>
      <c r="C6" s="310" t="inlineStr">
        <is>
          <t>HHS0051</t>
        </is>
      </c>
      <c r="D6" s="143" t="inlineStr">
        <is>
          <t>sữa fami bịch</t>
        </is>
      </c>
      <c r="E6" s="95" t="n">
        <v>1000</v>
      </c>
      <c r="F6" s="360" t="n">
        <v>600</v>
      </c>
      <c r="G6" s="361">
        <f>E6*F6/1000</f>
        <v/>
      </c>
      <c r="H6" s="360" t="n">
        <v>3400</v>
      </c>
      <c r="I6" s="362">
        <f>IFERROR(E6*H6/1000,"")</f>
        <v/>
      </c>
      <c r="J6" s="362">
        <f>I6</f>
        <v/>
      </c>
    </row>
    <row r="7" ht="20.4" customHeight="1">
      <c r="A7" s="87" t="inlineStr">
        <is>
          <t>Gia vị</t>
        </is>
      </c>
      <c r="B7" s="88" t="n"/>
      <c r="C7" s="88" t="n"/>
      <c r="D7" s="144" t="n"/>
      <c r="E7" s="88" t="n"/>
      <c r="F7" s="88" t="n"/>
      <c r="G7" s="88" t="n"/>
      <c r="H7" s="88" t="n"/>
      <c r="I7" s="101" t="n"/>
      <c r="J7" s="363" t="n">
        <v>800</v>
      </c>
    </row>
    <row r="8" ht="20.4" customHeight="1">
      <c r="A8" s="89" t="n"/>
      <c r="B8" s="90" t="n"/>
      <c r="C8" s="90" t="n"/>
      <c r="D8" s="145" t="inlineStr">
        <is>
          <t>GAS</t>
        </is>
      </c>
      <c r="E8" s="90" t="n"/>
      <c r="F8" s="90" t="n"/>
      <c r="G8" s="90" t="n"/>
      <c r="H8" s="90" t="n"/>
      <c r="I8" s="103" t="n"/>
      <c r="J8" s="363" t="n">
        <v>1250</v>
      </c>
      <c r="O8" s="1">
        <f>850+400+430</f>
        <v/>
      </c>
    </row>
    <row r="9" ht="40.8" customHeight="1">
      <c r="A9" s="89" t="n"/>
      <c r="B9" s="90" t="n"/>
      <c r="C9" s="90" t="n"/>
      <c r="D9" s="145" t="inlineStr">
        <is>
          <t>Chi phí đũa thìa +điện nước</t>
        </is>
      </c>
      <c r="E9" s="90" t="n"/>
      <c r="F9" s="90" t="n"/>
      <c r="G9" s="90" t="n"/>
      <c r="H9" s="90" t="n"/>
      <c r="I9" s="103" t="n"/>
      <c r="J9" s="363" t="n">
        <v>2500</v>
      </c>
    </row>
    <row r="10" ht="18" customHeight="1">
      <c r="A10" s="87" t="inlineStr">
        <is>
          <t>Tổng chi phí TĐ 1</t>
        </is>
      </c>
      <c r="B10" s="88" t="n"/>
      <c r="C10" s="88" t="n"/>
      <c r="D10" s="144" t="n"/>
      <c r="E10" s="88" t="n"/>
      <c r="F10" s="88" t="n"/>
      <c r="G10" s="88" t="n"/>
      <c r="H10" s="88" t="n"/>
      <c r="I10" s="101" t="n"/>
      <c r="J10" s="364">
        <f>SUM(J4:J9)</f>
        <v/>
      </c>
    </row>
    <row r="11" ht="20.4" customHeight="1">
      <c r="A11" s="87" t="inlineStr">
        <is>
          <t>Cost TĐ 1</t>
        </is>
      </c>
      <c r="B11" s="88" t="n"/>
      <c r="C11" s="88" t="n"/>
      <c r="D11" s="144" t="n"/>
      <c r="E11" s="88" t="n"/>
      <c r="F11" s="88" t="n"/>
      <c r="G11" s="88" t="n"/>
      <c r="H11" s="88" t="n"/>
      <c r="I11" s="101" t="n"/>
      <c r="J11" s="105">
        <f>J10/20000</f>
        <v/>
      </c>
    </row>
    <row r="12" ht="22.8" customHeight="1">
      <c r="A12" s="108" t="n"/>
      <c r="B12" s="108" t="n"/>
      <c r="C12" s="108" t="n"/>
      <c r="D12" s="184" t="n"/>
      <c r="E12" s="108" t="n"/>
      <c r="F12" s="108" t="n"/>
      <c r="G12" s="108" t="n"/>
      <c r="H12" s="108" t="n"/>
      <c r="I12" s="108" t="n"/>
      <c r="J12" s="185" t="n"/>
    </row>
    <row r="13" ht="20.4" customHeight="1">
      <c r="A13" s="108" t="n"/>
      <c r="B13" s="108" t="n"/>
      <c r="C13" s="108" t="n"/>
      <c r="D13" s="184" t="n"/>
      <c r="E13" s="108" t="n"/>
      <c r="F13" s="108" t="n"/>
      <c r="G13" s="108" t="n"/>
      <c r="H13" s="108" t="n"/>
      <c r="I13" s="108" t="n"/>
      <c r="J13" s="185" t="n"/>
    </row>
    <row r="14" ht="18.6" customHeight="1">
      <c r="A14" s="108" t="n"/>
      <c r="B14" s="108" t="n"/>
      <c r="C14" s="108" t="n"/>
      <c r="D14" s="184" t="n"/>
      <c r="E14" s="108" t="n"/>
      <c r="F14" s="108" t="n"/>
      <c r="G14" s="108" t="n"/>
      <c r="H14" s="108" t="n"/>
      <c r="I14" s="108" t="n"/>
      <c r="J14" s="185" t="n"/>
    </row>
    <row r="15" ht="20.4" customHeight="1">
      <c r="A15" s="108" t="n"/>
      <c r="B15" s="108" t="n"/>
      <c r="C15" s="108" t="n"/>
      <c r="D15" s="184" t="n"/>
      <c r="E15" s="108" t="n"/>
      <c r="F15" s="108" t="n"/>
      <c r="G15" s="108" t="n"/>
      <c r="H15" s="108" t="n"/>
      <c r="I15" s="108" t="n"/>
      <c r="J15" s="185" t="n"/>
    </row>
    <row r="16" ht="20.4" customHeight="1">
      <c r="A16" s="314" t="inlineStr">
        <is>
          <t>Bữa Sáng 20.000Đ sgc</t>
        </is>
      </c>
      <c r="B16" s="358" t="n"/>
      <c r="C16" s="106" t="n"/>
      <c r="D16" s="141" t="n"/>
      <c r="E16" s="106" t="n"/>
      <c r="F16" s="106" t="n"/>
      <c r="G16" s="106" t="n"/>
      <c r="H16" s="106" t="n"/>
      <c r="I16" s="106" t="n"/>
      <c r="J16" s="106" t="n"/>
    </row>
    <row r="17" ht="61.2" customHeight="1">
      <c r="A17" s="99" t="inlineStr">
        <is>
          <t>Cơ cấu</t>
        </is>
      </c>
      <c r="B17" s="99" t="inlineStr">
        <is>
          <t>Món ăn</t>
        </is>
      </c>
      <c r="C17" s="99" t="inlineStr">
        <is>
          <t>Mã hàng</t>
        </is>
      </c>
      <c r="D17" s="142" t="inlineStr">
        <is>
          <t>Nguyên liệu</t>
        </is>
      </c>
      <c r="E17" s="99" t="inlineStr">
        <is>
          <t>Định lượng sống</t>
        </is>
      </c>
      <c r="F17" s="359" t="inlineStr">
        <is>
          <t>Số suất</t>
        </is>
      </c>
      <c r="G17" s="99" t="inlineStr">
        <is>
          <t>Gọi hàng</t>
        </is>
      </c>
      <c r="H17" s="359" t="inlineStr">
        <is>
          <t>Đơn giá</t>
        </is>
      </c>
      <c r="I17" s="99" t="inlineStr">
        <is>
          <t>Thành tiền</t>
        </is>
      </c>
      <c r="J17" s="99" t="inlineStr">
        <is>
          <t>Tổng</t>
        </is>
      </c>
    </row>
    <row r="18" ht="26.4" customHeight="1">
      <c r="A18" s="310" t="n"/>
      <c r="B18" s="310" t="inlineStr">
        <is>
          <t>bánh mì kẹp chả
sữa fami</t>
        </is>
      </c>
      <c r="C18" s="310" t="n"/>
      <c r="D18" s="74" t="inlineStr">
        <is>
          <t>bánh mì</t>
        </is>
      </c>
      <c r="E18" s="95" t="n">
        <v>1000</v>
      </c>
      <c r="F18" s="360" t="n">
        <v>1600</v>
      </c>
      <c r="G18" s="361">
        <f>E18*F18/1000</f>
        <v/>
      </c>
      <c r="H18" s="360" t="n">
        <v>3500</v>
      </c>
      <c r="I18" s="362">
        <f>IFERROR(E18*H18/1000,"")</f>
        <v/>
      </c>
      <c r="J18" s="362">
        <f>I18</f>
        <v/>
      </c>
    </row>
    <row r="19" ht="26.4" customHeight="1">
      <c r="A19" s="349" t="n"/>
      <c r="B19" s="349" t="n"/>
      <c r="C19" s="310" t="inlineStr">
        <is>
          <t>NLT0003</t>
        </is>
      </c>
      <c r="D19" s="143" t="inlineStr">
        <is>
          <t>chả lợn</t>
        </is>
      </c>
      <c r="E19" s="95" t="n">
        <v>40</v>
      </c>
      <c r="F19" s="360" t="n">
        <v>1600</v>
      </c>
      <c r="G19" s="361">
        <f>E19*F19/1000</f>
        <v/>
      </c>
      <c r="H19" s="360" t="n">
        <v>85000</v>
      </c>
      <c r="I19" s="362">
        <f>IFERROR(E19*H19/1000,"")</f>
        <v/>
      </c>
      <c r="J19" s="362">
        <f>I19</f>
        <v/>
      </c>
    </row>
    <row r="20" ht="26.4" customHeight="1">
      <c r="A20" s="349" t="n"/>
      <c r="B20" s="349" t="n"/>
      <c r="C20" s="310" t="inlineStr">
        <is>
          <t>NLR0060</t>
        </is>
      </c>
      <c r="D20" s="143" t="inlineStr">
        <is>
          <t>dưa chuột</t>
        </is>
      </c>
      <c r="E20" s="95" t="n">
        <v>40</v>
      </c>
      <c r="F20" s="360" t="n">
        <v>1600</v>
      </c>
      <c r="G20" s="361">
        <f>E20*F20/1000</f>
        <v/>
      </c>
      <c r="H20" s="360" t="n">
        <v>15000</v>
      </c>
      <c r="I20" s="362">
        <f>IFERROR(E20*H20/1000,"")</f>
        <v/>
      </c>
      <c r="J20" s="362">
        <f>I20</f>
        <v/>
      </c>
    </row>
    <row r="21" ht="26.4" customHeight="1">
      <c r="A21" s="349" t="n"/>
      <c r="B21" s="349" t="n"/>
      <c r="C21" s="310" t="inlineStr">
        <is>
          <t>NLR0153</t>
        </is>
      </c>
      <c r="D21" s="143" t="inlineStr">
        <is>
          <t>rau mùi ta</t>
        </is>
      </c>
      <c r="E21" s="95" t="n">
        <v>5</v>
      </c>
      <c r="F21" s="360" t="n">
        <v>1600</v>
      </c>
      <c r="G21" s="361">
        <f>E21*F21/1000</f>
        <v/>
      </c>
      <c r="H21" s="360" t="n">
        <v>15000</v>
      </c>
      <c r="I21" s="362">
        <f>IFERROR(E21*H21/1000,"")</f>
        <v/>
      </c>
      <c r="J21" s="362">
        <f>I21</f>
        <v/>
      </c>
    </row>
    <row r="22" ht="26.4" customHeight="1">
      <c r="A22" s="349" t="n"/>
      <c r="B22" s="349" t="n"/>
      <c r="C22" s="310" t="inlineStr">
        <is>
          <t>HHS0051</t>
        </is>
      </c>
      <c r="D22" s="74" t="inlineStr">
        <is>
          <t>sữa fami bịch</t>
        </is>
      </c>
      <c r="E22" s="95" t="n">
        <v>1000</v>
      </c>
      <c r="F22" s="360" t="n">
        <v>1600</v>
      </c>
      <c r="G22" s="361">
        <f>E22*F22/1000</f>
        <v/>
      </c>
      <c r="H22" s="360" t="n">
        <v>3400</v>
      </c>
      <c r="I22" s="362">
        <f>IFERROR(E22*H22/1000,"")</f>
        <v/>
      </c>
      <c r="J22" s="362">
        <f>I22</f>
        <v/>
      </c>
    </row>
    <row r="23" ht="20.4" customHeight="1">
      <c r="A23" s="87" t="inlineStr">
        <is>
          <t>Gia vị</t>
        </is>
      </c>
      <c r="B23" s="88" t="n"/>
      <c r="C23" s="88" t="n"/>
      <c r="D23" s="144" t="n"/>
      <c r="E23" s="88" t="n"/>
      <c r="F23" s="88" t="n"/>
      <c r="G23" s="88" t="n"/>
      <c r="H23" s="88" t="n"/>
      <c r="I23" s="101" t="n"/>
      <c r="J23" s="363" t="n">
        <v>800</v>
      </c>
    </row>
    <row r="24" ht="20.4" customHeight="1">
      <c r="A24" s="89" t="n"/>
      <c r="B24" s="90" t="n"/>
      <c r="C24" s="90" t="n"/>
      <c r="D24" s="145" t="inlineStr">
        <is>
          <t>GAS</t>
        </is>
      </c>
      <c r="E24" s="90" t="n"/>
      <c r="F24" s="90" t="n"/>
      <c r="G24" s="90" t="n"/>
      <c r="H24" s="90" t="n"/>
      <c r="I24" s="103" t="n"/>
      <c r="J24" s="363" t="n">
        <v>1250</v>
      </c>
      <c r="O24" s="1">
        <f>850+400+430</f>
        <v/>
      </c>
    </row>
    <row r="25" ht="40.8" customHeight="1">
      <c r="A25" s="89" t="n"/>
      <c r="B25" s="90" t="n"/>
      <c r="C25" s="90" t="n"/>
      <c r="D25" s="145" t="inlineStr">
        <is>
          <t>Chi phí đũa thìa +điện nước</t>
        </is>
      </c>
      <c r="E25" s="90" t="n"/>
      <c r="F25" s="90" t="n"/>
      <c r="G25" s="90" t="n"/>
      <c r="H25" s="90" t="n"/>
      <c r="I25" s="103" t="n"/>
      <c r="J25" s="363" t="n">
        <v>2500</v>
      </c>
    </row>
    <row r="26" ht="18" customHeight="1">
      <c r="A26" s="87" t="inlineStr">
        <is>
          <t>Tổng chi phí TĐ 1</t>
        </is>
      </c>
      <c r="B26" s="88" t="n"/>
      <c r="C26" s="88" t="n"/>
      <c r="D26" s="144" t="n"/>
      <c r="E26" s="88" t="n"/>
      <c r="F26" s="88" t="n"/>
      <c r="G26" s="88" t="n"/>
      <c r="H26" s="88" t="n"/>
      <c r="I26" s="101" t="n"/>
      <c r="J26" s="364">
        <f>SUM(J18:J25)</f>
        <v/>
      </c>
    </row>
    <row r="27" ht="20.4" customHeight="1">
      <c r="A27" s="87" t="inlineStr">
        <is>
          <t>Cost TĐ 1</t>
        </is>
      </c>
      <c r="B27" s="88" t="n"/>
      <c r="C27" s="88" t="n"/>
      <c r="D27" s="144" t="n"/>
      <c r="E27" s="88" t="n"/>
      <c r="F27" s="88" t="n"/>
      <c r="G27" s="88" t="n"/>
      <c r="H27" s="88" t="n"/>
      <c r="I27" s="101" t="n"/>
      <c r="J27" s="105">
        <f>J26/20000</f>
        <v/>
      </c>
    </row>
    <row r="28" ht="22.8" customHeight="1">
      <c r="A28" s="108" t="n"/>
      <c r="B28" s="108" t="n"/>
      <c r="C28" s="108" t="n"/>
      <c r="D28" s="184" t="n"/>
      <c r="E28" s="108" t="n"/>
      <c r="F28" s="108" t="n"/>
      <c r="G28" s="108" t="n"/>
      <c r="H28" s="108" t="n"/>
      <c r="I28" s="108" t="n"/>
      <c r="J28" s="185" t="n"/>
    </row>
    <row r="29" ht="20.4" customHeight="1">
      <c r="A29" s="108" t="n"/>
      <c r="B29" s="108" t="n"/>
      <c r="C29" s="108" t="n"/>
      <c r="D29" s="184" t="n"/>
      <c r="E29" s="108" t="n"/>
      <c r="F29" s="108" t="n"/>
      <c r="G29" s="108" t="n"/>
      <c r="H29" s="108" t="n"/>
      <c r="I29" s="108" t="n"/>
      <c r="J29" s="185" t="n"/>
    </row>
    <row r="30" ht="20.4" customHeight="1">
      <c r="A30" s="108" t="n"/>
      <c r="B30" s="108" t="n"/>
      <c r="C30" s="108" t="n"/>
      <c r="D30" s="184" t="n"/>
      <c r="E30" s="108" t="n"/>
      <c r="F30" s="108" t="n"/>
      <c r="G30" s="108" t="n"/>
      <c r="H30" s="108" t="n"/>
      <c r="I30" s="108" t="n"/>
      <c r="J30" s="185" t="n"/>
    </row>
    <row r="31" ht="20.4" customHeight="1">
      <c r="A31" s="108" t="n"/>
      <c r="B31" s="108" t="n"/>
      <c r="C31" s="108" t="n"/>
      <c r="D31" s="184" t="n"/>
      <c r="E31" s="108" t="n"/>
      <c r="F31" s="108" t="n"/>
      <c r="G31" s="108" t="n"/>
      <c r="H31" s="108" t="n"/>
      <c r="I31" s="108" t="n"/>
      <c r="J31" s="185" t="n"/>
    </row>
    <row r="32" ht="20.4" customHeight="1">
      <c r="A32" s="108" t="n"/>
      <c r="B32" s="108" t="n"/>
      <c r="C32" s="108" t="n"/>
      <c r="D32" s="184" t="n"/>
      <c r="E32" s="108" t="n"/>
      <c r="F32" s="108" t="n"/>
      <c r="G32" s="108" t="n"/>
      <c r="H32" s="108" t="n"/>
      <c r="I32" s="108" t="n"/>
      <c r="J32" s="185" t="n"/>
    </row>
    <row r="33" ht="20.4" customHeight="1">
      <c r="A33" s="108" t="n"/>
      <c r="B33" s="108" t="n"/>
      <c r="C33" s="108" t="n"/>
      <c r="D33" s="184" t="n"/>
      <c r="E33" s="108" t="n"/>
      <c r="F33" s="108" t="n"/>
      <c r="G33" s="108" t="n"/>
      <c r="H33" s="108" t="n"/>
      <c r="I33" s="108" t="n"/>
      <c r="J33" s="185" t="n"/>
    </row>
    <row r="34" ht="21" customHeight="1">
      <c r="A34" s="107" t="n"/>
      <c r="B34" s="108" t="n"/>
      <c r="C34" s="107" t="n"/>
      <c r="D34" s="146" t="n"/>
      <c r="E34" s="109" t="n"/>
      <c r="F34" s="365" t="n"/>
      <c r="G34" s="109" t="n"/>
      <c r="H34" s="365" t="n"/>
      <c r="I34" s="109" t="n"/>
      <c r="J34" s="111" t="n"/>
    </row>
    <row r="35" ht="20.4" customHeight="1">
      <c r="A35" s="106" t="inlineStr">
        <is>
          <t>CHIẾT TÍNH THỰC ĐƠN CA Trưa 40.000đ</t>
        </is>
      </c>
      <c r="B35" s="106" t="n"/>
      <c r="C35" s="106" t="n"/>
      <c r="D35" s="141" t="n"/>
      <c r="E35" s="106" t="n"/>
      <c r="F35" s="106" t="n"/>
      <c r="G35" s="106" t="n"/>
      <c r="H35" s="106" t="n"/>
      <c r="I35" s="106" t="n"/>
      <c r="J35" s="106" t="n"/>
    </row>
    <row r="36" ht="61.2" customFormat="1" customHeight="1" s="14">
      <c r="A36" s="99" t="inlineStr">
        <is>
          <t>Cơ cấu</t>
        </is>
      </c>
      <c r="B36" s="99" t="inlineStr">
        <is>
          <t>Món ăn</t>
        </is>
      </c>
      <c r="C36" s="99" t="inlineStr">
        <is>
          <t>Mã hàng</t>
        </is>
      </c>
      <c r="D36" s="142" t="inlineStr">
        <is>
          <t>Nguyên liệu</t>
        </is>
      </c>
      <c r="E36" s="99" t="inlineStr">
        <is>
          <t>Định lượng sống</t>
        </is>
      </c>
      <c r="F36" s="359" t="inlineStr">
        <is>
          <t>Số suất</t>
        </is>
      </c>
      <c r="G36" s="99" t="inlineStr">
        <is>
          <t>Gọi hàng</t>
        </is>
      </c>
      <c r="H36" s="359" t="inlineStr">
        <is>
          <t>Đơn giá</t>
        </is>
      </c>
      <c r="I36" s="99" t="inlineStr">
        <is>
          <t>Thành tiền</t>
        </is>
      </c>
      <c r="J36" s="99" t="inlineStr">
        <is>
          <t>Tổng</t>
        </is>
      </c>
    </row>
    <row r="37" ht="35.4" customHeight="1">
      <c r="A37" s="315" t="n"/>
      <c r="B37" s="313" t="inlineStr">
        <is>
          <t>tôm rang lá chanh</t>
        </is>
      </c>
      <c r="C37" s="313" t="inlineStr">
        <is>
          <t>NLS0081</t>
        </is>
      </c>
      <c r="D37" s="68" t="inlineStr">
        <is>
          <t>Tôm dảo tươi 100-120</t>
        </is>
      </c>
      <c r="E37" s="113" t="n">
        <v>50</v>
      </c>
      <c r="F37" s="360" t="n">
        <v>2200</v>
      </c>
      <c r="G37" s="361">
        <f>E37*F37/1000</f>
        <v/>
      </c>
      <c r="H37" s="360" t="n">
        <v>147000</v>
      </c>
      <c r="I37" s="362">
        <f>IFERROR(E37*H37/1000,"")</f>
        <v/>
      </c>
      <c r="J37" s="362">
        <f>I37</f>
        <v/>
      </c>
      <c r="K37" s="14" t="n"/>
    </row>
    <row r="38" ht="29.4" customHeight="1">
      <c r="A38" s="349" t="n"/>
      <c r="B38" s="366" t="n"/>
      <c r="C38" s="313" t="inlineStr">
        <is>
          <t>NLR0102</t>
        </is>
      </c>
      <c r="D38" s="124" t="inlineStr">
        <is>
          <t>lá chanh</t>
        </is>
      </c>
      <c r="E38" s="113" t="n">
        <v>0.5</v>
      </c>
      <c r="F38" s="360" t="n">
        <v>2200</v>
      </c>
      <c r="G38" s="361">
        <f>E38*F38/1000</f>
        <v/>
      </c>
      <c r="H38" s="360" t="n">
        <v>55000</v>
      </c>
      <c r="I38" s="362">
        <f>IFERROR(E38*H38/1000,"")</f>
        <v/>
      </c>
      <c r="J38" s="362">
        <f>I38</f>
        <v/>
      </c>
      <c r="K38" s="14" t="n"/>
    </row>
    <row r="39" ht="29.4" customHeight="1">
      <c r="A39" s="315" t="n"/>
      <c r="B39" s="367" t="inlineStr">
        <is>
          <t>thịt xào hành tây</t>
        </is>
      </c>
      <c r="C39" s="313" t="inlineStr">
        <is>
          <t>NLT0076</t>
        </is>
      </c>
      <c r="D39" s="68" t="inlineStr">
        <is>
          <t>thịt lợn mông sấn</t>
        </is>
      </c>
      <c r="E39" s="113" t="n">
        <v>80</v>
      </c>
      <c r="F39" s="360" t="n">
        <v>2200</v>
      </c>
      <c r="G39" s="361">
        <f>E39*F39/1000</f>
        <v/>
      </c>
      <c r="H39" s="360" t="n">
        <v>101000</v>
      </c>
      <c r="I39" s="362">
        <f>IFERROR(E39*H39/1000,"")</f>
        <v/>
      </c>
      <c r="J39" s="362">
        <f>I39</f>
        <v/>
      </c>
      <c r="K39" s="14" t="n"/>
    </row>
    <row r="40" ht="29.4" customHeight="1">
      <c r="A40" s="316" t="n"/>
      <c r="B40" s="349" t="n"/>
      <c r="C40" s="313" t="inlineStr">
        <is>
          <t>NLR0083</t>
        </is>
      </c>
      <c r="D40" s="68" t="inlineStr">
        <is>
          <t>hành tây</t>
        </is>
      </c>
      <c r="E40" s="113" t="n">
        <v>30</v>
      </c>
      <c r="F40" s="360" t="n">
        <v>2200</v>
      </c>
      <c r="G40" s="361">
        <f>E40*F40/1000</f>
        <v/>
      </c>
      <c r="H40" s="360" t="n">
        <v>9000</v>
      </c>
      <c r="I40" s="362">
        <f>IFERROR(E40*H40/1000,"")</f>
        <v/>
      </c>
      <c r="J40" s="362">
        <f>I40</f>
        <v/>
      </c>
      <c r="K40" s="14" t="n"/>
    </row>
    <row r="41" ht="29.4" customHeight="1">
      <c r="A41" s="316" t="n"/>
      <c r="B41" s="346" t="n"/>
      <c r="C41" s="313" t="inlineStr">
        <is>
          <t>NLR0018</t>
        </is>
      </c>
      <c r="D41" s="68" t="inlineStr">
        <is>
          <t>cà rốt</t>
        </is>
      </c>
      <c r="E41" s="113" t="n">
        <v>10</v>
      </c>
      <c r="F41" s="360" t="n">
        <v>2200</v>
      </c>
      <c r="G41" s="361">
        <f>E41*F41/1000</f>
        <v/>
      </c>
      <c r="H41" s="360" t="n">
        <v>11000</v>
      </c>
      <c r="I41" s="362">
        <f>IFERROR(E41*H41/1000,"")</f>
        <v/>
      </c>
      <c r="J41" s="362">
        <f>I41</f>
        <v/>
      </c>
      <c r="K41" s="14" t="n"/>
    </row>
    <row r="42" ht="29.4" customHeight="1">
      <c r="A42" s="186" t="n"/>
      <c r="B42" s="310" t="inlineStr">
        <is>
          <t>trứng cút rim tiêu</t>
        </is>
      </c>
      <c r="C42" s="313" t="inlineStr">
        <is>
          <t>NLT0100</t>
        </is>
      </c>
      <c r="D42" s="78" t="inlineStr">
        <is>
          <t>trứng cút bóc vỏ</t>
        </is>
      </c>
      <c r="E42" s="113" t="n">
        <v>4000</v>
      </c>
      <c r="F42" s="360" t="n">
        <v>2200</v>
      </c>
      <c r="G42" s="361">
        <f>E42*F42/1000</f>
        <v/>
      </c>
      <c r="H42" s="360" t="n">
        <v>850</v>
      </c>
      <c r="I42" s="362">
        <f>IFERROR(E42*H42/1000,"")</f>
        <v/>
      </c>
      <c r="J42" s="362">
        <f>I42</f>
        <v/>
      </c>
      <c r="K42" s="14" t="n"/>
    </row>
    <row r="43" ht="29.4" customHeight="1">
      <c r="A43" s="186" t="n"/>
      <c r="B43" s="114" t="inlineStr">
        <is>
          <t>bắp cải luộc</t>
        </is>
      </c>
      <c r="C43" s="313" t="inlineStr">
        <is>
          <t>NLR0001</t>
        </is>
      </c>
      <c r="D43" s="182" t="inlineStr">
        <is>
          <t>bắp cải trắng</t>
        </is>
      </c>
      <c r="E43" s="113" t="n">
        <v>120</v>
      </c>
      <c r="F43" s="360" t="n">
        <v>2200</v>
      </c>
      <c r="G43" s="361">
        <f>E43*F43/1000</f>
        <v/>
      </c>
      <c r="H43" s="360" t="n">
        <v>9000</v>
      </c>
      <c r="I43" s="362">
        <f>IFERROR(E43*H43/1000,"")</f>
        <v/>
      </c>
      <c r="J43" s="362">
        <f>I43</f>
        <v/>
      </c>
      <c r="K43" s="14" t="n"/>
    </row>
    <row r="44" ht="29.4" customHeight="1">
      <c r="A44" s="186" t="n"/>
      <c r="B44" s="114" t="inlineStr">
        <is>
          <t>cơm trắng</t>
        </is>
      </c>
      <c r="C44" s="313" t="inlineStr">
        <is>
          <t>NLG0013</t>
        </is>
      </c>
      <c r="D44" s="147" t="inlineStr">
        <is>
          <t>gạo bắc hương</t>
        </is>
      </c>
      <c r="E44" s="113" t="n">
        <v>180</v>
      </c>
      <c r="F44" s="360" t="n">
        <v>2200</v>
      </c>
      <c r="G44" s="361">
        <f>E44*F44/1000</f>
        <v/>
      </c>
      <c r="H44" s="360" t="n">
        <v>13800</v>
      </c>
      <c r="I44" s="362">
        <f>IFERROR(E44*H44/1000,"")</f>
        <v/>
      </c>
      <c r="J44" s="362">
        <f>I44</f>
        <v/>
      </c>
      <c r="K44" s="14" t="n"/>
    </row>
    <row r="45" ht="29.4" customHeight="1">
      <c r="A45" s="186" t="n"/>
      <c r="B45" s="310" t="inlineStr">
        <is>
          <t>canh rau ngót</t>
        </is>
      </c>
      <c r="C45" s="313" t="inlineStr">
        <is>
          <t>NLR0157</t>
        </is>
      </c>
      <c r="D45" s="74" t="inlineStr">
        <is>
          <t>rau ngót</t>
        </is>
      </c>
      <c r="E45" s="113" t="n">
        <v>10</v>
      </c>
      <c r="F45" s="360" t="n">
        <v>2200</v>
      </c>
      <c r="G45" s="361">
        <f>E45*F45/1000</f>
        <v/>
      </c>
      <c r="H45" s="360" t="n">
        <v>17000</v>
      </c>
      <c r="I45" s="362">
        <f>IFERROR(E45*H45/1000,"")</f>
        <v/>
      </c>
      <c r="J45" s="362">
        <f>I45</f>
        <v/>
      </c>
      <c r="K45" s="14" t="n"/>
    </row>
    <row r="46" ht="29.4" customHeight="1">
      <c r="A46" s="187" t="n"/>
      <c r="B46" s="313" t="inlineStr">
        <is>
          <t>ổi</t>
        </is>
      </c>
      <c r="C46" s="313" t="inlineStr">
        <is>
          <t>NLQ0016</t>
        </is>
      </c>
      <c r="D46" s="68" t="inlineStr">
        <is>
          <t>Quả ổi 3-5 quả/kg</t>
        </is>
      </c>
      <c r="E46" s="115" t="n">
        <v>100</v>
      </c>
      <c r="F46" s="360" t="n">
        <v>2200</v>
      </c>
      <c r="G46" s="361">
        <f>E46*F46/1000</f>
        <v/>
      </c>
      <c r="H46" s="360" t="n">
        <v>10000</v>
      </c>
      <c r="I46" s="362">
        <f>IFERROR(E46*H46/1000,"")</f>
        <v/>
      </c>
      <c r="J46" s="362">
        <f>I46</f>
        <v/>
      </c>
      <c r="K46" s="14" t="n"/>
    </row>
    <row r="47" ht="29.4" customHeight="1">
      <c r="A47" s="87" t="inlineStr">
        <is>
          <t>Gia vị</t>
        </is>
      </c>
      <c r="B47" s="88" t="n"/>
      <c r="C47" s="88" t="n"/>
      <c r="D47" s="144" t="n"/>
      <c r="E47" s="88" t="n"/>
      <c r="F47" s="360" t="n"/>
      <c r="G47" s="88" t="n"/>
      <c r="H47" s="88" t="n"/>
      <c r="I47" s="101" t="n"/>
      <c r="J47" s="363">
        <f>(40000*4)/100</f>
        <v/>
      </c>
      <c r="N47" s="368" t="n"/>
    </row>
    <row r="48" ht="29.4" customHeight="1">
      <c r="A48" s="89" t="n"/>
      <c r="B48" s="90" t="n"/>
      <c r="C48" s="90" t="n"/>
      <c r="D48" s="145" t="inlineStr">
        <is>
          <t>Gas</t>
        </is>
      </c>
      <c r="E48" s="90" t="n"/>
      <c r="F48" s="90" t="n"/>
      <c r="G48" s="90" t="n"/>
      <c r="H48" s="90" t="n"/>
      <c r="I48" s="103" t="n"/>
      <c r="J48" s="363" t="n">
        <v>2500</v>
      </c>
      <c r="N48" s="368" t="n"/>
    </row>
    <row r="49" ht="29.4" customHeight="1">
      <c r="A49" s="89" t="n"/>
      <c r="B49" s="90" t="n"/>
      <c r="C49" s="90" t="n"/>
      <c r="D49" s="145" t="inlineStr">
        <is>
          <t>Chi phí đũa thìa + điện nước</t>
        </is>
      </c>
      <c r="E49" s="90" t="n"/>
      <c r="F49" s="90" t="n"/>
      <c r="G49" s="90" t="n"/>
      <c r="H49" s="90" t="n"/>
      <c r="I49" s="103" t="n"/>
      <c r="J49" s="363" t="n">
        <v>2500</v>
      </c>
      <c r="N49" s="368" t="n"/>
    </row>
    <row r="50" ht="29.4" customHeight="1">
      <c r="A50" s="87" t="inlineStr">
        <is>
          <t>Tổng chi phí TĐ 1</t>
        </is>
      </c>
      <c r="B50" s="88" t="n"/>
      <c r="C50" s="88" t="n"/>
      <c r="D50" s="144" t="n"/>
      <c r="E50" s="88" t="n"/>
      <c r="F50" s="88" t="n"/>
      <c r="G50" s="88" t="n"/>
      <c r="H50" s="88" t="n"/>
      <c r="I50" s="101" t="n"/>
      <c r="J50" s="364">
        <f>SUM(J37:J49)</f>
        <v/>
      </c>
      <c r="K50" s="1" t="inlineStr">
        <is>
          <t> </t>
        </is>
      </c>
    </row>
    <row r="51" ht="29.4" customHeight="1">
      <c r="A51" s="87" t="inlineStr">
        <is>
          <t>Cost TĐ 1</t>
        </is>
      </c>
      <c r="B51" s="88" t="n"/>
      <c r="C51" s="88" t="n"/>
      <c r="D51" s="144" t="n"/>
      <c r="E51" s="88" t="n"/>
      <c r="F51" s="88" t="n"/>
      <c r="G51" s="88" t="n"/>
      <c r="H51" s="88" t="n"/>
      <c r="I51" s="101" t="n"/>
      <c r="J51" s="105">
        <f>J50/40000</f>
        <v/>
      </c>
    </row>
    <row r="52" ht="20.4" customHeight="1">
      <c r="A52" s="116" t="n"/>
      <c r="B52" s="116" t="n"/>
      <c r="C52" s="116" t="n"/>
      <c r="D52" s="148" t="n"/>
      <c r="E52" s="116" t="n"/>
      <c r="F52" s="116" t="n"/>
      <c r="G52" s="116" t="n"/>
      <c r="H52" s="116" t="n"/>
      <c r="I52" s="116" t="n"/>
      <c r="J52" s="117" t="n"/>
    </row>
    <row r="53" ht="20.4" customHeight="1">
      <c r="A53" s="106" t="inlineStr">
        <is>
          <t>THỰC ĐƠN CA Chiều 40.000Đ</t>
        </is>
      </c>
      <c r="B53" s="106" t="n"/>
      <c r="C53" s="106" t="n"/>
      <c r="D53" s="141" t="n"/>
      <c r="E53" s="106" t="n"/>
      <c r="F53" s="106" t="n"/>
      <c r="G53" s="106" t="n"/>
      <c r="H53" s="106" t="n"/>
      <c r="I53" s="106" t="n"/>
      <c r="J53" s="106" t="n"/>
    </row>
    <row r="54" ht="61.2" customFormat="1" customHeight="1" s="14">
      <c r="A54" s="99" t="inlineStr">
        <is>
          <t>Cơ cấu</t>
        </is>
      </c>
      <c r="B54" s="99" t="inlineStr">
        <is>
          <t>Món ăn</t>
        </is>
      </c>
      <c r="C54" s="99" t="inlineStr">
        <is>
          <t>Mã hàng</t>
        </is>
      </c>
      <c r="D54" s="142" t="inlineStr">
        <is>
          <t>Nguyên liệu</t>
        </is>
      </c>
      <c r="E54" s="99" t="inlineStr">
        <is>
          <t>Định lượng sống</t>
        </is>
      </c>
      <c r="F54" s="359" t="inlineStr">
        <is>
          <t>Số suất</t>
        </is>
      </c>
      <c r="G54" s="99" t="inlineStr">
        <is>
          <t>Gọi hàng</t>
        </is>
      </c>
      <c r="H54" s="359" t="inlineStr">
        <is>
          <t>Đơn giá</t>
        </is>
      </c>
      <c r="I54" s="99" t="inlineStr">
        <is>
          <t>Thành tiền</t>
        </is>
      </c>
      <c r="J54" s="99" t="inlineStr">
        <is>
          <t>Tổng</t>
        </is>
      </c>
      <c r="L54" s="16" t="n"/>
      <c r="M54" s="369" t="n"/>
      <c r="Q54" s="370" t="n"/>
    </row>
    <row r="55" ht="42.6" customHeight="1">
      <c r="A55" s="188" t="n"/>
      <c r="B55" s="313" t="inlineStr">
        <is>
          <t>gà kho nghệ</t>
        </is>
      </c>
      <c r="C55" s="310" t="inlineStr">
        <is>
          <t>NLT0063</t>
        </is>
      </c>
      <c r="D55" s="68" t="inlineStr">
        <is>
          <t>Thịt gà CN không đầu</t>
        </is>
      </c>
      <c r="E55" s="115" t="n">
        <v>120</v>
      </c>
      <c r="F55" s="360" t="n">
        <v>2100</v>
      </c>
      <c r="G55" s="361">
        <f>E55*F55/1000</f>
        <v/>
      </c>
      <c r="H55" s="360" t="n">
        <v>48000</v>
      </c>
      <c r="I55" s="362">
        <f>IFERROR(E55*H55/1000,"")</f>
        <v/>
      </c>
      <c r="J55" s="362">
        <f>I55</f>
        <v/>
      </c>
    </row>
    <row r="56" ht="42.6" customHeight="1">
      <c r="A56" s="186" t="n"/>
      <c r="B56" s="366" t="n"/>
      <c r="C56" s="310" t="inlineStr">
        <is>
          <t>NLR0127</t>
        </is>
      </c>
      <c r="D56" s="149" t="inlineStr">
        <is>
          <t>nghệ củ</t>
        </is>
      </c>
      <c r="E56" s="115" t="n">
        <v>1</v>
      </c>
      <c r="F56" s="360" t="n">
        <v>2100</v>
      </c>
      <c r="G56" s="361">
        <f>E56*F56/1000</f>
        <v/>
      </c>
      <c r="H56" s="360" t="n">
        <v>20000</v>
      </c>
      <c r="I56" s="362">
        <f>IFERROR(E56*H56/1000,"")</f>
        <v/>
      </c>
      <c r="J56" s="362">
        <f>I56</f>
        <v/>
      </c>
    </row>
    <row r="57" ht="30.6" customHeight="1">
      <c r="A57" s="311" t="n"/>
      <c r="B57" s="313" t="inlineStr">
        <is>
          <t>thăn cá chiên xù</t>
        </is>
      </c>
      <c r="C57" s="310" t="inlineStr">
        <is>
          <t>NLS0490</t>
        </is>
      </c>
      <c r="D57" s="68" t="inlineStr">
        <is>
          <t>Cá rô phi lọc 0,4-0,6kg/miếng</t>
        </is>
      </c>
      <c r="E57" s="115" t="n">
        <v>65</v>
      </c>
      <c r="F57" s="360" t="n">
        <v>2100</v>
      </c>
      <c r="G57" s="361">
        <f>E57*F57/1000</f>
        <v/>
      </c>
      <c r="H57" s="360" t="n">
        <v>66000</v>
      </c>
      <c r="I57" s="362">
        <f>IFERROR(E57*H57/1000,"")</f>
        <v/>
      </c>
      <c r="J57" s="362">
        <f>I57</f>
        <v/>
      </c>
    </row>
    <row r="58" ht="30.6" customHeight="1">
      <c r="A58" s="349" t="n"/>
      <c r="B58" s="366" t="n"/>
      <c r="C58" s="310" t="inlineStr">
        <is>
          <t>NLR0174</t>
        </is>
      </c>
      <c r="D58" s="68" t="inlineStr">
        <is>
          <t>thì là</t>
        </is>
      </c>
      <c r="E58" s="115" t="n">
        <v>0.5</v>
      </c>
      <c r="F58" s="360" t="n">
        <v>2100</v>
      </c>
      <c r="G58" s="361">
        <f>E58*F58/1000</f>
        <v/>
      </c>
      <c r="H58" s="360" t="n">
        <v>20000</v>
      </c>
      <c r="I58" s="362">
        <f>IFERROR(E58*H58/1000,"")</f>
        <v/>
      </c>
      <c r="J58" s="362">
        <f>I58</f>
        <v/>
      </c>
    </row>
    <row r="59" ht="30.6" customHeight="1">
      <c r="A59" s="349" t="n"/>
      <c r="B59" s="310" t="inlineStr">
        <is>
          <t>chuối om thịt</t>
        </is>
      </c>
      <c r="C59" s="310" t="inlineStr">
        <is>
          <t>NLR0051</t>
        </is>
      </c>
      <c r="D59" s="68" t="inlineStr">
        <is>
          <t>chuối xanh</t>
        </is>
      </c>
      <c r="E59" s="115" t="n">
        <v>65</v>
      </c>
      <c r="F59" s="360" t="n">
        <v>2100</v>
      </c>
      <c r="G59" s="361">
        <f>E59*F59/1000</f>
        <v/>
      </c>
      <c r="H59" s="360" t="n">
        <v>8000</v>
      </c>
      <c r="I59" s="362">
        <f>IFERROR(E59*H59/1000,"")</f>
        <v/>
      </c>
      <c r="J59" s="362">
        <f>I59</f>
        <v/>
      </c>
    </row>
    <row r="60" ht="28.2" customHeight="1">
      <c r="A60" s="349" t="n"/>
      <c r="B60" s="349" t="n"/>
      <c r="C60" s="310" t="inlineStr">
        <is>
          <t>NLT0076</t>
        </is>
      </c>
      <c r="D60" s="149" t="inlineStr">
        <is>
          <t>thịt lợn mông sấn</t>
        </is>
      </c>
      <c r="E60" s="115" t="n">
        <v>25</v>
      </c>
      <c r="F60" s="360" t="n">
        <v>2100</v>
      </c>
      <c r="G60" s="361">
        <f>E60*F60/1000</f>
        <v/>
      </c>
      <c r="H60" s="360" t="n">
        <v>101000</v>
      </c>
      <c r="I60" s="362">
        <f>IFERROR(E60*H60/1000,"")</f>
        <v/>
      </c>
      <c r="J60" s="362">
        <f>I60</f>
        <v/>
      </c>
    </row>
    <row r="61" ht="28.2" customHeight="1">
      <c r="A61" s="311" t="n"/>
      <c r="B61" s="349" t="n"/>
      <c r="C61" s="310" t="inlineStr">
        <is>
          <t>NLR0170</t>
        </is>
      </c>
      <c r="D61" s="123" t="inlineStr">
        <is>
          <t>tía tô</t>
        </is>
      </c>
      <c r="E61" s="115" t="n">
        <v>1</v>
      </c>
      <c r="F61" s="360" t="n">
        <v>2100</v>
      </c>
      <c r="G61" s="361">
        <f>E61*F61/1000</f>
        <v/>
      </c>
      <c r="H61" s="360" t="n">
        <v>25000</v>
      </c>
      <c r="I61" s="362">
        <f>IFERROR(E61*H61/1000,"")</f>
        <v/>
      </c>
      <c r="J61" s="362">
        <f>I61</f>
        <v/>
      </c>
    </row>
    <row r="62" ht="28.2" customHeight="1">
      <c r="A62" s="186" t="n"/>
      <c r="B62" s="310" t="inlineStr">
        <is>
          <t>rau muống luộc</t>
        </is>
      </c>
      <c r="C62" s="310" t="inlineStr">
        <is>
          <t>NLR0156</t>
        </is>
      </c>
      <c r="D62" s="149" t="inlineStr">
        <is>
          <t>rau muống cắt gốc</t>
        </is>
      </c>
      <c r="E62" s="115" t="n">
        <v>110</v>
      </c>
      <c r="F62" s="360" t="n">
        <v>2100</v>
      </c>
      <c r="G62" s="361">
        <f>E62*F62/1000</f>
        <v/>
      </c>
      <c r="H62" s="360" t="n">
        <v>9000</v>
      </c>
      <c r="I62" s="362">
        <f>IFERROR(E62*H62/1000,"")</f>
        <v/>
      </c>
      <c r="J62" s="362">
        <f>I62</f>
        <v/>
      </c>
    </row>
    <row r="63" ht="28.2" customHeight="1">
      <c r="A63" s="186" t="n"/>
      <c r="B63" s="310" t="inlineStr">
        <is>
          <t>cơm trắng</t>
        </is>
      </c>
      <c r="C63" s="310" t="inlineStr">
        <is>
          <t>NLG0013</t>
        </is>
      </c>
      <c r="D63" s="147" t="inlineStr">
        <is>
          <t>gạo bắc hương</t>
        </is>
      </c>
      <c r="E63" s="115" t="n">
        <v>180</v>
      </c>
      <c r="F63" s="360" t="n">
        <v>2100</v>
      </c>
      <c r="G63" s="361">
        <f>E63*F63/1000</f>
        <v/>
      </c>
      <c r="H63" s="360" t="n">
        <v>13800</v>
      </c>
      <c r="I63" s="362">
        <f>IFERROR(E63*H63/1000,"")</f>
        <v/>
      </c>
      <c r="J63" s="362">
        <f>I63</f>
        <v/>
      </c>
    </row>
    <row r="64" ht="28.2" customHeight="1">
      <c r="A64" s="187" t="n"/>
      <c r="B64" s="310" t="inlineStr">
        <is>
          <t>nước luộc dầm chua</t>
        </is>
      </c>
      <c r="C64" s="310" t="inlineStr">
        <is>
          <t>NPG0094</t>
        </is>
      </c>
      <c r="D64" s="123" t="inlineStr">
        <is>
          <t>me khô</t>
        </is>
      </c>
      <c r="E64" s="115" t="n">
        <v>3</v>
      </c>
      <c r="F64" s="360" t="n">
        <v>2100</v>
      </c>
      <c r="G64" s="361">
        <f>E64*F64/1000</f>
        <v/>
      </c>
      <c r="H64" s="360" t="n">
        <v>30000</v>
      </c>
      <c r="I64" s="362">
        <f>IFERROR(E64*H64/1000,"")</f>
        <v/>
      </c>
      <c r="J64" s="362">
        <f>I64</f>
        <v/>
      </c>
    </row>
    <row r="65" ht="28.2" customHeight="1">
      <c r="A65" s="313" t="inlineStr">
        <is>
          <t xml:space="preserve">Tráng miệng </t>
        </is>
      </c>
      <c r="B65" s="119" t="inlineStr">
        <is>
          <t>thanh long</t>
        </is>
      </c>
      <c r="C65" s="310" t="inlineStr">
        <is>
          <t>NLQ0022</t>
        </is>
      </c>
      <c r="D65" s="68" t="inlineStr">
        <is>
          <t>Quả Thanh long</t>
        </is>
      </c>
      <c r="E65" s="115" t="n">
        <v>110</v>
      </c>
      <c r="F65" s="360" t="n">
        <v>2100</v>
      </c>
      <c r="G65" s="361">
        <f>E65*F65/1000</f>
        <v/>
      </c>
      <c r="H65" s="360" t="n">
        <v>11000</v>
      </c>
      <c r="I65" s="362">
        <f>IFERROR(E65*H65/1000,"")</f>
        <v/>
      </c>
      <c r="J65" s="362">
        <f>I65</f>
        <v/>
      </c>
      <c r="L65" s="2" t="n"/>
      <c r="M65" s="2" t="n"/>
    </row>
    <row r="66" ht="28.2" customHeight="1">
      <c r="A66" s="87" t="inlineStr">
        <is>
          <t>Gia vị</t>
        </is>
      </c>
      <c r="B66" s="88" t="n"/>
      <c r="C66" s="88" t="n"/>
      <c r="D66" s="144" t="n"/>
      <c r="E66" s="88" t="n"/>
      <c r="F66" s="360" t="n"/>
      <c r="G66" s="88" t="n"/>
      <c r="H66" s="88" t="n"/>
      <c r="I66" s="101" t="n"/>
      <c r="J66" s="363" t="n">
        <v>1600</v>
      </c>
    </row>
    <row r="67" ht="28.2" customHeight="1">
      <c r="A67" s="89" t="n"/>
      <c r="B67" s="90" t="n"/>
      <c r="C67" s="90" t="n"/>
      <c r="D67" s="145" t="inlineStr">
        <is>
          <t>Gas</t>
        </is>
      </c>
      <c r="E67" s="90" t="n"/>
      <c r="F67" s="360" t="n"/>
      <c r="G67" s="90" t="n"/>
      <c r="H67" s="90" t="n"/>
      <c r="I67" s="103" t="n"/>
      <c r="J67" s="363" t="n">
        <v>2500</v>
      </c>
    </row>
    <row r="68" ht="28.2" customHeight="1">
      <c r="A68" s="89" t="n"/>
      <c r="B68" s="90" t="n"/>
      <c r="C68" s="90" t="n"/>
      <c r="D68" s="145" t="inlineStr">
        <is>
          <t>Chi Phí đũa thìa + điện nước</t>
        </is>
      </c>
      <c r="E68" s="90" t="n"/>
      <c r="F68" s="90" t="n"/>
      <c r="G68" s="90" t="n"/>
      <c r="H68" s="90" t="n"/>
      <c r="I68" s="103" t="n"/>
      <c r="J68" s="363" t="n">
        <v>2500</v>
      </c>
    </row>
    <row r="69" ht="28.2" customHeight="1">
      <c r="A69" s="87" t="inlineStr">
        <is>
          <t>Tổng chi phí TĐ 1</t>
        </is>
      </c>
      <c r="B69" s="88" t="n"/>
      <c r="C69" s="88" t="n"/>
      <c r="D69" s="144" t="n"/>
      <c r="E69" s="88" t="n"/>
      <c r="F69" s="88" t="n"/>
      <c r="G69" s="88" t="n"/>
      <c r="H69" s="88" t="n"/>
      <c r="I69" s="101" t="n"/>
      <c r="J69" s="364">
        <f>SUM(J55:J68)</f>
        <v/>
      </c>
    </row>
    <row r="70" ht="28.2" customHeight="1">
      <c r="A70" s="87" t="inlineStr">
        <is>
          <t>Cost TĐ 1</t>
        </is>
      </c>
      <c r="B70" s="88" t="n"/>
      <c r="C70" s="88" t="n"/>
      <c r="D70" s="144" t="n"/>
      <c r="E70" s="88" t="n"/>
      <c r="F70" s="88" t="n"/>
      <c r="G70" s="88" t="n"/>
      <c r="H70" s="88" t="n"/>
      <c r="I70" s="101" t="n"/>
      <c r="J70" s="105">
        <f>J69/40000</f>
        <v/>
      </c>
    </row>
    <row r="71" ht="42.6" customHeight="1">
      <c r="A71" s="120" t="n"/>
      <c r="B71" s="120" t="n"/>
      <c r="C71" s="121" t="n"/>
      <c r="D71" s="150" t="n"/>
      <c r="E71" s="122" t="n"/>
      <c r="F71" s="122" t="n"/>
      <c r="G71" s="122" t="n"/>
      <c r="H71" s="122" t="n"/>
      <c r="I71" s="122" t="n"/>
      <c r="J71" s="122" t="n"/>
    </row>
    <row r="72" ht="24.6" customHeight="1">
      <c r="A72" s="312" t="inlineStr">
        <is>
          <t>CA ĐÊM VIN ALPHA 40K</t>
        </is>
      </c>
      <c r="B72" s="358" t="n"/>
      <c r="C72" s="111" t="n"/>
      <c r="D72" s="151" t="n"/>
      <c r="E72" s="111" t="n"/>
      <c r="F72" s="111" t="n"/>
      <c r="G72" s="111" t="n"/>
      <c r="H72" s="111" t="n"/>
      <c r="I72" s="111" t="n"/>
      <c r="J72" s="111" t="n"/>
    </row>
    <row r="73" ht="61.2" customHeight="1">
      <c r="A73" s="99" t="inlineStr">
        <is>
          <t>Cơ cấu</t>
        </is>
      </c>
      <c r="B73" s="99" t="inlineStr">
        <is>
          <t>Món ăn</t>
        </is>
      </c>
      <c r="C73" s="99" t="inlineStr">
        <is>
          <t>Mã hàng</t>
        </is>
      </c>
      <c r="D73" s="142" t="inlineStr">
        <is>
          <t>Nguyên liệu</t>
        </is>
      </c>
      <c r="E73" s="99" t="inlineStr">
        <is>
          <t>Định lượng sống</t>
        </is>
      </c>
      <c r="F73" s="359" t="inlineStr">
        <is>
          <t>Số suất</t>
        </is>
      </c>
      <c r="G73" s="99" t="inlineStr">
        <is>
          <t>Gọi hàng</t>
        </is>
      </c>
      <c r="H73" s="359" t="inlineStr">
        <is>
          <t>Đơn giá</t>
        </is>
      </c>
      <c r="I73" s="99" t="inlineStr">
        <is>
          <t>Thành tiền</t>
        </is>
      </c>
      <c r="J73" s="99" t="inlineStr">
        <is>
          <t>Tổng</t>
        </is>
      </c>
      <c r="L73" s="371">
        <f>(J69+J50+J10+J86)/140000</f>
        <v/>
      </c>
    </row>
    <row r="74" ht="24" customHeight="1">
      <c r="A74" s="310" t="n"/>
      <c r="B74" s="310" t="inlineStr">
        <is>
          <t>bún riêu cá chiên</t>
        </is>
      </c>
      <c r="C74" s="310" t="inlineStr">
        <is>
          <t>NLG0001</t>
        </is>
      </c>
      <c r="D74" s="74" t="inlineStr">
        <is>
          <t>bún</t>
        </is>
      </c>
      <c r="E74" s="115" t="n">
        <v>230</v>
      </c>
      <c r="F74" s="360" t="n">
        <v>550</v>
      </c>
      <c r="G74" s="361">
        <f>E74*F74/1000</f>
        <v/>
      </c>
      <c r="H74" s="360" t="n">
        <v>17000</v>
      </c>
      <c r="I74" s="362">
        <f>IFERROR(E74*H74/1000,"")</f>
        <v/>
      </c>
      <c r="J74" s="362">
        <f>I74</f>
        <v/>
      </c>
    </row>
    <row r="75" ht="30" customHeight="1">
      <c r="A75" s="349" t="n"/>
      <c r="B75" s="349" t="n"/>
      <c r="C75" s="310" t="inlineStr">
        <is>
          <t>NLS0490</t>
        </is>
      </c>
      <c r="D75" s="68" t="inlineStr">
        <is>
          <t>Cá rô phi lọc 0,4-0,6kg/miếng</t>
        </is>
      </c>
      <c r="E75" s="115" t="n">
        <v>120</v>
      </c>
      <c r="F75" s="360" t="n">
        <v>550</v>
      </c>
      <c r="G75" s="361">
        <f>E75*F75/1000</f>
        <v/>
      </c>
      <c r="H75" s="360" t="n">
        <v>66000</v>
      </c>
      <c r="I75" s="362">
        <f>IFERROR(E75*H75/1000,"")</f>
        <v/>
      </c>
      <c r="J75" s="362">
        <f>I75</f>
        <v/>
      </c>
    </row>
    <row r="76" ht="24" customHeight="1">
      <c r="A76" s="349" t="n"/>
      <c r="B76" s="349" t="n"/>
      <c r="C76" s="310" t="inlineStr">
        <is>
          <t>NLR0032</t>
        </is>
      </c>
      <c r="D76" s="149" t="inlineStr">
        <is>
          <t>cải ngọt cắt gốc</t>
        </is>
      </c>
      <c r="E76" s="115" t="n">
        <v>40</v>
      </c>
      <c r="F76" s="360" t="n">
        <v>550</v>
      </c>
      <c r="G76" s="361">
        <f>E76*F76/1000</f>
        <v/>
      </c>
      <c r="H76" s="360" t="n">
        <v>11000</v>
      </c>
      <c r="I76" s="362">
        <f>IFERROR(E76*H76/1000,"")</f>
        <v/>
      </c>
      <c r="J76" s="362">
        <f>I76</f>
        <v/>
      </c>
    </row>
    <row r="77" ht="24" customHeight="1">
      <c r="A77" s="349" t="n"/>
      <c r="B77" s="349" t="n"/>
      <c r="C77" s="310" t="inlineStr">
        <is>
          <t>NLR0076</t>
        </is>
      </c>
      <c r="D77" s="123" t="inlineStr">
        <is>
          <t>giá đỗ</t>
        </is>
      </c>
      <c r="E77" s="115" t="n">
        <v>20</v>
      </c>
      <c r="F77" s="360" t="n">
        <v>550</v>
      </c>
      <c r="G77" s="361">
        <f>E77*F77/1000</f>
        <v/>
      </c>
      <c r="H77" s="360" t="n">
        <v>10000</v>
      </c>
      <c r="I77" s="362">
        <f>IFERROR(E77*H77/1000,"")</f>
        <v/>
      </c>
      <c r="J77" s="362">
        <f>I77</f>
        <v/>
      </c>
    </row>
    <row r="78" ht="24" customHeight="1">
      <c r="A78" s="349" t="n"/>
      <c r="B78" s="349" t="n"/>
      <c r="C78" s="310" t="inlineStr">
        <is>
          <t>NLR0079</t>
        </is>
      </c>
      <c r="D78" s="152" t="inlineStr">
        <is>
          <t>hành lá</t>
        </is>
      </c>
      <c r="E78" s="115" t="n">
        <v>5</v>
      </c>
      <c r="F78" s="360" t="n">
        <v>550</v>
      </c>
      <c r="G78" s="361">
        <f>E78*F78/1000</f>
        <v/>
      </c>
      <c r="H78" s="360" t="n">
        <v>14000</v>
      </c>
      <c r="I78" s="362">
        <f>IFERROR(E78*H78/1000,"")</f>
        <v/>
      </c>
      <c r="J78" s="362">
        <f>I78</f>
        <v/>
      </c>
    </row>
    <row r="79" ht="24" customHeight="1">
      <c r="A79" s="349" t="n"/>
      <c r="B79" s="349" t="n"/>
      <c r="C79" s="310" t="inlineStr">
        <is>
          <t>NLR0174</t>
        </is>
      </c>
      <c r="D79" s="123" t="inlineStr">
        <is>
          <t>thì là</t>
        </is>
      </c>
      <c r="E79" s="115" t="n">
        <v>1</v>
      </c>
      <c r="F79" s="360" t="n">
        <v>550</v>
      </c>
      <c r="G79" s="361">
        <f>E79*F79/1000</f>
        <v/>
      </c>
      <c r="H79" s="360" t="n">
        <v>20000</v>
      </c>
      <c r="I79" s="362">
        <f>IFERROR(E79*H79/1000,"")</f>
        <v/>
      </c>
      <c r="J79" s="362">
        <f>I79</f>
        <v/>
      </c>
    </row>
    <row r="80" ht="24" customHeight="1">
      <c r="A80" s="349" t="n"/>
      <c r="B80" s="349" t="n"/>
      <c r="C80" s="310" t="inlineStr">
        <is>
          <t>NLS0078</t>
        </is>
      </c>
      <c r="D80" s="74" t="inlineStr">
        <is>
          <t>Cua xay đông lạnh</t>
        </is>
      </c>
      <c r="E80" s="115" t="n">
        <v>10</v>
      </c>
      <c r="F80" s="360" t="n">
        <v>550</v>
      </c>
      <c r="G80" s="361">
        <f>E80*F80/1000</f>
        <v/>
      </c>
      <c r="H80" s="360" t="n">
        <v>64000</v>
      </c>
      <c r="I80" s="362">
        <f>IFERROR(E80*H80/1000,"")</f>
        <v/>
      </c>
      <c r="J80" s="362">
        <f>I80</f>
        <v/>
      </c>
    </row>
    <row r="81" ht="24" customHeight="1">
      <c r="A81" s="349" t="n"/>
      <c r="B81" s="349" t="n"/>
      <c r="C81" s="310" t="inlineStr">
        <is>
          <t>NLT0112</t>
        </is>
      </c>
      <c r="D81" s="123" t="inlineStr">
        <is>
          <t>xương ống</t>
        </is>
      </c>
      <c r="E81" s="115" t="n">
        <v>15</v>
      </c>
      <c r="F81" s="360" t="n">
        <v>550</v>
      </c>
      <c r="G81" s="361">
        <f>E81*F81/1000</f>
        <v/>
      </c>
      <c r="H81" s="360" t="n">
        <v>48000</v>
      </c>
      <c r="I81" s="362">
        <f>IFERROR(E81*H81/1000,"")</f>
        <v/>
      </c>
      <c r="J81" s="362">
        <f>I81</f>
        <v/>
      </c>
    </row>
    <row r="82" ht="21" customHeight="1">
      <c r="A82" s="313" t="inlineStr">
        <is>
          <t xml:space="preserve">Tráng miệng </t>
        </is>
      </c>
      <c r="B82" s="119" t="inlineStr">
        <is>
          <t>sữa izzi</t>
        </is>
      </c>
      <c r="C82" s="310" t="n"/>
      <c r="D82" s="74" t="inlineStr">
        <is>
          <t>sữa izzi 180ml</t>
        </is>
      </c>
      <c r="E82" s="115" t="n">
        <v>1000</v>
      </c>
      <c r="F82" s="360" t="n">
        <v>550</v>
      </c>
      <c r="G82" s="361">
        <f>E82*F82/1000</f>
        <v/>
      </c>
      <c r="H82" s="360" t="n">
        <v>6000</v>
      </c>
      <c r="I82" s="362">
        <f>IFERROR(E82*H82/1000,"")</f>
        <v/>
      </c>
      <c r="J82" s="362">
        <f>I82</f>
        <v/>
      </c>
    </row>
    <row r="83" ht="21" customHeight="1">
      <c r="A83" s="87" t="inlineStr">
        <is>
          <t>Gia vị</t>
        </is>
      </c>
      <c r="B83" s="88" t="n"/>
      <c r="C83" s="88" t="n"/>
      <c r="D83" s="144" t="n"/>
      <c r="E83" s="88" t="n"/>
      <c r="F83" s="360" t="n"/>
      <c r="G83" s="88" t="n"/>
      <c r="H83" s="88" t="n"/>
      <c r="I83" s="101" t="n"/>
      <c r="J83" s="363" t="n">
        <v>1600</v>
      </c>
    </row>
    <row r="84" ht="21" customHeight="1">
      <c r="A84" s="89" t="n"/>
      <c r="B84" s="90" t="n"/>
      <c r="C84" s="90" t="n"/>
      <c r="D84" s="145" t="inlineStr">
        <is>
          <t>Gas</t>
        </is>
      </c>
      <c r="E84" s="90" t="n"/>
      <c r="F84" s="360" t="n"/>
      <c r="G84" s="90" t="n"/>
      <c r="H84" s="90" t="n"/>
      <c r="I84" s="103" t="n"/>
      <c r="J84" s="363" t="n">
        <v>2500</v>
      </c>
    </row>
    <row r="85" ht="40.8" customHeight="1">
      <c r="A85" s="89" t="n"/>
      <c r="B85" s="90" t="n"/>
      <c r="C85" s="90" t="n"/>
      <c r="D85" s="145" t="inlineStr">
        <is>
          <t>Chi Phí đũa thìa + điện nước</t>
        </is>
      </c>
      <c r="E85" s="90" t="n"/>
      <c r="F85" s="90" t="n"/>
      <c r="G85" s="90" t="n"/>
      <c r="H85" s="90" t="n"/>
      <c r="I85" s="103" t="n"/>
      <c r="J85" s="363" t="n">
        <v>2500</v>
      </c>
    </row>
    <row r="86" ht="40.8" customHeight="1">
      <c r="A86" s="87" t="inlineStr">
        <is>
          <t>Tổng chi phí TĐ 1</t>
        </is>
      </c>
      <c r="B86" s="88" t="n"/>
      <c r="C86" s="88" t="n"/>
      <c r="D86" s="144" t="n"/>
      <c r="E86" s="88" t="n"/>
      <c r="F86" s="88" t="n"/>
      <c r="G86" s="88" t="n"/>
      <c r="H86" s="88" t="n"/>
      <c r="I86" s="101" t="n"/>
      <c r="J86" s="364">
        <f>SUM(J74:J85)</f>
        <v/>
      </c>
    </row>
    <row r="87" ht="20.4" customHeight="1">
      <c r="A87" s="87" t="inlineStr">
        <is>
          <t>Cost TĐ 1</t>
        </is>
      </c>
      <c r="B87" s="88" t="n"/>
      <c r="C87" s="88" t="n"/>
      <c r="D87" s="144" t="n"/>
      <c r="E87" s="88" t="n"/>
      <c r="F87" s="88" t="n"/>
      <c r="G87" s="88" t="n"/>
      <c r="H87" s="88" t="n"/>
      <c r="I87" s="101" t="n"/>
      <c r="J87" s="105">
        <f>J86/40000</f>
        <v/>
      </c>
    </row>
    <row r="88"/>
    <row r="89"/>
    <row r="90"/>
    <row r="91" ht="24.6" customHeight="1">
      <c r="A91" s="312" t="inlineStr">
        <is>
          <t>CA ĐÊM SGC 30K</t>
        </is>
      </c>
      <c r="B91" s="358" t="n"/>
      <c r="C91" s="111" t="n"/>
      <c r="D91" s="151" t="n"/>
      <c r="E91" s="111" t="n"/>
      <c r="F91" s="111" t="n"/>
      <c r="G91" s="111" t="n"/>
      <c r="H91" s="111" t="n"/>
      <c r="I91" s="111" t="n"/>
      <c r="J91" s="111" t="n"/>
    </row>
    <row r="92" ht="61.2" customHeight="1">
      <c r="A92" s="99" t="inlineStr">
        <is>
          <t>Cơ cấu</t>
        </is>
      </c>
      <c r="B92" s="99" t="inlineStr">
        <is>
          <t>Món ăn</t>
        </is>
      </c>
      <c r="C92" s="99" t="inlineStr">
        <is>
          <t>Mã hàng</t>
        </is>
      </c>
      <c r="D92" s="142" t="inlineStr">
        <is>
          <t>Nguyên liệu</t>
        </is>
      </c>
      <c r="E92" s="99" t="inlineStr">
        <is>
          <t>Định lượng sống</t>
        </is>
      </c>
      <c r="F92" s="359" t="inlineStr">
        <is>
          <t>Số suất</t>
        </is>
      </c>
      <c r="G92" s="99" t="inlineStr">
        <is>
          <t>Gọi hàng</t>
        </is>
      </c>
      <c r="H92" s="359" t="inlineStr">
        <is>
          <t>Đơn giá</t>
        </is>
      </c>
      <c r="I92" s="99" t="inlineStr">
        <is>
          <t>Thành tiền</t>
        </is>
      </c>
      <c r="J92" s="99" t="inlineStr">
        <is>
          <t>Tổng</t>
        </is>
      </c>
      <c r="L92" s="371">
        <f>(J88+J68+J28+J105)/140000</f>
        <v/>
      </c>
    </row>
    <row r="93" ht="24" customHeight="1">
      <c r="A93" s="310" t="n"/>
      <c r="B93" s="310" t="inlineStr">
        <is>
          <t>bún riêu cá + giò</t>
        </is>
      </c>
      <c r="C93" s="310" t="inlineStr">
        <is>
          <t>NLG0001</t>
        </is>
      </c>
      <c r="D93" s="74" t="inlineStr">
        <is>
          <t>bún</t>
        </is>
      </c>
      <c r="E93" s="115" t="n">
        <v>230</v>
      </c>
      <c r="F93" s="360" t="n">
        <v>750</v>
      </c>
      <c r="G93" s="361">
        <f>E93*F93/1000</f>
        <v/>
      </c>
      <c r="H93" s="360" t="n">
        <v>17000</v>
      </c>
      <c r="I93" s="362">
        <f>IFERROR(E93*H93/1000,"")</f>
        <v/>
      </c>
      <c r="J93" s="362">
        <f>I93</f>
        <v/>
      </c>
    </row>
    <row r="94" ht="30" customHeight="1">
      <c r="A94" s="349" t="n"/>
      <c r="B94" s="349" t="n"/>
      <c r="C94" s="310" t="inlineStr">
        <is>
          <t>NLS0490</t>
        </is>
      </c>
      <c r="D94" s="68" t="inlineStr">
        <is>
          <t>Cá rô phi lọc 0,4-0,6kg/miếng</t>
        </is>
      </c>
      <c r="E94" s="115" t="n">
        <v>90</v>
      </c>
      <c r="F94" s="360" t="n">
        <v>750</v>
      </c>
      <c r="G94" s="361">
        <f>E94*F94/1000</f>
        <v/>
      </c>
      <c r="H94" s="360" t="n">
        <v>66000</v>
      </c>
      <c r="I94" s="362">
        <f>IFERROR(E94*H94/1000,"")</f>
        <v/>
      </c>
      <c r="J94" s="362">
        <f>I94</f>
        <v/>
      </c>
    </row>
    <row r="95" ht="30" customHeight="1">
      <c r="A95" s="349" t="n"/>
      <c r="B95" s="349" t="n"/>
      <c r="C95" s="310" t="inlineStr">
        <is>
          <t>NLS0078</t>
        </is>
      </c>
      <c r="D95" s="74" t="inlineStr">
        <is>
          <t>Cua xay đông lạnh</t>
        </is>
      </c>
      <c r="E95" s="115" t="n">
        <v>10</v>
      </c>
      <c r="F95" s="360" t="n">
        <v>750</v>
      </c>
      <c r="G95" s="361">
        <f>E95*F95/1000</f>
        <v/>
      </c>
      <c r="H95" s="360" t="n">
        <v>64000</v>
      </c>
      <c r="I95" s="362">
        <f>IFERROR(E95*H95/1000,"")</f>
        <v/>
      </c>
      <c r="J95" s="362">
        <f>I95</f>
        <v/>
      </c>
    </row>
    <row r="96" ht="30" customHeight="1">
      <c r="A96" s="349" t="n"/>
      <c r="B96" s="349" t="n"/>
      <c r="C96" s="310" t="inlineStr">
        <is>
          <t>NLT0017</t>
        </is>
      </c>
      <c r="D96" s="74" t="inlineStr">
        <is>
          <t>giò lụa</t>
        </is>
      </c>
      <c r="E96" s="115" t="n">
        <v>20</v>
      </c>
      <c r="F96" s="360" t="n">
        <v>750</v>
      </c>
      <c r="G96" s="361">
        <f>E96*F96/1000</f>
        <v/>
      </c>
      <c r="H96" s="360" t="n">
        <v>85000</v>
      </c>
      <c r="I96" s="362">
        <f>IFERROR(E96*H96/1000,"")</f>
        <v/>
      </c>
      <c r="J96" s="362">
        <f>I96</f>
        <v/>
      </c>
    </row>
    <row r="97" ht="24" customHeight="1">
      <c r="A97" s="349" t="n"/>
      <c r="B97" s="349" t="n"/>
      <c r="C97" s="310" t="inlineStr">
        <is>
          <t>NLR0032</t>
        </is>
      </c>
      <c r="D97" s="149" t="inlineStr">
        <is>
          <t>cải ngọt cắt gốc</t>
        </is>
      </c>
      <c r="E97" s="115" t="n">
        <v>40</v>
      </c>
      <c r="F97" s="360" t="n">
        <v>750</v>
      </c>
      <c r="G97" s="361">
        <f>E97*F97/1000</f>
        <v/>
      </c>
      <c r="H97" s="360" t="n">
        <v>11000</v>
      </c>
      <c r="I97" s="362">
        <f>IFERROR(E97*H97/1000,"")</f>
        <v/>
      </c>
      <c r="J97" s="362">
        <f>I97</f>
        <v/>
      </c>
    </row>
    <row r="98" ht="24" customHeight="1">
      <c r="A98" s="349" t="n"/>
      <c r="B98" s="349" t="n"/>
      <c r="C98" s="310" t="inlineStr">
        <is>
          <t>NLR0076</t>
        </is>
      </c>
      <c r="D98" s="123" t="inlineStr">
        <is>
          <t>giá đỗ</t>
        </is>
      </c>
      <c r="E98" s="115" t="n">
        <v>20</v>
      </c>
      <c r="F98" s="360" t="n">
        <v>750</v>
      </c>
      <c r="G98" s="361">
        <f>E98*F98/1000</f>
        <v/>
      </c>
      <c r="H98" s="360" t="n">
        <v>10000</v>
      </c>
      <c r="I98" s="362">
        <f>IFERROR(E98*H98/1000,"")</f>
        <v/>
      </c>
      <c r="J98" s="362">
        <f>I98</f>
        <v/>
      </c>
    </row>
    <row r="99" ht="24" customHeight="1">
      <c r="A99" s="349" t="n"/>
      <c r="B99" s="349" t="n"/>
      <c r="C99" s="310" t="inlineStr">
        <is>
          <t>NLR0079</t>
        </is>
      </c>
      <c r="D99" s="152" t="inlineStr">
        <is>
          <t>hành lá</t>
        </is>
      </c>
      <c r="E99" s="115" t="n">
        <v>5</v>
      </c>
      <c r="F99" s="360" t="n">
        <v>750</v>
      </c>
      <c r="G99" s="361">
        <f>E99*F99/1000</f>
        <v/>
      </c>
      <c r="H99" s="360" t="n">
        <v>14000</v>
      </c>
      <c r="I99" s="362">
        <f>IFERROR(E99*H99/1000,"")</f>
        <v/>
      </c>
      <c r="J99" s="362">
        <f>I99</f>
        <v/>
      </c>
    </row>
    <row r="100" ht="24" customHeight="1">
      <c r="A100" s="349" t="n"/>
      <c r="B100" s="349" t="n"/>
      <c r="C100" s="310" t="inlineStr">
        <is>
          <t>NLR0174</t>
        </is>
      </c>
      <c r="D100" s="123" t="inlineStr">
        <is>
          <t>thì là</t>
        </is>
      </c>
      <c r="E100" s="115" t="n">
        <v>1</v>
      </c>
      <c r="F100" s="360" t="n">
        <v>750</v>
      </c>
      <c r="G100" s="361">
        <f>E100*F100/1000</f>
        <v/>
      </c>
      <c r="H100" s="360" t="n">
        <v>20000</v>
      </c>
      <c r="I100" s="362">
        <f>IFERROR(E100*H100/1000,"")</f>
        <v/>
      </c>
      <c r="J100" s="362">
        <f>I100</f>
        <v/>
      </c>
    </row>
    <row r="101" ht="24" customHeight="1">
      <c r="A101" s="349" t="n"/>
      <c r="B101" s="349" t="n"/>
      <c r="C101" s="310" t="inlineStr">
        <is>
          <t>NLT0112</t>
        </is>
      </c>
      <c r="D101" s="123" t="inlineStr">
        <is>
          <t>xương ống</t>
        </is>
      </c>
      <c r="E101" s="115" t="n">
        <v>15</v>
      </c>
      <c r="F101" s="360" t="n">
        <v>750</v>
      </c>
      <c r="G101" s="361">
        <f>E101*F101/1000</f>
        <v/>
      </c>
      <c r="H101" s="360" t="n">
        <v>48000</v>
      </c>
      <c r="I101" s="362">
        <f>IFERROR(E101*H101/1000,"")</f>
        <v/>
      </c>
      <c r="J101" s="362">
        <f>I101</f>
        <v/>
      </c>
    </row>
    <row r="102" ht="21" customHeight="1">
      <c r="A102" s="87" t="inlineStr">
        <is>
          <t>Gia vị</t>
        </is>
      </c>
      <c r="B102" s="88" t="n"/>
      <c r="C102" s="88" t="n"/>
      <c r="D102" s="144" t="n"/>
      <c r="E102" s="88" t="n"/>
      <c r="F102" s="360" t="n"/>
      <c r="G102" s="88" t="n"/>
      <c r="H102" s="88" t="n"/>
      <c r="I102" s="101" t="n"/>
      <c r="J102" s="363" t="n">
        <v>1600</v>
      </c>
    </row>
    <row r="103" ht="21" customHeight="1">
      <c r="A103" s="89" t="n"/>
      <c r="B103" s="90" t="n"/>
      <c r="C103" s="90" t="n"/>
      <c r="D103" s="145" t="inlineStr">
        <is>
          <t>Gas</t>
        </is>
      </c>
      <c r="E103" s="90" t="n"/>
      <c r="F103" s="360" t="n"/>
      <c r="G103" s="90" t="n"/>
      <c r="H103" s="90" t="n"/>
      <c r="I103" s="103" t="n"/>
      <c r="J103" s="363" t="n">
        <v>2500</v>
      </c>
    </row>
    <row r="104" ht="40.8" customHeight="1">
      <c r="A104" s="89" t="n"/>
      <c r="B104" s="90" t="n"/>
      <c r="C104" s="90" t="n"/>
      <c r="D104" s="145" t="inlineStr">
        <is>
          <t>Chi Phí đũa thìa + điện nước</t>
        </is>
      </c>
      <c r="E104" s="90" t="n"/>
      <c r="F104" s="90" t="n"/>
      <c r="G104" s="90" t="n"/>
      <c r="H104" s="90" t="n"/>
      <c r="I104" s="103" t="n"/>
      <c r="J104" s="363" t="n">
        <v>2500</v>
      </c>
    </row>
    <row r="105" ht="40.8" customHeight="1">
      <c r="A105" s="87" t="inlineStr">
        <is>
          <t>Tổng chi phí TĐ 1</t>
        </is>
      </c>
      <c r="B105" s="88" t="n"/>
      <c r="C105" s="88" t="n"/>
      <c r="D105" s="144" t="n"/>
      <c r="E105" s="88" t="n"/>
      <c r="F105" s="88" t="n"/>
      <c r="G105" s="88" t="n"/>
      <c r="H105" s="88" t="n"/>
      <c r="I105" s="101" t="n"/>
      <c r="J105" s="364">
        <f>SUM(J93:J104)</f>
        <v/>
      </c>
    </row>
    <row r="106" ht="20.4" customHeight="1">
      <c r="A106" s="87" t="inlineStr">
        <is>
          <t>Cost TĐ 1</t>
        </is>
      </c>
      <c r="B106" s="88" t="n"/>
      <c r="C106" s="88" t="n"/>
      <c r="D106" s="144" t="n"/>
      <c r="E106" s="88" t="n"/>
      <c r="F106" s="88" t="n"/>
      <c r="G106" s="88" t="n"/>
      <c r="H106" s="88" t="n"/>
      <c r="I106" s="101" t="n"/>
      <c r="J106" s="105">
        <f>J105/30000</f>
        <v/>
      </c>
    </row>
  </sheetData>
  <mergeCells count="19">
    <mergeCell ref="A18:A22"/>
    <mergeCell ref="B57:B58"/>
    <mergeCell ref="A16:B16"/>
    <mergeCell ref="A4:A6"/>
    <mergeCell ref="B4:B6"/>
    <mergeCell ref="A37:A38"/>
    <mergeCell ref="B37:B38"/>
    <mergeCell ref="B59:B61"/>
    <mergeCell ref="A93:A101"/>
    <mergeCell ref="A2:B2"/>
    <mergeCell ref="A74:A81"/>
    <mergeCell ref="B55:B56"/>
    <mergeCell ref="A57:A60"/>
    <mergeCell ref="A91:B91"/>
    <mergeCell ref="B18:B22"/>
    <mergeCell ref="B93:B101"/>
    <mergeCell ref="B39:B41"/>
    <mergeCell ref="A72:B72"/>
    <mergeCell ref="B74:B81"/>
  </mergeCells>
  <pageMargins left="0.7086614173228347" right="0.7086614173228347" top="0.7480314960629921" bottom="0.7480314960629921" header="0.3149606299212598" footer="0.3149606299212598"/>
  <pageSetup orientation="portrait" scale="55"/>
  <colBreaks count="1" manualBreakCount="1">
    <brk id="7" min="0" max="1048575" man="1"/>
  </colBreak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4"/>
  <sheetViews>
    <sheetView topLeftCell="A29" zoomScale="55" zoomScaleNormal="55" workbookViewId="0">
      <selection activeCell="E38" sqref="E38"/>
    </sheetView>
  </sheetViews>
  <sheetFormatPr baseColWidth="8" defaultColWidth="8.88671875" defaultRowHeight="18"/>
  <cols>
    <col width="20.109375" bestFit="1" customWidth="1" style="14" min="1" max="1"/>
    <col width="25.88671875" customWidth="1" style="23" min="2" max="2"/>
    <col width="23.6640625" customWidth="1" style="14" min="3" max="3"/>
    <col width="52.6640625" customWidth="1" style="8" min="4" max="4"/>
    <col width="21.77734375" customWidth="1" style="8" min="5" max="5"/>
    <col width="21.77734375" customWidth="1" style="357" min="6" max="6"/>
    <col width="21.77734375" customWidth="1" style="8" min="7" max="7"/>
    <col width="15.44140625" customWidth="1" style="357" min="8" max="8"/>
    <col width="12.44140625" customWidth="1" style="8" min="9" max="9"/>
    <col width="13.44140625" customWidth="1" style="1" min="10" max="10"/>
    <col width="8.1093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 ht="38.4" customHeight="1">
      <c r="A2" s="318" t="inlineStr">
        <is>
          <t>Bữa Sáng 20.000Đ</t>
        </is>
      </c>
      <c r="B2" s="358" t="n"/>
      <c r="C2" s="358" t="n"/>
      <c r="D2" s="159" t="n"/>
      <c r="E2" s="159" t="n"/>
      <c r="F2" s="159" t="n"/>
      <c r="G2" s="159" t="inlineStr">
        <is>
          <t>a</t>
        </is>
      </c>
      <c r="H2" s="106" t="n"/>
      <c r="I2" s="106" t="n"/>
      <c r="J2" s="106" t="n"/>
    </row>
    <row r="3" ht="38.4" customHeight="1">
      <c r="A3" s="160" t="inlineStr">
        <is>
          <t>Cơ cấu</t>
        </is>
      </c>
      <c r="B3" s="161" t="inlineStr">
        <is>
          <t>Món ăn</t>
        </is>
      </c>
      <c r="C3" s="160" t="inlineStr">
        <is>
          <t>Mã hàng</t>
        </is>
      </c>
      <c r="D3" s="160" t="inlineStr">
        <is>
          <t>Nguyên liệu</t>
        </is>
      </c>
      <c r="E3" s="160" t="inlineStr">
        <is>
          <t>Định lượng sống</t>
        </is>
      </c>
      <c r="F3" s="372" t="inlineStr">
        <is>
          <t>Số suất</t>
        </is>
      </c>
      <c r="G3" s="160" t="inlineStr">
        <is>
          <t>Gọi hàng</t>
        </is>
      </c>
      <c r="H3" s="359" t="inlineStr">
        <is>
          <t>Đơn giá</t>
        </is>
      </c>
      <c r="I3" s="99" t="inlineStr">
        <is>
          <t>Thành tiền</t>
        </is>
      </c>
      <c r="J3" s="99" t="inlineStr">
        <is>
          <t>Tổng</t>
        </is>
      </c>
    </row>
    <row r="4" ht="38.4" customHeight="1">
      <c r="A4" s="319" t="n"/>
      <c r="B4" s="319" t="inlineStr">
        <is>
          <t>cháo ngao
trứng vịt lộn
quẩy</t>
        </is>
      </c>
      <c r="C4" s="319" t="inlineStr">
        <is>
          <t>NLG0013</t>
        </is>
      </c>
      <c r="D4" s="179" t="inlineStr">
        <is>
          <t>gạo bắc hương</t>
        </is>
      </c>
      <c r="E4" s="165" t="n">
        <v>45</v>
      </c>
      <c r="F4" s="373" t="n">
        <v>2030</v>
      </c>
      <c r="G4" s="374">
        <f>E4*F4/1000</f>
        <v/>
      </c>
      <c r="H4" s="360" t="n">
        <v>13800</v>
      </c>
      <c r="I4" s="362">
        <f>IFERROR(E4*H4/1000,"")</f>
        <v/>
      </c>
      <c r="J4" s="362">
        <f>I4</f>
        <v/>
      </c>
    </row>
    <row r="5" ht="38.4" customHeight="1">
      <c r="A5" s="349" t="n"/>
      <c r="B5" s="349" t="n"/>
      <c r="C5" s="319" t="inlineStr">
        <is>
          <t>NLG0006</t>
        </is>
      </c>
      <c r="D5" s="168" t="inlineStr">
        <is>
          <t>gạo nếp</t>
        </is>
      </c>
      <c r="E5" s="169" t="n">
        <v>5</v>
      </c>
      <c r="F5" s="373" t="n">
        <v>2030</v>
      </c>
      <c r="G5" s="374">
        <f>E5*F5/1000</f>
        <v/>
      </c>
      <c r="H5" s="360" t="n">
        <v>35000</v>
      </c>
      <c r="I5" s="362">
        <f>IFERROR(E5*H5/1000,"")</f>
        <v/>
      </c>
      <c r="J5" s="362">
        <f>I5</f>
        <v/>
      </c>
    </row>
    <row r="6" ht="38.4" customHeight="1">
      <c r="A6" s="349" t="n"/>
      <c r="B6" s="349" t="n"/>
      <c r="C6" s="319" t="inlineStr">
        <is>
          <t>NLS0058</t>
        </is>
      </c>
      <c r="D6" s="74" t="inlineStr">
        <is>
          <t>ngao</t>
        </is>
      </c>
      <c r="E6" s="169" t="n">
        <v>70</v>
      </c>
      <c r="F6" s="373" t="n">
        <v>2030</v>
      </c>
      <c r="G6" s="374">
        <f>E6*F6/1000</f>
        <v/>
      </c>
      <c r="H6" s="360" t="n">
        <v>24000</v>
      </c>
      <c r="I6" s="362">
        <f>IFERROR(E6*H6/1000,"")</f>
        <v/>
      </c>
      <c r="J6" s="362">
        <f>I6</f>
        <v/>
      </c>
    </row>
    <row r="7" ht="38.4" customHeight="1">
      <c r="A7" s="349" t="n"/>
      <c r="B7" s="349" t="n"/>
      <c r="C7" s="319" t="inlineStr">
        <is>
          <t>NPG0066</t>
        </is>
      </c>
      <c r="D7" s="164" t="inlineStr">
        <is>
          <t>hành khô</t>
        </is>
      </c>
      <c r="E7" s="169" t="n">
        <v>5</v>
      </c>
      <c r="F7" s="373" t="n">
        <v>2030</v>
      </c>
      <c r="G7" s="374">
        <f>E7*F7/1000</f>
        <v/>
      </c>
      <c r="H7" s="360" t="n">
        <v>22000</v>
      </c>
      <c r="I7" s="362">
        <f>IFERROR(E7*H7/1000,"")</f>
        <v/>
      </c>
      <c r="J7" s="362">
        <f>I7</f>
        <v/>
      </c>
    </row>
    <row r="8" ht="38.4" customHeight="1">
      <c r="A8" s="349" t="n"/>
      <c r="B8" s="349" t="n"/>
      <c r="C8" s="319" t="inlineStr">
        <is>
          <t>NLR0079</t>
        </is>
      </c>
      <c r="D8" s="164" t="inlineStr">
        <is>
          <t>hành lá</t>
        </is>
      </c>
      <c r="E8" s="169" t="n">
        <v>3</v>
      </c>
      <c r="F8" s="373" t="n">
        <v>2030</v>
      </c>
      <c r="G8" s="374">
        <f>E8*F8/1000</f>
        <v/>
      </c>
      <c r="H8" s="360" t="n">
        <v>14000</v>
      </c>
      <c r="I8" s="362">
        <f>IFERROR(E8*H8/1000,"")</f>
        <v/>
      </c>
      <c r="J8" s="362">
        <f>I8</f>
        <v/>
      </c>
    </row>
    <row r="9" ht="38.4" customHeight="1">
      <c r="A9" s="349" t="n"/>
      <c r="B9" s="349" t="n"/>
      <c r="C9" s="319" t="inlineStr">
        <is>
          <t>NLR0170</t>
        </is>
      </c>
      <c r="D9" s="164" t="inlineStr">
        <is>
          <t>tía tô</t>
        </is>
      </c>
      <c r="E9" s="169" t="n">
        <v>1</v>
      </c>
      <c r="F9" s="373" t="n">
        <v>2030</v>
      </c>
      <c r="G9" s="374">
        <f>E9*F9/1000</f>
        <v/>
      </c>
      <c r="H9" s="360" t="n">
        <v>25000</v>
      </c>
      <c r="I9" s="362">
        <f>IFERROR(E9*H9/1000,"")</f>
        <v/>
      </c>
      <c r="J9" s="362">
        <f>I9</f>
        <v/>
      </c>
    </row>
    <row r="10" ht="38.4" customHeight="1">
      <c r="A10" s="349" t="n"/>
      <c r="B10" s="349" t="n"/>
      <c r="C10" s="319" t="inlineStr">
        <is>
          <t>NLT0105</t>
        </is>
      </c>
      <c r="D10" s="164" t="inlineStr">
        <is>
          <t>trứng vịt lộn</t>
        </is>
      </c>
      <c r="E10" s="169" t="n">
        <v>1100</v>
      </c>
      <c r="F10" s="373" t="n">
        <v>2030</v>
      </c>
      <c r="G10" s="374">
        <f>E10*F10/1000</f>
        <v/>
      </c>
      <c r="H10" s="360" t="n">
        <v>3900</v>
      </c>
      <c r="I10" s="362">
        <f>IFERROR(E10*H10/1000,"")</f>
        <v/>
      </c>
      <c r="J10" s="362">
        <f>I10</f>
        <v/>
      </c>
    </row>
    <row r="11" ht="38.4" customHeight="1">
      <c r="A11" s="349" t="n"/>
      <c r="B11" s="349" t="n"/>
      <c r="C11" s="319" t="inlineStr">
        <is>
          <t>NPG0361</t>
        </is>
      </c>
      <c r="D11" s="164" t="inlineStr">
        <is>
          <t>quẩy</t>
        </is>
      </c>
      <c r="E11" s="169" t="n">
        <v>1300</v>
      </c>
      <c r="F11" s="373" t="n">
        <v>2030</v>
      </c>
      <c r="G11" s="374">
        <f>E11*F11/1000</f>
        <v/>
      </c>
      <c r="H11" s="360" t="n">
        <v>1300</v>
      </c>
      <c r="I11" s="362">
        <f>IFERROR(E11*H11/1000,"")</f>
        <v/>
      </c>
      <c r="J11" s="362">
        <f>I11</f>
        <v/>
      </c>
    </row>
    <row r="12" ht="38.4" customHeight="1">
      <c r="A12" s="87" t="inlineStr">
        <is>
          <t>Gia vị</t>
        </is>
      </c>
      <c r="B12" s="88" t="n"/>
      <c r="C12" s="88" t="n"/>
      <c r="D12" s="88" t="n"/>
      <c r="E12" s="88" t="n"/>
      <c r="F12" s="88" t="n"/>
      <c r="G12" s="88" t="n"/>
      <c r="H12" s="88" t="n"/>
      <c r="I12" s="101" t="n"/>
      <c r="J12" s="363" t="n">
        <v>800</v>
      </c>
    </row>
    <row r="13" ht="38.4" customHeight="1">
      <c r="A13" s="89" t="n"/>
      <c r="B13" s="90" t="n"/>
      <c r="C13" s="90" t="n"/>
      <c r="D13" s="90" t="inlineStr">
        <is>
          <t>GAS</t>
        </is>
      </c>
      <c r="E13" s="90" t="n"/>
      <c r="F13" s="90" t="n"/>
      <c r="G13" s="90" t="n"/>
      <c r="H13" s="90" t="n"/>
      <c r="I13" s="103" t="n"/>
      <c r="J13" s="363" t="n">
        <v>1250</v>
      </c>
    </row>
    <row r="14" ht="38.4" customHeight="1">
      <c r="A14" s="89" t="n"/>
      <c r="B14" s="90" t="n"/>
      <c r="C14" s="90" t="n"/>
      <c r="D14" s="90" t="inlineStr">
        <is>
          <t>Chi phí khay,đũa</t>
        </is>
      </c>
      <c r="E14" s="90" t="n"/>
      <c r="F14" s="90" t="n"/>
      <c r="G14" s="90" t="n"/>
      <c r="H14" s="90" t="n"/>
      <c r="I14" s="103" t="n"/>
      <c r="J14" s="363" t="n">
        <v>1600</v>
      </c>
    </row>
    <row r="15" ht="38.4" customHeight="1">
      <c r="A15" s="87" t="inlineStr">
        <is>
          <t>Tổng chi phí TĐ 1</t>
        </is>
      </c>
      <c r="B15" s="88" t="n"/>
      <c r="C15" s="88" t="n"/>
      <c r="D15" s="88" t="n"/>
      <c r="E15" s="88" t="n"/>
      <c r="F15" s="88" t="n"/>
      <c r="G15" s="88" t="n"/>
      <c r="H15" s="88" t="n"/>
      <c r="I15" s="101" t="n"/>
      <c r="J15" s="364">
        <f>SUM(J4:J14)</f>
        <v/>
      </c>
    </row>
    <row r="16" ht="38.4" customHeight="1">
      <c r="A16" s="87" t="inlineStr">
        <is>
          <t>Cost TĐ 1</t>
        </is>
      </c>
      <c r="B16" s="88" t="n"/>
      <c r="C16" s="88" t="n"/>
      <c r="D16" s="88" t="n"/>
      <c r="E16" s="88" t="n"/>
      <c r="F16" s="88" t="n"/>
      <c r="G16" s="88" t="n"/>
      <c r="H16" s="88" t="n"/>
      <c r="I16" s="101" t="n"/>
      <c r="J16" s="105">
        <f>J15/20000</f>
        <v/>
      </c>
    </row>
    <row r="17" ht="38.4" customHeight="1">
      <c r="A17" s="108" t="n"/>
      <c r="B17" s="108" t="n"/>
      <c r="C17" s="108" t="n"/>
      <c r="D17" s="108" t="n"/>
      <c r="E17" s="108" t="n"/>
      <c r="F17" s="108" t="n"/>
      <c r="G17" s="108" t="n"/>
      <c r="H17" s="108" t="n"/>
      <c r="I17" s="108" t="n"/>
      <c r="J17" s="185" t="n"/>
    </row>
    <row r="18" ht="38.4" customHeight="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85" t="n"/>
    </row>
    <row r="19" ht="38.4" customHeight="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85" t="n"/>
    </row>
    <row r="20" ht="38.4" customHeight="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85" t="n"/>
    </row>
    <row r="21" ht="38.4" customHeight="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85" t="n"/>
    </row>
    <row r="22" ht="38.4" customHeight="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85" t="n"/>
    </row>
    <row r="23" ht="38.4" customHeight="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85" t="n"/>
    </row>
    <row r="24" ht="38.4" customHeight="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85" t="n"/>
    </row>
    <row r="25" ht="38.4" customHeight="1">
      <c r="A25" s="107" t="n"/>
      <c r="B25" s="108" t="n"/>
      <c r="C25" s="107" t="n"/>
      <c r="D25" s="109" t="n"/>
      <c r="E25" s="109" t="n"/>
      <c r="F25" s="365" t="n"/>
      <c r="G25" s="109" t="n"/>
      <c r="H25" s="365" t="n"/>
      <c r="I25" s="109" t="n"/>
      <c r="J25" s="111" t="n"/>
    </row>
    <row r="26" ht="38.4" customHeight="1">
      <c r="A26" s="106" t="inlineStr">
        <is>
          <t>CHIẾT TÍNH THỰC ĐƠN CA Trưa 40.000đ</t>
        </is>
      </c>
      <c r="B26" s="106" t="n"/>
      <c r="C26" s="106" t="n"/>
      <c r="D26" s="106" t="n"/>
      <c r="E26" s="106" t="n"/>
      <c r="F26" s="106" t="n"/>
      <c r="G26" s="106" t="n"/>
      <c r="H26" s="106" t="n"/>
      <c r="I26" s="106" t="n"/>
      <c r="J26" s="106" t="n"/>
    </row>
    <row r="27" ht="38.4" customFormat="1" customHeight="1" s="14">
      <c r="A27" s="171" t="inlineStr">
        <is>
          <t>Cơ cấu</t>
        </is>
      </c>
      <c r="B27" s="171" t="inlineStr">
        <is>
          <t>Món ăn</t>
        </is>
      </c>
      <c r="C27" s="171" t="inlineStr">
        <is>
          <t>Mã hàng</t>
        </is>
      </c>
      <c r="D27" s="171" t="inlineStr">
        <is>
          <t>Nguyên liệu</t>
        </is>
      </c>
      <c r="E27" s="171" t="inlineStr">
        <is>
          <t>Định lượng sống</t>
        </is>
      </c>
      <c r="F27" s="375" t="inlineStr">
        <is>
          <t>Số suất</t>
        </is>
      </c>
      <c r="G27" s="171" t="inlineStr">
        <is>
          <t>Gọi hàng</t>
        </is>
      </c>
      <c r="H27" s="359" t="inlineStr">
        <is>
          <t>Đơn giá</t>
        </is>
      </c>
      <c r="I27" s="99" t="inlineStr">
        <is>
          <t>Thành tiền</t>
        </is>
      </c>
      <c r="J27" s="99" t="inlineStr">
        <is>
          <t>Tổng</t>
        </is>
      </c>
    </row>
    <row r="28" ht="52.2" customHeight="1">
      <c r="A28" s="376" t="n"/>
      <c r="B28" s="377" t="inlineStr">
        <is>
          <t>bò nấu sốt vang</t>
        </is>
      </c>
      <c r="C28" s="174" t="inlineStr">
        <is>
          <t>NLT0435</t>
        </is>
      </c>
      <c r="D28" s="197" t="inlineStr">
        <is>
          <t>Thịt dẻ sườn trâu 123</t>
        </is>
      </c>
      <c r="E28" s="175" t="n">
        <v>65</v>
      </c>
      <c r="F28" s="378" t="n">
        <v>2100</v>
      </c>
      <c r="G28" s="379">
        <f>E28*F28/1000</f>
        <v/>
      </c>
      <c r="H28" s="360" t="n">
        <v>120000</v>
      </c>
      <c r="I28" s="362">
        <f>IFERROR(E28*H28/1000,"")</f>
        <v/>
      </c>
      <c r="J28" s="362">
        <f>I28</f>
        <v/>
      </c>
      <c r="K28" s="14" t="n"/>
      <c r="L28" s="380" t="n"/>
    </row>
    <row r="29" ht="52.2" customHeight="1">
      <c r="A29" s="349" t="n"/>
      <c r="B29" s="349" t="n"/>
      <c r="C29" s="174" t="inlineStr">
        <is>
          <t>NLR0100</t>
        </is>
      </c>
      <c r="D29" s="201" t="inlineStr">
        <is>
          <t>khoai tây</t>
        </is>
      </c>
      <c r="E29" s="175" t="n">
        <v>40</v>
      </c>
      <c r="F29" s="378" t="n">
        <v>2100</v>
      </c>
      <c r="G29" s="379">
        <f>E29*F29/1000</f>
        <v/>
      </c>
      <c r="H29" s="360" t="n">
        <v>13000</v>
      </c>
      <c r="I29" s="362">
        <f>IFERROR(E29*H29/1000,"")</f>
        <v/>
      </c>
      <c r="J29" s="362">
        <f>I29</f>
        <v/>
      </c>
      <c r="K29" s="14" t="n"/>
      <c r="L29" s="381" t="n"/>
    </row>
    <row r="30" ht="52.2" customHeight="1">
      <c r="A30" s="349" t="n"/>
      <c r="B30" s="349" t="n"/>
      <c r="C30" s="174" t="inlineStr">
        <is>
          <t>NLR0018</t>
        </is>
      </c>
      <c r="D30" s="201" t="inlineStr">
        <is>
          <t>cà rốt</t>
        </is>
      </c>
      <c r="E30" s="175" t="n">
        <v>10</v>
      </c>
      <c r="F30" s="378" t="n">
        <v>2100</v>
      </c>
      <c r="G30" s="379">
        <f>E30*F30/1000</f>
        <v/>
      </c>
      <c r="H30" s="360" t="n">
        <v>11000</v>
      </c>
      <c r="I30" s="362">
        <f>IFERROR(E30*H30/1000,"")</f>
        <v/>
      </c>
      <c r="J30" s="362">
        <f>I30</f>
        <v/>
      </c>
      <c r="K30" s="14" t="n"/>
      <c r="L30" s="381" t="n"/>
    </row>
    <row r="31" ht="52.2" customHeight="1">
      <c r="A31" s="349" t="n"/>
      <c r="B31" s="346" t="n"/>
      <c r="C31" s="174" t="inlineStr">
        <is>
          <t>NLR0153</t>
        </is>
      </c>
      <c r="D31" s="203" t="inlineStr">
        <is>
          <t>rau mùi ta</t>
        </is>
      </c>
      <c r="E31" s="175" t="n">
        <v>1</v>
      </c>
      <c r="F31" s="378" t="n">
        <v>2100</v>
      </c>
      <c r="G31" s="379">
        <f>E31*F31/1000</f>
        <v/>
      </c>
      <c r="H31" s="360" t="n">
        <v>15000</v>
      </c>
      <c r="I31" s="362">
        <f>IFERROR(E31*H31/1000,"")</f>
        <v/>
      </c>
      <c r="J31" s="362">
        <f>I31</f>
        <v/>
      </c>
      <c r="K31" s="14" t="n"/>
      <c r="L31" s="381" t="n"/>
    </row>
    <row r="32" ht="38.4" customHeight="1">
      <c r="A32" s="349" t="n"/>
      <c r="B32" s="324" t="inlineStr">
        <is>
          <t>ức gà xào hành nấm</t>
        </is>
      </c>
      <c r="C32" s="174" t="inlineStr">
        <is>
          <t>NLT0107</t>
        </is>
      </c>
      <c r="D32" s="197" t="inlineStr">
        <is>
          <t>Ức gà không xương</t>
        </is>
      </c>
      <c r="E32" s="175" t="n">
        <v>70</v>
      </c>
      <c r="F32" s="378" t="n">
        <v>2100</v>
      </c>
      <c r="G32" s="379">
        <f>E32*F32/1000</f>
        <v/>
      </c>
      <c r="H32" s="360" t="n">
        <v>57000</v>
      </c>
      <c r="I32" s="362">
        <f>IFERROR(E32*H32/1000,"")</f>
        <v/>
      </c>
      <c r="J32" s="362">
        <f>I32</f>
        <v/>
      </c>
      <c r="K32" s="14" t="n"/>
      <c r="L32" s="381" t="n"/>
    </row>
    <row r="33" ht="38.4" customHeight="1">
      <c r="A33" s="349" t="n"/>
      <c r="B33" s="349" t="n"/>
      <c r="C33" s="174" t="inlineStr">
        <is>
          <t>NLR0546</t>
        </is>
      </c>
      <c r="D33" s="202" t="inlineStr">
        <is>
          <t>nấm hương khô</t>
        </is>
      </c>
      <c r="E33" s="175" t="n">
        <v>1</v>
      </c>
      <c r="F33" s="378" t="n">
        <v>2100</v>
      </c>
      <c r="G33" s="379">
        <f>E33*F33/1000</f>
        <v/>
      </c>
      <c r="H33" s="360" t="n">
        <v>200000</v>
      </c>
      <c r="I33" s="362">
        <f>IFERROR(E33*H33/1000,"")</f>
        <v/>
      </c>
      <c r="J33" s="362">
        <f>I33</f>
        <v/>
      </c>
      <c r="K33" s="14" t="n"/>
      <c r="L33" s="381" t="n"/>
    </row>
    <row r="34" ht="38.4" customHeight="1">
      <c r="A34" s="349" t="n"/>
      <c r="B34" s="349" t="n"/>
      <c r="C34" s="174" t="inlineStr">
        <is>
          <t>NLR0083</t>
        </is>
      </c>
      <c r="D34" s="202" t="inlineStr">
        <is>
          <t>hành tây</t>
        </is>
      </c>
      <c r="E34" s="175" t="n">
        <v>20</v>
      </c>
      <c r="F34" s="378" t="n">
        <v>2100</v>
      </c>
      <c r="G34" s="379">
        <f>E34*F34/1000</f>
        <v/>
      </c>
      <c r="H34" s="360" t="n">
        <v>9000</v>
      </c>
      <c r="I34" s="362">
        <f>IFERROR(E34*H34/1000,"")</f>
        <v/>
      </c>
      <c r="J34" s="362">
        <f>I34</f>
        <v/>
      </c>
      <c r="K34" s="14" t="n"/>
      <c r="L34" s="381" t="n"/>
    </row>
    <row r="35" ht="38.4" customHeight="1">
      <c r="A35" s="349" t="n"/>
      <c r="B35" s="349" t="n"/>
      <c r="C35" s="174" t="inlineStr">
        <is>
          <t>NLR0018</t>
        </is>
      </c>
      <c r="D35" s="202" t="inlineStr">
        <is>
          <t>cà rốt</t>
        </is>
      </c>
      <c r="E35" s="175" t="n">
        <v>10</v>
      </c>
      <c r="F35" s="378" t="n">
        <v>2100</v>
      </c>
      <c r="G35" s="379">
        <f>E35*F35/1000</f>
        <v/>
      </c>
      <c r="H35" s="360" t="n">
        <v>11000</v>
      </c>
      <c r="I35" s="362">
        <f>IFERROR(E35*H35/1000,"")</f>
        <v/>
      </c>
      <c r="J35" s="362">
        <f>I35</f>
        <v/>
      </c>
      <c r="K35" s="14" t="n"/>
      <c r="L35" s="381" t="n"/>
    </row>
    <row r="36" ht="51.6" customHeight="1">
      <c r="A36" s="349" t="n"/>
      <c r="B36" s="377" t="inlineStr">
        <is>
          <t>đậu sốt cà chua</t>
        </is>
      </c>
      <c r="C36" s="174" t="inlineStr">
        <is>
          <t>NLT0011</t>
        </is>
      </c>
      <c r="D36" s="203" t="inlineStr">
        <is>
          <t>đậu phụ kg</t>
        </is>
      </c>
      <c r="E36" s="175" t="n">
        <v>100</v>
      </c>
      <c r="F36" s="378" t="n">
        <v>2100</v>
      </c>
      <c r="G36" s="379">
        <f>E36*F36/1000</f>
        <v/>
      </c>
      <c r="H36" s="360" t="n">
        <v>17000</v>
      </c>
      <c r="I36" s="362">
        <f>IFERROR(E36*H36/1000,"")</f>
        <v/>
      </c>
      <c r="J36" s="362">
        <f>I36</f>
        <v/>
      </c>
      <c r="K36" s="14" t="n"/>
      <c r="L36" s="381" t="n"/>
    </row>
    <row r="37" ht="51.6" customHeight="1">
      <c r="A37" s="349" t="n"/>
      <c r="B37" s="346" t="n"/>
      <c r="C37" s="174" t="inlineStr">
        <is>
          <t>NLR0268</t>
        </is>
      </c>
      <c r="D37" s="201" t="inlineStr">
        <is>
          <t>cà chua to</t>
        </is>
      </c>
      <c r="E37" s="175" t="n">
        <v>10</v>
      </c>
      <c r="F37" s="378" t="n">
        <v>2100</v>
      </c>
      <c r="G37" s="379">
        <f>E37*F37/1000</f>
        <v/>
      </c>
      <c r="H37" s="360" t="n">
        <v>22000</v>
      </c>
      <c r="I37" s="362">
        <f>IFERROR(E37*H37/1000,"")</f>
        <v/>
      </c>
      <c r="J37" s="362">
        <f>I37</f>
        <v/>
      </c>
      <c r="K37" s="14" t="n"/>
      <c r="L37" s="381" t="n"/>
    </row>
    <row r="38" ht="38.4" customHeight="1">
      <c r="A38" s="349" t="n"/>
      <c r="B38" s="324" t="inlineStr">
        <is>
          <t>đỗ cove luộc</t>
        </is>
      </c>
      <c r="C38" s="174" t="inlineStr">
        <is>
          <t>NLR0068</t>
        </is>
      </c>
      <c r="D38" s="201" t="inlineStr">
        <is>
          <t>đậu cô ve</t>
        </is>
      </c>
      <c r="E38" s="175" t="n">
        <v>100</v>
      </c>
      <c r="F38" s="378" t="n">
        <v>2100</v>
      </c>
      <c r="G38" s="379">
        <f>E38*F38/1000</f>
        <v/>
      </c>
      <c r="H38" s="360" t="n">
        <v>18000</v>
      </c>
      <c r="I38" s="362">
        <f>IFERROR(E38*H38/1000,"")</f>
        <v/>
      </c>
      <c r="J38" s="362">
        <f>I38</f>
        <v/>
      </c>
      <c r="K38" s="14" t="n"/>
    </row>
    <row r="39" ht="38.4" customHeight="1">
      <c r="A39" s="349" t="n"/>
      <c r="B39" s="178" t="inlineStr">
        <is>
          <t>cơm trắng</t>
        </is>
      </c>
      <c r="C39" s="174" t="inlineStr">
        <is>
          <t>NLG0013</t>
        </is>
      </c>
      <c r="D39" s="198" t="inlineStr">
        <is>
          <t>gạo bắc hương</t>
        </is>
      </c>
      <c r="E39" s="175" t="n">
        <v>180</v>
      </c>
      <c r="F39" s="378" t="n">
        <v>2100</v>
      </c>
      <c r="G39" s="379">
        <f>E39*F39/1000</f>
        <v/>
      </c>
      <c r="H39" s="360" t="n">
        <v>13800</v>
      </c>
      <c r="I39" s="362">
        <f>IFERROR(E39*H39/1000,"")</f>
        <v/>
      </c>
      <c r="J39" s="362">
        <f>I39</f>
        <v/>
      </c>
      <c r="K39" s="14" t="n"/>
    </row>
    <row r="40" ht="38.4" customHeight="1">
      <c r="A40" s="349" t="n"/>
      <c r="B40" s="178" t="inlineStr">
        <is>
          <t>canh rau dền</t>
        </is>
      </c>
      <c r="C40" s="174" t="inlineStr">
        <is>
          <t>NLR0148</t>
        </is>
      </c>
      <c r="D40" s="202" t="inlineStr">
        <is>
          <t>rau dền</t>
        </is>
      </c>
      <c r="E40" s="175" t="n">
        <v>15</v>
      </c>
      <c r="F40" s="378" t="n">
        <v>2100</v>
      </c>
      <c r="G40" s="379">
        <f>E40*F40/1000</f>
        <v/>
      </c>
      <c r="H40" s="360" t="n">
        <v>11000</v>
      </c>
      <c r="I40" s="362">
        <f>IFERROR(E40*H40/1000,"")</f>
        <v/>
      </c>
      <c r="J40" s="362">
        <f>I40</f>
        <v/>
      </c>
      <c r="K40" s="14" t="n"/>
    </row>
    <row r="41" ht="38.4" customHeight="1">
      <c r="A41" s="346" t="n"/>
      <c r="B41" s="174" t="inlineStr">
        <is>
          <t>chuối</t>
        </is>
      </c>
      <c r="C41" s="174" t="inlineStr">
        <is>
          <t>NLQ0011</t>
        </is>
      </c>
      <c r="D41" s="197" t="inlineStr">
        <is>
          <t>Qủa Chuối tiêu chín</t>
        </is>
      </c>
      <c r="E41" s="180" t="n">
        <v>1000</v>
      </c>
      <c r="F41" s="378" t="n">
        <v>2100</v>
      </c>
      <c r="G41" s="379">
        <f>E41*F41/1000</f>
        <v/>
      </c>
      <c r="H41" s="360" t="n">
        <v>1500</v>
      </c>
      <c r="I41" s="362">
        <f>IFERROR(E41*H41/1000,"")</f>
        <v/>
      </c>
      <c r="J41" s="362">
        <f>I41</f>
        <v/>
      </c>
      <c r="K41" s="14" t="n"/>
    </row>
    <row r="42" ht="38.4" customHeight="1">
      <c r="A42" s="87" t="inlineStr">
        <is>
          <t>Gia vị</t>
        </is>
      </c>
      <c r="B42" s="88" t="n"/>
      <c r="C42" s="88" t="n"/>
      <c r="D42" s="88" t="n"/>
      <c r="E42" s="88" t="n"/>
      <c r="F42" s="88" t="n"/>
      <c r="G42" s="88" t="n"/>
      <c r="H42" s="88" t="n"/>
      <c r="I42" s="101" t="n"/>
      <c r="J42" s="362" t="n">
        <v>1600</v>
      </c>
      <c r="N42" s="368" t="n"/>
    </row>
    <row r="43" ht="38.4" customHeight="1">
      <c r="A43" s="89" t="n"/>
      <c r="B43" s="90" t="n"/>
      <c r="C43" s="90" t="n"/>
      <c r="D43" s="90" t="inlineStr">
        <is>
          <t>Gas</t>
        </is>
      </c>
      <c r="E43" s="90" t="n"/>
      <c r="F43" s="90" t="n"/>
      <c r="G43" s="90" t="n"/>
      <c r="H43" s="90" t="n"/>
      <c r="I43" s="103" t="n"/>
      <c r="J43" s="363" t="n">
        <v>2500</v>
      </c>
      <c r="N43" s="368" t="n"/>
    </row>
    <row r="44" ht="38.4" customHeight="1">
      <c r="A44" s="89" t="n"/>
      <c r="B44" s="90" t="n"/>
      <c r="C44" s="90" t="n"/>
      <c r="D44" s="90" t="inlineStr">
        <is>
          <t>Chi phí đũa thìa + điện nước</t>
        </is>
      </c>
      <c r="E44" s="90" t="n"/>
      <c r="F44" s="90" t="n"/>
      <c r="G44" s="90" t="n"/>
      <c r="H44" s="90" t="n"/>
      <c r="I44" s="103" t="n"/>
      <c r="J44" s="363" t="n">
        <v>2700</v>
      </c>
      <c r="N44" s="368" t="n"/>
    </row>
    <row r="45" ht="38.4" customHeight="1">
      <c r="A45" s="87" t="inlineStr">
        <is>
          <t>Tổng chi phí TĐ 1</t>
        </is>
      </c>
      <c r="B45" s="88" t="n"/>
      <c r="C45" s="88" t="n"/>
      <c r="D45" s="88" t="n"/>
      <c r="E45" s="88" t="n"/>
      <c r="F45" s="88" t="n"/>
      <c r="G45" s="88" t="n"/>
      <c r="H45" s="88" t="n"/>
      <c r="I45" s="101" t="n"/>
      <c r="J45" s="364">
        <f>SUM(J28:J44)</f>
        <v/>
      </c>
      <c r="K45" s="1" t="inlineStr">
        <is>
          <t> </t>
        </is>
      </c>
    </row>
    <row r="46" ht="38.4" customHeight="1">
      <c r="A46" s="87" t="inlineStr">
        <is>
          <t>Cost TĐ 1</t>
        </is>
      </c>
      <c r="B46" s="88" t="n"/>
      <c r="C46" s="88" t="n"/>
      <c r="D46" s="88" t="n"/>
      <c r="E46" s="88" t="n"/>
      <c r="F46" s="88" t="n"/>
      <c r="G46" s="88" t="n"/>
      <c r="H46" s="88" t="n"/>
      <c r="I46" s="101" t="n"/>
      <c r="J46" s="105">
        <f>J45/40000</f>
        <v/>
      </c>
    </row>
    <row r="47" ht="38.4" customHeight="1">
      <c r="A47" s="192" t="n"/>
      <c r="B47" s="192" t="n"/>
      <c r="C47" s="192" t="n"/>
      <c r="D47" s="192" t="n"/>
      <c r="E47" s="192" t="n"/>
      <c r="F47" s="192" t="n"/>
      <c r="G47" s="192" t="n"/>
      <c r="H47" s="192" t="n"/>
      <c r="I47" s="192" t="n"/>
      <c r="J47" s="117" t="n"/>
    </row>
    <row r="48" ht="38.4" customHeight="1">
      <c r="A48" s="116" t="n"/>
      <c r="B48" s="116" t="n"/>
      <c r="C48" s="116" t="n"/>
      <c r="D48" s="116" t="n"/>
      <c r="E48" s="116" t="n"/>
      <c r="F48" s="116" t="n"/>
      <c r="G48" s="116" t="n"/>
      <c r="H48" s="116" t="n"/>
      <c r="I48" s="116" t="n"/>
      <c r="J48" s="117" t="n"/>
    </row>
    <row r="49" ht="38.4" customHeight="1">
      <c r="A49" s="106" t="inlineStr">
        <is>
          <t>THỰC ĐƠN CA Chiều 40.000Đ</t>
        </is>
      </c>
      <c r="B49" s="106" t="n"/>
      <c r="C49" s="106" t="n"/>
      <c r="D49" s="106" t="n"/>
      <c r="E49" s="106" t="n"/>
      <c r="F49" s="106" t="n"/>
      <c r="G49" s="106" t="n"/>
      <c r="H49" s="106" t="n"/>
      <c r="I49" s="106" t="n"/>
      <c r="J49" s="106" t="n"/>
    </row>
    <row r="50" ht="38.4" customFormat="1" customHeight="1" s="14">
      <c r="A50" s="99" t="inlineStr">
        <is>
          <t>Cơ cấu</t>
        </is>
      </c>
      <c r="B50" s="99" t="inlineStr">
        <is>
          <t>Món ăn</t>
        </is>
      </c>
      <c r="C50" s="99" t="inlineStr">
        <is>
          <t>Mã hàng</t>
        </is>
      </c>
      <c r="D50" s="99" t="inlineStr">
        <is>
          <t>Nguyên liệu</t>
        </is>
      </c>
      <c r="E50" s="99" t="inlineStr">
        <is>
          <t>Định lượng sống</t>
        </is>
      </c>
      <c r="F50" s="359" t="inlineStr">
        <is>
          <t>Số suất</t>
        </is>
      </c>
      <c r="G50" s="99" t="inlineStr">
        <is>
          <t>Gọi hàng</t>
        </is>
      </c>
      <c r="H50" s="359" t="inlineStr">
        <is>
          <t>Đơn giá</t>
        </is>
      </c>
      <c r="I50" s="99" t="inlineStr">
        <is>
          <t>Thành tiền</t>
        </is>
      </c>
      <c r="J50" s="99" t="inlineStr">
        <is>
          <t>Tổng</t>
        </is>
      </c>
      <c r="L50" s="16" t="n"/>
      <c r="M50" s="369" t="n"/>
      <c r="Q50" s="370" t="n"/>
    </row>
    <row r="51" ht="38.4" customHeight="1">
      <c r="A51" s="188" t="n"/>
      <c r="B51" s="313" t="inlineStr">
        <is>
          <t>cá sốt cà chua</t>
        </is>
      </c>
      <c r="C51" s="310" t="inlineStr">
        <is>
          <t>NLS0491</t>
        </is>
      </c>
      <c r="D51" s="68" t="inlineStr">
        <is>
          <t>Cá chim sơ chế bỏ đầu 0,8-1,5kg/con</t>
        </is>
      </c>
      <c r="E51" s="115" t="n">
        <v>130</v>
      </c>
      <c r="F51" s="360" t="n">
        <v>2000</v>
      </c>
      <c r="G51" s="361">
        <f>E51*F51/1000</f>
        <v/>
      </c>
      <c r="H51" s="360" t="n">
        <v>47000</v>
      </c>
      <c r="I51" s="362">
        <f>IFERROR(E51*H51/1000,"")</f>
        <v/>
      </c>
      <c r="J51" s="362">
        <f>I51</f>
        <v/>
      </c>
    </row>
    <row r="52" ht="38.4" customHeight="1">
      <c r="A52" s="186" t="n"/>
      <c r="B52" s="382" t="n"/>
      <c r="C52" s="310" t="inlineStr">
        <is>
          <t>NLR0268</t>
        </is>
      </c>
      <c r="D52" s="201" t="inlineStr">
        <is>
          <t>cà chua to</t>
        </is>
      </c>
      <c r="E52" s="115" t="n">
        <v>10</v>
      </c>
      <c r="F52" s="360" t="n">
        <v>2000</v>
      </c>
      <c r="G52" s="361">
        <f>E52*F52/1000</f>
        <v/>
      </c>
      <c r="H52" s="360" t="n">
        <v>22000</v>
      </c>
      <c r="I52" s="362">
        <f>IFERROR(E52*H52/1000,"")</f>
        <v/>
      </c>
      <c r="J52" s="362">
        <f>I52</f>
        <v/>
      </c>
    </row>
    <row r="53" ht="38.4" customHeight="1">
      <c r="A53" s="186" t="n"/>
      <c r="B53" s="366" t="n"/>
      <c r="C53" s="310" t="inlineStr">
        <is>
          <t>NLR0174</t>
        </is>
      </c>
      <c r="D53" s="201" t="inlineStr">
        <is>
          <t>thì là</t>
        </is>
      </c>
      <c r="E53" s="115" t="n">
        <v>1</v>
      </c>
      <c r="F53" s="360" t="n">
        <v>2000</v>
      </c>
      <c r="G53" s="361">
        <f>E53*F53/1000</f>
        <v/>
      </c>
      <c r="H53" s="360" t="n">
        <v>20000</v>
      </c>
      <c r="I53" s="362">
        <f>IFERROR(E53*H53/1000,"")</f>
        <v/>
      </c>
      <c r="J53" s="362">
        <f>I53</f>
        <v/>
      </c>
    </row>
    <row r="54" ht="38.4" customHeight="1">
      <c r="A54" s="311" t="n"/>
      <c r="B54" s="310" t="inlineStr">
        <is>
          <t>tim xào dưa chua</t>
        </is>
      </c>
      <c r="C54" s="310" t="inlineStr">
        <is>
          <t>NLT0463</t>
        </is>
      </c>
      <c r="D54" s="74" t="inlineStr">
        <is>
          <t>Tim heo đông lạnh Mỹ 10kg/thùng</t>
        </is>
      </c>
      <c r="E54" s="115" t="n">
        <v>70</v>
      </c>
      <c r="F54" s="360" t="n">
        <v>2000</v>
      </c>
      <c r="G54" s="361">
        <f>E54*F54/1000</f>
        <v/>
      </c>
      <c r="H54" s="360" t="n">
        <v>46000</v>
      </c>
      <c r="I54" s="362">
        <f>IFERROR(E54*H54/1000,"")</f>
        <v/>
      </c>
      <c r="J54" s="362">
        <f>I54</f>
        <v/>
      </c>
    </row>
    <row r="55" ht="38.4" customHeight="1">
      <c r="A55" s="311" t="n"/>
      <c r="B55" s="349" t="n"/>
      <c r="C55" s="310" t="inlineStr">
        <is>
          <t>NLR0025</t>
        </is>
      </c>
      <c r="D55" s="201" t="inlineStr">
        <is>
          <t>cải bẹ</t>
        </is>
      </c>
      <c r="E55" s="115" t="n">
        <v>60</v>
      </c>
      <c r="F55" s="360" t="n">
        <v>2000</v>
      </c>
      <c r="G55" s="361">
        <f>E55*F55/1000</f>
        <v/>
      </c>
      <c r="H55" s="360" t="n">
        <v>9000</v>
      </c>
      <c r="I55" s="362">
        <f>IFERROR(E55*H55/1000,"")</f>
        <v/>
      </c>
      <c r="J55" s="362">
        <f>I55</f>
        <v/>
      </c>
    </row>
    <row r="56" ht="38.4" customHeight="1">
      <c r="A56" s="311" t="n"/>
      <c r="B56" s="349" t="n"/>
      <c r="C56" s="310" t="inlineStr">
        <is>
          <t>NLR0268</t>
        </is>
      </c>
      <c r="D56" s="201" t="inlineStr">
        <is>
          <t>cà chua to</t>
        </is>
      </c>
      <c r="E56" s="115" t="n">
        <v>5</v>
      </c>
      <c r="F56" s="360" t="n">
        <v>2000</v>
      </c>
      <c r="G56" s="361">
        <f>E56*F56/1000</f>
        <v/>
      </c>
      <c r="H56" s="360" t="n">
        <v>22000</v>
      </c>
      <c r="I56" s="362">
        <f>IFERROR(E56*H56/1000,"")</f>
        <v/>
      </c>
      <c r="J56" s="362">
        <f>I56</f>
        <v/>
      </c>
    </row>
    <row r="57" ht="38.4" customHeight="1">
      <c r="A57" s="311" t="n"/>
      <c r="B57" s="310" t="inlineStr">
        <is>
          <t>lạc chao</t>
        </is>
      </c>
      <c r="C57" s="310" t="inlineStr">
        <is>
          <t>NLT0020</t>
        </is>
      </c>
      <c r="D57" s="202" t="inlineStr">
        <is>
          <t>lạc nhân</t>
        </is>
      </c>
      <c r="E57" s="115" t="n">
        <v>35</v>
      </c>
      <c r="F57" s="360" t="n">
        <v>2000</v>
      </c>
      <c r="G57" s="361">
        <f>E57*F57/1000</f>
        <v/>
      </c>
      <c r="H57" s="360" t="n">
        <v>50000</v>
      </c>
      <c r="I57" s="362">
        <f>IFERROR(E57*H57/1000,"")</f>
        <v/>
      </c>
      <c r="J57" s="362">
        <f>I57</f>
        <v/>
      </c>
    </row>
    <row r="58" ht="38.4" customHeight="1">
      <c r="A58" s="186" t="n"/>
      <c r="B58" s="310" t="inlineStr">
        <is>
          <t>bí xanh luộc</t>
        </is>
      </c>
      <c r="C58" s="310" t="inlineStr">
        <is>
          <t>NLR0266</t>
        </is>
      </c>
      <c r="D58" s="201" t="inlineStr">
        <is>
          <t>bí xanh dài</t>
        </is>
      </c>
      <c r="E58" s="115" t="n">
        <v>130</v>
      </c>
      <c r="F58" s="360" t="n">
        <v>2000</v>
      </c>
      <c r="G58" s="361">
        <f>E58*F58/1000</f>
        <v/>
      </c>
      <c r="H58" s="360" t="n">
        <v>9000</v>
      </c>
      <c r="I58" s="362">
        <f>IFERROR(E58*H58/1000,"")</f>
        <v/>
      </c>
      <c r="J58" s="362">
        <f>I58</f>
        <v/>
      </c>
    </row>
    <row r="59" ht="38.4" customHeight="1">
      <c r="A59" s="186" t="n"/>
      <c r="B59" s="313" t="inlineStr">
        <is>
          <t>canh cải canh</t>
        </is>
      </c>
      <c r="C59" s="310" t="inlineStr">
        <is>
          <t>NLR0040</t>
        </is>
      </c>
      <c r="D59" s="74" t="inlineStr">
        <is>
          <t>Cải xanh cắt gốc (kg)</t>
        </is>
      </c>
      <c r="E59" s="113" t="n">
        <v>10</v>
      </c>
      <c r="F59" s="360" t="n">
        <v>2000</v>
      </c>
      <c r="G59" s="361">
        <f>E59*F59/1000</f>
        <v/>
      </c>
      <c r="H59" s="360" t="n">
        <v>21000</v>
      </c>
      <c r="I59" s="362">
        <f>IFERROR(E59*H59/1000,"")</f>
        <v/>
      </c>
      <c r="J59" s="362">
        <f>I59</f>
        <v/>
      </c>
    </row>
    <row r="60" ht="38.4" customHeight="1">
      <c r="A60" s="186" t="n"/>
      <c r="B60" s="317" t="inlineStr">
        <is>
          <t>cơm trắng</t>
        </is>
      </c>
      <c r="C60" s="310" t="inlineStr">
        <is>
          <t>NLG0013</t>
        </is>
      </c>
      <c r="D60" s="198" t="inlineStr">
        <is>
          <t>gạo bắc hương</t>
        </is>
      </c>
      <c r="E60" s="115" t="n">
        <v>180</v>
      </c>
      <c r="F60" s="360" t="n">
        <v>2000</v>
      </c>
      <c r="G60" s="361">
        <f>E60*F60/1000</f>
        <v/>
      </c>
      <c r="H60" s="360" t="n">
        <v>13800</v>
      </c>
      <c r="I60" s="362">
        <f>IFERROR(E60*H60/1000,"")</f>
        <v/>
      </c>
      <c r="J60" s="362">
        <f>I60</f>
        <v/>
      </c>
    </row>
    <row r="61" ht="38.4" customHeight="1">
      <c r="A61" s="187" t="n"/>
      <c r="B61" s="313" t="inlineStr">
        <is>
          <t>dưa hấu</t>
        </is>
      </c>
      <c r="C61" s="310" t="inlineStr">
        <is>
          <t>NLQ0013</t>
        </is>
      </c>
      <c r="D61" s="68" t="inlineStr">
        <is>
          <t>Dưa hấu 1,8- 3kg/quả</t>
        </is>
      </c>
      <c r="E61" s="115" t="n">
        <v>110</v>
      </c>
      <c r="F61" s="360" t="n">
        <v>2000</v>
      </c>
      <c r="G61" s="361">
        <f>E61*F61/1000</f>
        <v/>
      </c>
      <c r="H61" s="360" t="n">
        <v>10000</v>
      </c>
      <c r="I61" s="362">
        <f>IFERROR(E61*H61/1000,"")</f>
        <v/>
      </c>
      <c r="J61" s="362">
        <f>I61</f>
        <v/>
      </c>
      <c r="L61" s="2" t="n"/>
      <c r="M61" s="2" t="n"/>
    </row>
    <row r="62" ht="38.4" customHeight="1">
      <c r="A62" s="87" t="inlineStr">
        <is>
          <t>Gia vị</t>
        </is>
      </c>
      <c r="B62" s="88" t="n"/>
      <c r="C62" s="88" t="n"/>
      <c r="D62" s="88" t="n"/>
      <c r="E62" s="88" t="n"/>
      <c r="F62" s="360" t="n"/>
      <c r="G62" s="88" t="n"/>
      <c r="H62" s="88" t="n"/>
      <c r="I62" s="101" t="n"/>
      <c r="J62" s="363" t="n">
        <v>1600</v>
      </c>
    </row>
    <row r="63" ht="38.4" customHeight="1">
      <c r="A63" s="89" t="n"/>
      <c r="B63" s="90" t="n"/>
      <c r="C63" s="90" t="n"/>
      <c r="D63" s="90" t="inlineStr">
        <is>
          <t>Gas</t>
        </is>
      </c>
      <c r="E63" s="90" t="n"/>
      <c r="F63" s="360" t="n"/>
      <c r="G63" s="90" t="n"/>
      <c r="H63" s="90" t="n"/>
      <c r="I63" s="103" t="n"/>
      <c r="J63" s="363" t="n">
        <v>2500</v>
      </c>
    </row>
    <row r="64" ht="38.4" customHeight="1">
      <c r="A64" s="89" t="n"/>
      <c r="B64" s="90" t="n"/>
      <c r="C64" s="90" t="n"/>
      <c r="D64" s="90" t="inlineStr">
        <is>
          <t>Chi Phí khay ,đũa</t>
        </is>
      </c>
      <c r="E64" s="90" t="n"/>
      <c r="F64" s="360" t="n"/>
      <c r="G64" s="90" t="n"/>
      <c r="H64" s="90" t="n"/>
      <c r="I64" s="103" t="n"/>
      <c r="J64" s="363" t="n">
        <v>2500</v>
      </c>
    </row>
    <row r="65" ht="38.4" customHeight="1">
      <c r="A65" s="87" t="inlineStr">
        <is>
          <t>Tổng chi phí TĐ 1</t>
        </is>
      </c>
      <c r="B65" s="88" t="n"/>
      <c r="C65" s="88" t="n"/>
      <c r="D65" s="88" t="n"/>
      <c r="E65" s="88" t="n"/>
      <c r="F65" s="88" t="n"/>
      <c r="G65" s="88" t="n"/>
      <c r="H65" s="88" t="n"/>
      <c r="I65" s="101" t="n"/>
      <c r="J65" s="364">
        <f>SUM(J51:J64)</f>
        <v/>
      </c>
    </row>
    <row r="66" ht="38.4" customHeight="1">
      <c r="A66" s="87" t="inlineStr">
        <is>
          <t>Cost TĐ 1</t>
        </is>
      </c>
      <c r="B66" s="88" t="n"/>
      <c r="C66" s="88" t="n"/>
      <c r="D66" s="88" t="n"/>
      <c r="E66" s="88" t="n"/>
      <c r="F66" s="88" t="n"/>
      <c r="G66" s="88" t="n"/>
      <c r="H66" s="88" t="n"/>
      <c r="I66" s="101" t="n"/>
      <c r="J66" s="105">
        <f>J65/40000</f>
        <v/>
      </c>
    </row>
    <row r="67" ht="38.4" customHeight="1">
      <c r="A67" s="120" t="n"/>
      <c r="B67" s="120" t="n"/>
      <c r="C67" s="121" t="n"/>
      <c r="D67" s="122" t="n"/>
      <c r="E67" s="122" t="n"/>
      <c r="F67" s="122" t="n"/>
      <c r="G67" s="122" t="n"/>
      <c r="H67" s="122" t="n"/>
      <c r="I67" s="122" t="n"/>
      <c r="J67" s="122" t="n"/>
    </row>
    <row r="68" ht="38.4" customHeight="1">
      <c r="A68" s="111" t="n"/>
      <c r="B68" s="111" t="n"/>
      <c r="C68" s="111" t="n"/>
      <c r="D68" s="111" t="n"/>
      <c r="E68" s="111" t="n"/>
      <c r="F68" s="111" t="n"/>
      <c r="G68" s="111" t="n"/>
      <c r="H68" s="111" t="n"/>
      <c r="I68" s="111" t="n"/>
      <c r="J68" s="111" t="n"/>
    </row>
    <row r="69" ht="38.4" customHeight="1">
      <c r="A69" s="312" t="inlineStr">
        <is>
          <t>CA ĐÊM 40k vin alpha</t>
        </is>
      </c>
      <c r="B69" s="358" t="n"/>
      <c r="C69" s="111" t="n"/>
      <c r="D69" s="111" t="n"/>
      <c r="E69" s="111" t="n"/>
      <c r="F69" s="111" t="n"/>
      <c r="G69" s="111" t="n"/>
      <c r="H69" s="111" t="n"/>
      <c r="I69" s="111" t="n"/>
      <c r="J69" s="111" t="n"/>
      <c r="L69" s="371">
        <f>(J65+J45+J15+J82)/140000</f>
        <v/>
      </c>
    </row>
    <row r="70" ht="38.4" customHeight="1">
      <c r="A70" s="99" t="inlineStr">
        <is>
          <t>Cơ cấu</t>
        </is>
      </c>
      <c r="B70" s="99" t="inlineStr">
        <is>
          <t>Món ăn</t>
        </is>
      </c>
      <c r="C70" s="99" t="inlineStr">
        <is>
          <t>Mã hàng</t>
        </is>
      </c>
      <c r="D70" s="99" t="inlineStr">
        <is>
          <t>Nguyên liệu</t>
        </is>
      </c>
      <c r="E70" s="99" t="inlineStr">
        <is>
          <t>Định lượng sống</t>
        </is>
      </c>
      <c r="F70" s="359" t="inlineStr">
        <is>
          <t>Số suất</t>
        </is>
      </c>
      <c r="G70" s="99" t="inlineStr">
        <is>
          <t>Gọi hàng</t>
        </is>
      </c>
      <c r="H70" s="359" t="inlineStr">
        <is>
          <t>Đơn giá</t>
        </is>
      </c>
      <c r="I70" s="99" t="inlineStr">
        <is>
          <t>Thành tiền</t>
        </is>
      </c>
      <c r="J70" s="99" t="inlineStr">
        <is>
          <t>Tổng</t>
        </is>
      </c>
    </row>
    <row r="71" ht="38.4" customHeight="1">
      <c r="A71" s="310" t="n"/>
      <c r="B71" s="310" t="inlineStr">
        <is>
          <t>xôi gà đỗ xanh
sữa fami</t>
        </is>
      </c>
      <c r="C71" s="310" t="inlineStr">
        <is>
          <t>NLG0006</t>
        </is>
      </c>
      <c r="D71" s="164" t="inlineStr">
        <is>
          <t>gạo nếp</t>
        </is>
      </c>
      <c r="E71" s="115" t="n">
        <v>180</v>
      </c>
      <c r="F71" s="360" t="n">
        <v>550</v>
      </c>
      <c r="G71" s="361">
        <f>E71*F71/1000</f>
        <v/>
      </c>
      <c r="H71" s="360" t="n">
        <v>35000</v>
      </c>
      <c r="I71" s="362">
        <f>IFERROR(E71*H71/1000,"")</f>
        <v/>
      </c>
      <c r="J71" s="362">
        <f>I71</f>
        <v/>
      </c>
    </row>
    <row r="72" ht="38.4" customHeight="1">
      <c r="A72" s="349" t="n"/>
      <c r="B72" s="349" t="n"/>
      <c r="C72" s="310" t="inlineStr">
        <is>
          <t>NPG0059</t>
        </is>
      </c>
      <c r="D72" s="164" t="inlineStr">
        <is>
          <t>đỗ xanh</t>
        </is>
      </c>
      <c r="E72" s="115" t="n">
        <v>10</v>
      </c>
      <c r="F72" s="360" t="n">
        <v>550</v>
      </c>
      <c r="G72" s="361">
        <f>E72*F72/1000</f>
        <v/>
      </c>
      <c r="H72" s="360" t="n">
        <v>49000</v>
      </c>
      <c r="I72" s="362">
        <f>IFERROR(E72*H72/1000,"")</f>
        <v/>
      </c>
      <c r="J72" s="362">
        <f>I72</f>
        <v/>
      </c>
    </row>
    <row r="73" ht="38.4" customHeight="1">
      <c r="A73" s="349" t="n"/>
      <c r="B73" s="349" t="n"/>
      <c r="C73" s="310" t="inlineStr">
        <is>
          <t>NLT0063</t>
        </is>
      </c>
      <c r="D73" s="68" t="inlineStr">
        <is>
          <t>Thịt gà CN không đầu</t>
        </is>
      </c>
      <c r="E73" s="115" t="n">
        <v>130</v>
      </c>
      <c r="F73" s="360" t="n">
        <v>550</v>
      </c>
      <c r="G73" s="361">
        <f>E73*F73/1000</f>
        <v/>
      </c>
      <c r="H73" s="360" t="n">
        <v>48000</v>
      </c>
      <c r="I73" s="362">
        <f>IFERROR(E73*H73/1000,"")</f>
        <v/>
      </c>
      <c r="J73" s="362">
        <f>I73</f>
        <v/>
      </c>
    </row>
    <row r="74" ht="38.4" customHeight="1">
      <c r="A74" s="349" t="n"/>
      <c r="B74" s="349" t="n"/>
      <c r="C74" s="310" t="inlineStr">
        <is>
          <t>NLR0060</t>
        </is>
      </c>
      <c r="D74" s="168" t="inlineStr">
        <is>
          <t>dưa chuột</t>
        </is>
      </c>
      <c r="E74" s="115" t="n">
        <v>40</v>
      </c>
      <c r="F74" s="360" t="n">
        <v>550</v>
      </c>
      <c r="G74" s="361">
        <f>E74*F74/1000</f>
        <v/>
      </c>
      <c r="H74" s="360" t="n">
        <v>15000</v>
      </c>
      <c r="I74" s="362">
        <f>IFERROR(E74*H74/1000,"")</f>
        <v/>
      </c>
      <c r="J74" s="362">
        <f>I74</f>
        <v/>
      </c>
    </row>
    <row r="75" ht="38.4" customHeight="1">
      <c r="A75" s="349" t="n"/>
      <c r="B75" s="349" t="n"/>
      <c r="C75" s="310" t="inlineStr">
        <is>
          <t>NLR0018</t>
        </is>
      </c>
      <c r="D75" s="168" t="inlineStr">
        <is>
          <t>cà rốt</t>
        </is>
      </c>
      <c r="E75" s="115" t="n">
        <v>10</v>
      </c>
      <c r="F75" s="360" t="n">
        <v>550</v>
      </c>
      <c r="G75" s="361">
        <f>E75*F75/1000</f>
        <v/>
      </c>
      <c r="H75" s="360" t="n">
        <v>11000</v>
      </c>
      <c r="I75" s="362">
        <f>IFERROR(E75*H75/1000,"")</f>
        <v/>
      </c>
      <c r="J75" s="362">
        <f>I75</f>
        <v/>
      </c>
    </row>
    <row r="76" ht="38.4" customHeight="1">
      <c r="A76" s="349" t="n"/>
      <c r="B76" s="349" t="n"/>
      <c r="C76" s="310" t="inlineStr">
        <is>
          <t>NLR0153</t>
        </is>
      </c>
      <c r="D76" s="168" t="inlineStr">
        <is>
          <t>rau mùi ta</t>
        </is>
      </c>
      <c r="E76" s="115" t="n">
        <v>1</v>
      </c>
      <c r="F76" s="360" t="n">
        <v>550</v>
      </c>
      <c r="G76" s="361">
        <f>E76*F76/1000</f>
        <v/>
      </c>
      <c r="H76" s="360" t="n">
        <v>15000</v>
      </c>
      <c r="I76" s="362">
        <f>IFERROR(E76*H76/1000,"")</f>
        <v/>
      </c>
      <c r="J76" s="362">
        <f>I76</f>
        <v/>
      </c>
    </row>
    <row r="77" ht="38.4" customHeight="1">
      <c r="A77" s="349" t="n"/>
      <c r="B77" s="349" t="n"/>
      <c r="C77" s="310" t="inlineStr">
        <is>
          <t>NPG0066</t>
        </is>
      </c>
      <c r="D77" s="168" t="inlineStr">
        <is>
          <t>hành khô</t>
        </is>
      </c>
      <c r="E77" s="115" t="n">
        <v>5</v>
      </c>
      <c r="F77" s="360" t="n">
        <v>550</v>
      </c>
      <c r="G77" s="361">
        <f>E77*F77/1000</f>
        <v/>
      </c>
      <c r="H77" s="360" t="n">
        <v>22000</v>
      </c>
      <c r="I77" s="362">
        <f>IFERROR(E77*H77/1000,"")</f>
        <v/>
      </c>
      <c r="J77" s="362">
        <f>I77</f>
        <v/>
      </c>
    </row>
    <row r="78" ht="38.4" customHeight="1">
      <c r="A78" s="313" t="inlineStr">
        <is>
          <t xml:space="preserve">Tráng miệng </t>
        </is>
      </c>
      <c r="B78" s="119" t="inlineStr">
        <is>
          <t>sữa fami</t>
        </is>
      </c>
      <c r="C78" s="310" t="inlineStr">
        <is>
          <t>HHS0051</t>
        </is>
      </c>
      <c r="D78" s="170" t="inlineStr">
        <is>
          <t>sữa fami bịch</t>
        </is>
      </c>
      <c r="E78" s="115" t="n">
        <v>1000</v>
      </c>
      <c r="F78" s="360" t="n">
        <v>550</v>
      </c>
      <c r="G78" s="361">
        <f>E78*F78/1000</f>
        <v/>
      </c>
      <c r="H78" s="360" t="n">
        <v>3400</v>
      </c>
      <c r="I78" s="362">
        <f>IFERROR(E78*H78/1000,"")</f>
        <v/>
      </c>
      <c r="J78" s="362">
        <f>I78</f>
        <v/>
      </c>
    </row>
    <row r="79" ht="38.4" customHeight="1">
      <c r="A79" s="87" t="inlineStr">
        <is>
          <t>Gia vị</t>
        </is>
      </c>
      <c r="B79" s="88" t="n"/>
      <c r="C79" s="88" t="n"/>
      <c r="D79" s="88" t="n"/>
      <c r="E79" s="88" t="n"/>
      <c r="F79" s="360" t="n"/>
      <c r="G79" s="88" t="n"/>
      <c r="H79" s="88" t="n"/>
      <c r="I79" s="101" t="n"/>
      <c r="J79" s="363" t="n">
        <v>1600</v>
      </c>
    </row>
    <row r="80" ht="38.4" customHeight="1">
      <c r="A80" s="89" t="n"/>
      <c r="B80" s="90" t="n"/>
      <c r="C80" s="90" t="n"/>
      <c r="D80" s="90" t="inlineStr">
        <is>
          <t>Gas</t>
        </is>
      </c>
      <c r="E80" s="90" t="n"/>
      <c r="F80" s="360" t="n"/>
      <c r="G80" s="383">
        <f>G78+#REF!</f>
        <v/>
      </c>
      <c r="H80" s="90" t="n"/>
      <c r="I80" s="103" t="n"/>
      <c r="J80" s="363" t="n">
        <v>2500</v>
      </c>
    </row>
    <row r="81" ht="38.4" customHeight="1">
      <c r="A81" s="89" t="n"/>
      <c r="B81" s="90" t="n"/>
      <c r="C81" s="90" t="n"/>
      <c r="D81" s="90" t="inlineStr">
        <is>
          <t>Chi Phí đũa thìa + điện nước</t>
        </is>
      </c>
      <c r="E81" s="90" t="n"/>
      <c r="F81" s="90" t="n"/>
      <c r="G81" s="90" t="n"/>
      <c r="H81" s="90" t="n"/>
      <c r="I81" s="103" t="n"/>
      <c r="J81" s="363" t="n">
        <v>2500</v>
      </c>
    </row>
    <row r="82" ht="38.4" customHeight="1">
      <c r="A82" s="87" t="inlineStr">
        <is>
          <t>Tổng chi phí TĐ 1</t>
        </is>
      </c>
      <c r="B82" s="88" t="n"/>
      <c r="C82" s="88" t="n"/>
      <c r="D82" s="88" t="n"/>
      <c r="E82" s="88" t="n"/>
      <c r="F82" s="88" t="n"/>
      <c r="G82" s="88" t="n"/>
      <c r="H82" s="88" t="n"/>
      <c r="I82" s="101" t="n"/>
      <c r="J82" s="364">
        <f>SUM(J71:J81)</f>
        <v/>
      </c>
    </row>
    <row r="83" ht="38.4" customHeight="1">
      <c r="A83" s="87" t="inlineStr">
        <is>
          <t>Cost TĐ 1</t>
        </is>
      </c>
      <c r="B83" s="88" t="n"/>
      <c r="C83" s="88" t="n"/>
      <c r="D83" s="88" t="n"/>
      <c r="E83" s="88" t="n"/>
      <c r="F83" s="88" t="n"/>
      <c r="G83" s="88" t="n"/>
      <c r="H83" s="88" t="n"/>
      <c r="I83" s="101" t="n"/>
      <c r="J83" s="105">
        <f>J82/40000</f>
        <v/>
      </c>
    </row>
    <row r="84" ht="21" customHeight="1">
      <c r="A84" s="107" t="n"/>
      <c r="B84" s="108" t="n"/>
      <c r="C84" s="107" t="n"/>
      <c r="D84" s="109" t="n"/>
      <c r="E84" s="109" t="n"/>
      <c r="F84" s="365" t="n"/>
      <c r="G84" s="109" t="n"/>
      <c r="H84" s="365" t="n"/>
      <c r="I84" s="109" t="n"/>
      <c r="J84" s="111" t="n"/>
    </row>
    <row r="85"/>
    <row r="86"/>
    <row r="87" ht="3" customHeight="1"/>
    <row r="88"/>
    <row r="89"/>
    <row r="90" ht="38.4" customHeight="1">
      <c r="A90" s="312" t="inlineStr">
        <is>
          <t>CA ĐÊM 30k SGC</t>
        </is>
      </c>
      <c r="B90" s="358" t="n"/>
      <c r="C90" s="111" t="n"/>
      <c r="D90" s="111" t="n"/>
      <c r="E90" s="111" t="n"/>
      <c r="F90" s="111" t="n"/>
      <c r="G90" s="111" t="n"/>
      <c r="H90" s="111" t="n"/>
      <c r="I90" s="111" t="n"/>
      <c r="J90" s="111" t="n"/>
      <c r="L90" s="371">
        <f>(J86+J68+J40+#REF!)/140000</f>
        <v/>
      </c>
    </row>
    <row r="91" ht="38.4" customHeight="1">
      <c r="A91" s="99" t="inlineStr">
        <is>
          <t>Cơ cấu</t>
        </is>
      </c>
      <c r="B91" s="99" t="inlineStr">
        <is>
          <t>Món ăn</t>
        </is>
      </c>
      <c r="C91" s="99" t="inlineStr">
        <is>
          <t>Mã hàng</t>
        </is>
      </c>
      <c r="D91" s="99" t="inlineStr">
        <is>
          <t>Nguyên liệu</t>
        </is>
      </c>
      <c r="E91" s="99" t="inlineStr">
        <is>
          <t>Định lượng sống</t>
        </is>
      </c>
      <c r="F91" s="359" t="inlineStr">
        <is>
          <t>Số suất</t>
        </is>
      </c>
      <c r="G91" s="99" t="inlineStr">
        <is>
          <t>Gọi hàng</t>
        </is>
      </c>
      <c r="H91" s="359" t="inlineStr">
        <is>
          <t>Đơn giá</t>
        </is>
      </c>
      <c r="I91" s="99" t="inlineStr">
        <is>
          <t>Thành tiền</t>
        </is>
      </c>
      <c r="J91" s="99" t="inlineStr">
        <is>
          <t>Tổng</t>
        </is>
      </c>
    </row>
    <row r="92" ht="38.4" customHeight="1">
      <c r="A92" s="310" t="n"/>
      <c r="B92" s="310" t="inlineStr">
        <is>
          <t>xôi gà đỗ xanh
sữa chua</t>
        </is>
      </c>
      <c r="C92" s="310" t="inlineStr">
        <is>
          <t>NLG0006</t>
        </is>
      </c>
      <c r="D92" s="164" t="inlineStr">
        <is>
          <t>gạo nếp</t>
        </is>
      </c>
      <c r="E92" s="115" t="n">
        <v>160</v>
      </c>
      <c r="F92" s="360" t="n">
        <v>650</v>
      </c>
      <c r="G92" s="361">
        <f>E92*F92/1000</f>
        <v/>
      </c>
      <c r="H92" s="360" t="n">
        <v>35000</v>
      </c>
      <c r="I92" s="362">
        <f>IFERROR(E92*H92/1000,"")</f>
        <v/>
      </c>
      <c r="J92" s="362">
        <f>I92</f>
        <v/>
      </c>
    </row>
    <row r="93" ht="38.4" customHeight="1">
      <c r="A93" s="349" t="n"/>
      <c r="B93" s="349" t="n"/>
      <c r="C93" s="310" t="inlineStr">
        <is>
          <t>NPG0059</t>
        </is>
      </c>
      <c r="D93" s="164" t="inlineStr">
        <is>
          <t>đỗ xanh</t>
        </is>
      </c>
      <c r="E93" s="115" t="n">
        <v>10</v>
      </c>
      <c r="F93" s="360" t="n">
        <v>650</v>
      </c>
      <c r="G93" s="361">
        <f>E93*F93/1000</f>
        <v/>
      </c>
      <c r="H93" s="360" t="n">
        <v>49000</v>
      </c>
      <c r="I93" s="362">
        <f>IFERROR(E93*H93/1000,"")</f>
        <v/>
      </c>
      <c r="J93" s="362">
        <f>I93</f>
        <v/>
      </c>
    </row>
    <row r="94" ht="38.4" customHeight="1">
      <c r="A94" s="349" t="n"/>
      <c r="B94" s="349" t="n"/>
      <c r="C94" s="310" t="inlineStr">
        <is>
          <t>NLT0107</t>
        </is>
      </c>
      <c r="D94" s="68" t="inlineStr">
        <is>
          <t>Ức gà không xương</t>
        </is>
      </c>
      <c r="E94" s="115" t="n">
        <v>80</v>
      </c>
      <c r="F94" s="360" t="n">
        <v>650</v>
      </c>
      <c r="G94" s="361">
        <f>E94*F94/1000</f>
        <v/>
      </c>
      <c r="H94" s="360" t="n">
        <v>57000</v>
      </c>
      <c r="I94" s="362">
        <f>IFERROR(E94*H94/1000,"")</f>
        <v/>
      </c>
      <c r="J94" s="362">
        <f>I94</f>
        <v/>
      </c>
    </row>
    <row r="95" ht="38.4" customHeight="1">
      <c r="A95" s="349" t="n"/>
      <c r="B95" s="349" t="n"/>
      <c r="C95" s="310" t="inlineStr">
        <is>
          <t>NLR0060</t>
        </is>
      </c>
      <c r="D95" s="168" t="inlineStr">
        <is>
          <t>dưa chuột</t>
        </is>
      </c>
      <c r="E95" s="115" t="n">
        <v>30</v>
      </c>
      <c r="F95" s="360" t="n">
        <v>650</v>
      </c>
      <c r="G95" s="361">
        <f>E95*F95/1000</f>
        <v/>
      </c>
      <c r="H95" s="360" t="n">
        <v>15000</v>
      </c>
      <c r="I95" s="362">
        <f>IFERROR(E95*H95/1000,"")</f>
        <v/>
      </c>
      <c r="J95" s="362">
        <f>I95</f>
        <v/>
      </c>
    </row>
    <row r="96" ht="38.4" customHeight="1">
      <c r="A96" s="349" t="n"/>
      <c r="B96" s="349" t="n"/>
      <c r="C96" s="310" t="inlineStr">
        <is>
          <t>NLR0018</t>
        </is>
      </c>
      <c r="D96" s="168" t="inlineStr">
        <is>
          <t>cà rốt</t>
        </is>
      </c>
      <c r="E96" s="115" t="n">
        <v>10</v>
      </c>
      <c r="F96" s="360" t="n">
        <v>650</v>
      </c>
      <c r="G96" s="361">
        <f>E96*F96/1000</f>
        <v/>
      </c>
      <c r="H96" s="360" t="n">
        <v>11000</v>
      </c>
      <c r="I96" s="362">
        <f>IFERROR(E96*H96/1000,"")</f>
        <v/>
      </c>
      <c r="J96" s="362">
        <f>I96</f>
        <v/>
      </c>
    </row>
    <row r="97" ht="38.4" customHeight="1">
      <c r="A97" s="349" t="n"/>
      <c r="B97" s="349" t="n"/>
      <c r="C97" s="310" t="inlineStr">
        <is>
          <t>NLR0153</t>
        </is>
      </c>
      <c r="D97" s="168" t="inlineStr">
        <is>
          <t>rau mùi ta</t>
        </is>
      </c>
      <c r="E97" s="115" t="n">
        <v>1</v>
      </c>
      <c r="F97" s="360" t="n">
        <v>650</v>
      </c>
      <c r="G97" s="361">
        <f>E97*F97/1000</f>
        <v/>
      </c>
      <c r="H97" s="360" t="n">
        <v>15000</v>
      </c>
      <c r="I97" s="362">
        <f>IFERROR(E97*H97/1000,"")</f>
        <v/>
      </c>
      <c r="J97" s="362">
        <f>I97</f>
        <v/>
      </c>
    </row>
    <row r="98" ht="38.4" customHeight="1">
      <c r="A98" s="349" t="n"/>
      <c r="B98" s="349" t="n"/>
      <c r="C98" s="310" t="inlineStr">
        <is>
          <t>NPG0066</t>
        </is>
      </c>
      <c r="D98" s="168" t="inlineStr">
        <is>
          <t>hành khô</t>
        </is>
      </c>
      <c r="E98" s="115" t="n">
        <v>5</v>
      </c>
      <c r="F98" s="360" t="n">
        <v>650</v>
      </c>
      <c r="G98" s="361">
        <f>E98*F98/1000</f>
        <v/>
      </c>
      <c r="H98" s="360" t="n">
        <v>22000</v>
      </c>
      <c r="I98" s="362">
        <f>IFERROR(E98*H98/1000,"")</f>
        <v/>
      </c>
      <c r="J98" s="362">
        <f>I98</f>
        <v/>
      </c>
    </row>
    <row r="99" ht="38.4" customHeight="1">
      <c r="A99" s="313" t="inlineStr">
        <is>
          <t xml:space="preserve">Tráng miệng </t>
        </is>
      </c>
      <c r="B99" s="119" t="inlineStr">
        <is>
          <t>sữa chua</t>
        </is>
      </c>
      <c r="C99" s="310" t="inlineStr">
        <is>
          <t>HHS0101</t>
        </is>
      </c>
      <c r="D99" s="74" t="inlineStr">
        <is>
          <t>Sữa chua elovi 95g *48 hộp/thùng</t>
        </is>
      </c>
      <c r="E99" s="115" t="n">
        <v>1000</v>
      </c>
      <c r="F99" s="360" t="n">
        <v>650</v>
      </c>
      <c r="G99" s="361">
        <f>E99*F99/1000</f>
        <v/>
      </c>
      <c r="H99" s="360" t="n">
        <v>3432</v>
      </c>
      <c r="I99" s="362">
        <f>IFERROR(E99*H99/1000,"")</f>
        <v/>
      </c>
      <c r="J99" s="362">
        <f>I99</f>
        <v/>
      </c>
    </row>
    <row r="100" ht="38.4" customHeight="1">
      <c r="A100" s="87" t="inlineStr">
        <is>
          <t>Gia vị</t>
        </is>
      </c>
      <c r="B100" s="88" t="n"/>
      <c r="C100" s="88" t="n"/>
      <c r="D100" s="88" t="n"/>
      <c r="E100" s="88" t="n"/>
      <c r="F100" s="360" t="n"/>
      <c r="G100" s="88" t="n"/>
      <c r="H100" s="88" t="n"/>
      <c r="I100" s="101" t="n"/>
      <c r="J100" s="363" t="n">
        <v>1600</v>
      </c>
    </row>
    <row r="101" ht="38.4" customHeight="1">
      <c r="A101" s="89" t="n"/>
      <c r="B101" s="90" t="n"/>
      <c r="C101" s="90" t="n"/>
      <c r="D101" s="90" t="inlineStr">
        <is>
          <t>Gas</t>
        </is>
      </c>
      <c r="E101" s="90" t="n"/>
      <c r="F101" s="360" t="n"/>
      <c r="G101" s="383">
        <f>G99+#REF!</f>
        <v/>
      </c>
      <c r="H101" s="90" t="n"/>
      <c r="I101" s="103" t="n"/>
      <c r="J101" s="363" t="n">
        <v>2500</v>
      </c>
    </row>
    <row r="102" ht="38.4" customHeight="1">
      <c r="A102" s="89" t="n"/>
      <c r="B102" s="90" t="n"/>
      <c r="C102" s="90" t="n"/>
      <c r="D102" s="90" t="inlineStr">
        <is>
          <t>Chi Phí đũa thìa + điện nước</t>
        </is>
      </c>
      <c r="E102" s="90" t="n"/>
      <c r="F102" s="90" t="n"/>
      <c r="G102" s="90" t="n"/>
      <c r="H102" s="90" t="n"/>
      <c r="I102" s="103" t="n"/>
      <c r="J102" s="363" t="n">
        <v>2000</v>
      </c>
    </row>
    <row r="103" ht="38.4" customHeight="1">
      <c r="A103" s="87" t="inlineStr">
        <is>
          <t>Tổng chi phí TĐ 1</t>
        </is>
      </c>
      <c r="B103" s="88" t="n"/>
      <c r="C103" s="88" t="n"/>
      <c r="D103" s="88" t="n"/>
      <c r="E103" s="88" t="n"/>
      <c r="F103" s="88" t="n"/>
      <c r="G103" s="88" t="n"/>
      <c r="H103" s="88" t="n"/>
      <c r="I103" s="101" t="n"/>
      <c r="J103" s="364">
        <f>SUM(J92:J102)</f>
        <v/>
      </c>
    </row>
    <row r="104" ht="38.4" customHeight="1">
      <c r="A104" s="87" t="inlineStr">
        <is>
          <t>Cost TĐ 1</t>
        </is>
      </c>
      <c r="B104" s="88" t="n"/>
      <c r="C104" s="88" t="n"/>
      <c r="D104" s="88" t="n"/>
      <c r="E104" s="88" t="n"/>
      <c r="F104" s="88" t="n"/>
      <c r="G104" s="88" t="n"/>
      <c r="H104" s="88" t="n"/>
      <c r="I104" s="101" t="n"/>
      <c r="J104" s="105">
        <f>J103/30000</f>
        <v/>
      </c>
    </row>
  </sheetData>
  <mergeCells count="15">
    <mergeCell ref="B71:B77"/>
    <mergeCell ref="A71:A77"/>
    <mergeCell ref="A4:A11"/>
    <mergeCell ref="B4:B11"/>
    <mergeCell ref="B54:B56"/>
    <mergeCell ref="B51:B53"/>
    <mergeCell ref="A90:B90"/>
    <mergeCell ref="A92:A98"/>
    <mergeCell ref="B36:B37"/>
    <mergeCell ref="A28:A41"/>
    <mergeCell ref="B92:B98"/>
    <mergeCell ref="B32:B35"/>
    <mergeCell ref="A2:C2"/>
    <mergeCell ref="B28:B31"/>
    <mergeCell ref="A69:B69"/>
  </mergeCells>
  <pageMargins left="0.7" right="0.7" top="0.75" bottom="0.75" header="0.3" footer="0.3"/>
  <pageSetup orientation="portrait" paperSize="9" scale="46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8"/>
  <sheetViews>
    <sheetView topLeftCell="A25" zoomScale="70" zoomScaleNormal="70" workbookViewId="0">
      <selection activeCell="B55" sqref="B55:C56"/>
    </sheetView>
  </sheetViews>
  <sheetFormatPr baseColWidth="8" defaultColWidth="8.88671875" defaultRowHeight="18"/>
  <cols>
    <col width="20.109375" bestFit="1" customWidth="1" style="14" min="1" max="1"/>
    <col width="25.88671875" customWidth="1" style="23" min="2" max="2"/>
    <col width="23.6640625" customWidth="1" style="14" min="3" max="3"/>
    <col width="38.44140625" customWidth="1" style="139" min="4" max="4"/>
    <col width="12.88671875" customWidth="1" style="8" min="5" max="5"/>
    <col width="11.5546875" customWidth="1" style="357" min="6" max="6"/>
    <col width="12.44140625" customWidth="1" style="8" min="7" max="7"/>
    <col width="11.5546875" customWidth="1" style="357" min="8" max="8"/>
    <col width="12.44140625" customWidth="1" style="8" min="9" max="9"/>
    <col width="15.6640625" customWidth="1" style="1" min="10" max="10"/>
    <col width="18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 ht="45" customHeight="1">
      <c r="A1" s="327" t="inlineStr">
        <is>
          <t>THỨ 4 NGÀY 23/6</t>
        </is>
      </c>
    </row>
    <row r="2" ht="31.8" customHeight="1">
      <c r="A2" s="263" t="inlineStr">
        <is>
          <t>Bữa Sáng 20.000Đ</t>
        </is>
      </c>
      <c r="B2" s="263" t="n"/>
      <c r="C2" s="263" t="n"/>
      <c r="D2" s="263" t="n"/>
      <c r="E2" s="263" t="n"/>
      <c r="F2" s="263" t="n"/>
      <c r="G2" s="263" t="n"/>
      <c r="H2" s="263" t="n"/>
      <c r="I2" s="263" t="n"/>
      <c r="J2" s="263" t="n"/>
    </row>
    <row r="3" ht="52.2" customHeight="1">
      <c r="A3" s="12" t="inlineStr">
        <is>
          <t>Cơ cấu</t>
        </is>
      </c>
      <c r="B3" s="12" t="inlineStr">
        <is>
          <t>Món ăn</t>
        </is>
      </c>
      <c r="C3" s="12" t="inlineStr">
        <is>
          <t>Mã hàng</t>
        </is>
      </c>
      <c r="D3" s="131" t="inlineStr">
        <is>
          <t>Nguyên liệu</t>
        </is>
      </c>
      <c r="E3" s="12" t="inlineStr">
        <is>
          <t>Định lượng sống</t>
        </is>
      </c>
      <c r="F3" s="384" t="inlineStr">
        <is>
          <t>Số suất</t>
        </is>
      </c>
      <c r="G3" s="12" t="inlineStr">
        <is>
          <t>Gọi hàng</t>
        </is>
      </c>
      <c r="H3" s="384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27.6" customHeight="1">
      <c r="A4" s="328" t="n"/>
      <c r="B4" s="328" t="inlineStr">
        <is>
          <t>bún chấm thịt nướng</t>
        </is>
      </c>
      <c r="C4" s="328" t="inlineStr">
        <is>
          <t>NLG0001</t>
        </is>
      </c>
      <c r="D4" s="158" t="inlineStr">
        <is>
          <t>bún</t>
        </is>
      </c>
      <c r="E4" s="44" t="n">
        <v>235</v>
      </c>
      <c r="F4" s="380" t="n">
        <v>2100</v>
      </c>
      <c r="G4" s="385">
        <f>E4*F4/1000</f>
        <v/>
      </c>
      <c r="H4" s="380" t="n">
        <v>17000</v>
      </c>
      <c r="I4" s="386">
        <f>IFERROR(E4*H4/1000,"")</f>
        <v/>
      </c>
      <c r="J4" s="386">
        <f>I4</f>
        <v/>
      </c>
      <c r="K4" s="82" t="n"/>
      <c r="L4" s="83" t="n"/>
    </row>
    <row r="5" ht="27.6" customHeight="1">
      <c r="A5" s="349" t="n"/>
      <c r="B5" s="349" t="n"/>
      <c r="C5" s="328" t="inlineStr">
        <is>
          <t>NLT0076</t>
        </is>
      </c>
      <c r="D5" s="78" t="inlineStr">
        <is>
          <t>thịt lợn mông sấn</t>
        </is>
      </c>
      <c r="E5" s="39" t="n">
        <v>60</v>
      </c>
      <c r="F5" s="380" t="n">
        <v>2100</v>
      </c>
      <c r="G5" s="385">
        <f>E5*F5/1000</f>
        <v/>
      </c>
      <c r="H5" s="380" t="n">
        <v>101000</v>
      </c>
      <c r="I5" s="386">
        <f>IFERROR(E5*H5/1000,"")</f>
        <v/>
      </c>
      <c r="J5" s="386">
        <f>I5</f>
        <v/>
      </c>
      <c r="K5" s="82" t="n"/>
      <c r="L5" s="83" t="n"/>
    </row>
    <row r="6" ht="27.6" customHeight="1">
      <c r="A6" s="349" t="n"/>
      <c r="B6" s="349" t="n"/>
      <c r="C6" s="328" t="inlineStr">
        <is>
          <t>NLR0175</t>
        </is>
      </c>
      <c r="D6" s="158" t="inlineStr">
        <is>
          <t>sả củ</t>
        </is>
      </c>
      <c r="E6" s="39" t="n">
        <v>2</v>
      </c>
      <c r="F6" s="380" t="n">
        <v>2100</v>
      </c>
      <c r="G6" s="385">
        <f>E6*F6/1000</f>
        <v/>
      </c>
      <c r="H6" s="380" t="n">
        <v>15000</v>
      </c>
      <c r="I6" s="386">
        <f>IFERROR(E6*H6/1000,"")</f>
        <v/>
      </c>
      <c r="J6" s="386">
        <f>I6</f>
        <v/>
      </c>
      <c r="K6" s="82" t="n"/>
      <c r="L6" s="83" t="n"/>
    </row>
    <row r="7" ht="27.6" customHeight="1">
      <c r="A7" s="349" t="n"/>
      <c r="B7" s="349" t="n"/>
      <c r="C7" s="328" t="inlineStr">
        <is>
          <t>NLR0092</t>
        </is>
      </c>
      <c r="D7" s="128" t="inlineStr">
        <is>
          <t>kinh giới</t>
        </is>
      </c>
      <c r="E7" s="39" t="n">
        <v>3</v>
      </c>
      <c r="F7" s="380" t="n">
        <v>2100</v>
      </c>
      <c r="G7" s="385">
        <f>E7*F7/1000</f>
        <v/>
      </c>
      <c r="H7" s="380" t="n">
        <v>19000</v>
      </c>
      <c r="I7" s="386">
        <f>IFERROR(E7*H7/1000,"")</f>
        <v/>
      </c>
      <c r="J7" s="386">
        <f>I7</f>
        <v/>
      </c>
      <c r="K7" s="82" t="n"/>
      <c r="L7" s="83" t="n"/>
    </row>
    <row r="8" ht="27.6" customHeight="1">
      <c r="A8" s="349" t="n"/>
      <c r="B8" s="349" t="n"/>
      <c r="C8" s="328" t="inlineStr">
        <is>
          <t>NLR0144</t>
        </is>
      </c>
      <c r="D8" s="158" t="inlineStr">
        <is>
          <t>húng bạc hà</t>
        </is>
      </c>
      <c r="E8" s="39" t="n">
        <v>3</v>
      </c>
      <c r="F8" s="380" t="n">
        <v>2100</v>
      </c>
      <c r="G8" s="385">
        <f>E8*F8/1000</f>
        <v/>
      </c>
      <c r="H8" s="380" t="n">
        <v>30000</v>
      </c>
      <c r="I8" s="386">
        <f>IFERROR(E8*H8/1000,"")</f>
        <v/>
      </c>
      <c r="J8" s="386">
        <f>I8</f>
        <v/>
      </c>
      <c r="K8" s="82" t="n"/>
      <c r="L8" s="83" t="n"/>
    </row>
    <row r="9" ht="27.6" customHeight="1">
      <c r="A9" s="349" t="n"/>
      <c r="B9" s="349" t="n"/>
      <c r="C9" s="328" t="inlineStr">
        <is>
          <t>NLR0162</t>
        </is>
      </c>
      <c r="D9" s="78" t="inlineStr">
        <is>
          <t>Rau xà lách</t>
        </is>
      </c>
      <c r="E9" s="39" t="n">
        <v>3</v>
      </c>
      <c r="F9" s="380" t="n">
        <v>2100</v>
      </c>
      <c r="G9" s="385">
        <f>E9*F9/1000</f>
        <v/>
      </c>
      <c r="H9" s="380" t="n">
        <v>16000</v>
      </c>
      <c r="I9" s="386">
        <f>IFERROR(E9*H9/1000,"")</f>
        <v/>
      </c>
      <c r="J9" s="386">
        <f>I9</f>
        <v/>
      </c>
      <c r="K9" s="82" t="n"/>
      <c r="L9" s="83" t="n"/>
    </row>
    <row r="10" ht="27.6" customHeight="1">
      <c r="A10" s="349" t="n"/>
      <c r="B10" s="349" t="n"/>
      <c r="C10" s="328" t="inlineStr">
        <is>
          <t>NLR0170</t>
        </is>
      </c>
      <c r="D10" s="157" t="inlineStr">
        <is>
          <t>tía tô</t>
        </is>
      </c>
      <c r="E10" s="39" t="n">
        <v>3</v>
      </c>
      <c r="F10" s="380" t="n">
        <v>2100</v>
      </c>
      <c r="G10" s="385">
        <f>E10*F10/1000</f>
        <v/>
      </c>
      <c r="H10" s="380" t="n">
        <v>25000</v>
      </c>
      <c r="I10" s="386">
        <f>IFERROR(E10*H10/1000,"")</f>
        <v/>
      </c>
      <c r="J10" s="386">
        <f>I10</f>
        <v/>
      </c>
      <c r="K10" s="82" t="n"/>
      <c r="L10" s="83" t="n"/>
    </row>
    <row r="11" ht="27.6" customHeight="1">
      <c r="A11" s="50" t="inlineStr">
        <is>
          <t>Gia vị</t>
        </is>
      </c>
      <c r="B11" s="51" t="n"/>
      <c r="C11" s="51" t="n"/>
      <c r="D11" s="154" t="n"/>
      <c r="E11" s="51" t="n"/>
      <c r="F11" s="380" t="n"/>
      <c r="G11" s="51" t="n"/>
      <c r="H11" s="51" t="n"/>
      <c r="I11" s="52" t="n"/>
      <c r="J11" s="387" t="n">
        <v>800</v>
      </c>
    </row>
    <row r="12" ht="27.6" customHeight="1">
      <c r="A12" s="40" t="n"/>
      <c r="B12" s="51" t="n"/>
      <c r="C12" s="41" t="n"/>
      <c r="D12" s="133" t="inlineStr">
        <is>
          <t>GAS</t>
        </is>
      </c>
      <c r="E12" s="41" t="n"/>
      <c r="F12" s="41" t="n"/>
      <c r="G12" s="41" t="n"/>
      <c r="H12" s="41" t="n"/>
      <c r="I12" s="42" t="n"/>
      <c r="J12" s="387" t="n">
        <v>1250</v>
      </c>
    </row>
    <row r="13" ht="27.6" customHeight="1">
      <c r="A13" s="40" t="n"/>
      <c r="B13" s="51" t="n"/>
      <c r="C13" s="41" t="n"/>
      <c r="D13" s="133" t="inlineStr">
        <is>
          <t>Chi phí khay,đũa</t>
        </is>
      </c>
      <c r="E13" s="41" t="n"/>
      <c r="F13" s="41" t="n"/>
      <c r="G13" s="41" t="n"/>
      <c r="H13" s="41" t="n"/>
      <c r="I13" s="42" t="n"/>
      <c r="J13" s="387" t="n">
        <v>1600</v>
      </c>
    </row>
    <row r="14" ht="27.6" customHeight="1">
      <c r="A14" s="331" t="inlineStr">
        <is>
          <t>Tổng chi phí TĐ 1</t>
        </is>
      </c>
      <c r="B14" s="388" t="n"/>
      <c r="C14" s="51" t="n"/>
      <c r="D14" s="132" t="n"/>
      <c r="E14" s="51" t="n"/>
      <c r="F14" s="51" t="n"/>
      <c r="G14" s="51" t="n"/>
      <c r="H14" s="51" t="n"/>
      <c r="I14" s="52" t="n"/>
      <c r="J14" s="389">
        <f>SUM(J4:J13)</f>
        <v/>
      </c>
    </row>
    <row r="15" ht="27.6" customHeight="1">
      <c r="A15" s="50" t="inlineStr">
        <is>
          <t>Cost TĐ 1</t>
        </is>
      </c>
      <c r="B15" s="51" t="n"/>
      <c r="C15" s="51" t="n"/>
      <c r="D15" s="132" t="n"/>
      <c r="E15" s="51" t="n"/>
      <c r="F15" s="51" t="n"/>
      <c r="G15" s="51" t="n"/>
      <c r="H15" s="51" t="n"/>
      <c r="I15" s="52" t="n"/>
      <c r="J15" s="25">
        <f>J14/20000</f>
        <v/>
      </c>
    </row>
    <row r="16" ht="27.6" customHeight="1"/>
    <row r="17" ht="27.6" customHeight="1"/>
    <row r="18" ht="27.6" customHeight="1"/>
    <row r="19" ht="27.6" customHeight="1"/>
    <row r="20" ht="27.6" customHeight="1"/>
    <row r="21" ht="27.6" customHeight="1"/>
    <row r="22" ht="27.6" customHeight="1"/>
    <row r="23" ht="27.6" customHeight="1"/>
    <row r="24" ht="27.6" customHeight="1"/>
    <row r="25" ht="27.6" customHeight="1"/>
    <row r="26" ht="27.6" customHeight="1"/>
    <row r="27" ht="27.6" customHeight="1"/>
    <row r="28" ht="27.6" customHeight="1">
      <c r="A28" s="263" t="inlineStr">
        <is>
          <t xml:space="preserve"> CA Trưa 40.000đ</t>
        </is>
      </c>
      <c r="B28" s="263" t="n"/>
      <c r="C28" s="263" t="n"/>
      <c r="D28" s="263" t="n"/>
      <c r="E28" s="263" t="n"/>
      <c r="F28" s="263" t="n"/>
      <c r="G28" s="263" t="n"/>
      <c r="H28" s="263" t="n"/>
      <c r="I28" s="263" t="n"/>
      <c r="J28" s="263" t="n"/>
    </row>
    <row r="29" ht="27.6" customFormat="1" customHeight="1" s="14">
      <c r="A29" s="12" t="inlineStr">
        <is>
          <t>Cơ cấu</t>
        </is>
      </c>
      <c r="B29" s="12" t="inlineStr">
        <is>
          <t>Món ăn</t>
        </is>
      </c>
      <c r="C29" s="12" t="inlineStr">
        <is>
          <t>Mã hàng</t>
        </is>
      </c>
      <c r="D29" s="131" t="inlineStr">
        <is>
          <t>Nguyên liệu</t>
        </is>
      </c>
      <c r="E29" s="12" t="inlineStr">
        <is>
          <t>Định lượng sống</t>
        </is>
      </c>
      <c r="F29" s="384" t="inlineStr">
        <is>
          <t>Số suất</t>
        </is>
      </c>
      <c r="G29" s="12" t="inlineStr">
        <is>
          <t>Gọi hàng</t>
        </is>
      </c>
      <c r="H29" s="384" t="inlineStr">
        <is>
          <t>Đơn giá</t>
        </is>
      </c>
      <c r="I29" s="12" t="inlineStr">
        <is>
          <t>Thành tiền</t>
        </is>
      </c>
      <c r="J29" s="12" t="inlineStr">
        <is>
          <t>Tổng</t>
        </is>
      </c>
    </row>
    <row r="30" ht="27.6" customHeight="1">
      <c r="A30" s="189" t="n"/>
      <c r="B30" s="330" t="inlineStr">
        <is>
          <t>gà chiên mắm</t>
        </is>
      </c>
      <c r="C30" s="328" t="inlineStr">
        <is>
          <t>NLT0063</t>
        </is>
      </c>
      <c r="D30" s="68" t="inlineStr">
        <is>
          <t>Thịt gà cn không đầu</t>
        </is>
      </c>
      <c r="E30" s="7" t="n">
        <v>120</v>
      </c>
      <c r="F30" s="380" t="n">
        <v>2200</v>
      </c>
      <c r="G30" s="385">
        <f>E30*F30/1000</f>
        <v/>
      </c>
      <c r="H30" s="380" t="n">
        <v>48000</v>
      </c>
      <c r="I30" s="386">
        <f>IFERROR(E30*H30/1000,"")</f>
        <v/>
      </c>
      <c r="J30" s="386">
        <f>I30</f>
        <v/>
      </c>
      <c r="K30" s="14" t="n"/>
    </row>
    <row r="31" ht="27.6" customHeight="1">
      <c r="A31" s="190" t="n"/>
      <c r="B31" s="366" t="n"/>
      <c r="C31" s="328" t="inlineStr">
        <is>
          <t>NLR0102</t>
        </is>
      </c>
      <c r="D31" s="78" t="inlineStr">
        <is>
          <t>lá chanh</t>
        </is>
      </c>
      <c r="E31" s="7" t="n">
        <v>0.2</v>
      </c>
      <c r="F31" s="380" t="n">
        <v>2200</v>
      </c>
      <c r="G31" s="385">
        <f>E31*F31/1000</f>
        <v/>
      </c>
      <c r="H31" s="380" t="n">
        <v>55000</v>
      </c>
      <c r="I31" s="386">
        <f>IFERROR(E31*H31/1000,"")</f>
        <v/>
      </c>
      <c r="J31" s="386">
        <f>I31</f>
        <v/>
      </c>
      <c r="K31" s="14" t="n"/>
    </row>
    <row r="32" ht="27.6" customHeight="1">
      <c r="A32" s="329" t="inlineStr">
        <is>
          <t>VIN ALPHA</t>
        </is>
      </c>
      <c r="B32" s="330" t="inlineStr">
        <is>
          <t>tôm rimme</t>
        </is>
      </c>
      <c r="C32" s="328" t="inlineStr">
        <is>
          <t>NLS0081</t>
        </is>
      </c>
      <c r="D32" s="68" t="inlineStr">
        <is>
          <t>Tôm dảo tươi 100-120</t>
        </is>
      </c>
      <c r="E32" s="7" t="n">
        <v>50</v>
      </c>
      <c r="F32" s="380" t="n">
        <v>2200</v>
      </c>
      <c r="G32" s="385">
        <f>E32*F32/1000</f>
        <v/>
      </c>
      <c r="H32" s="380" t="n">
        <v>147000</v>
      </c>
      <c r="I32" s="386">
        <f>IFERROR(E32*H32/1000,"")</f>
        <v/>
      </c>
      <c r="J32" s="386">
        <f>I32</f>
        <v/>
      </c>
      <c r="K32" s="14" t="n"/>
    </row>
    <row r="33" ht="27.6" customHeight="1">
      <c r="A33" s="349" t="n"/>
      <c r="B33" s="366" t="n"/>
      <c r="C33" s="328" t="inlineStr">
        <is>
          <t>NPG0094</t>
        </is>
      </c>
      <c r="D33" s="78" t="inlineStr">
        <is>
          <t>me khô</t>
        </is>
      </c>
      <c r="E33" s="7" t="n">
        <v>1</v>
      </c>
      <c r="F33" s="380" t="n">
        <v>2200</v>
      </c>
      <c r="G33" s="385">
        <f>E33*F33/1000</f>
        <v/>
      </c>
      <c r="H33" s="380" t="n">
        <v>30000</v>
      </c>
      <c r="I33" s="386">
        <f>IFERROR(E33*H33/1000,"")</f>
        <v/>
      </c>
      <c r="J33" s="386">
        <f>I33</f>
        <v/>
      </c>
      <c r="K33" s="14" t="n"/>
    </row>
    <row r="34" ht="27.6" customHeight="1">
      <c r="A34" s="190" t="n"/>
      <c r="B34" s="330" t="inlineStr">
        <is>
          <t>mướp đắng xào trứng</t>
        </is>
      </c>
      <c r="C34" s="328" t="inlineStr">
        <is>
          <t>NLR0117</t>
        </is>
      </c>
      <c r="D34" s="158" t="inlineStr">
        <is>
          <t>mướp đắng</t>
        </is>
      </c>
      <c r="E34" s="7" t="n">
        <v>60</v>
      </c>
      <c r="F34" s="380" t="n">
        <v>2200</v>
      </c>
      <c r="G34" s="385">
        <f>E34*F34/1000</f>
        <v/>
      </c>
      <c r="H34" s="380" t="n">
        <v>15000</v>
      </c>
      <c r="I34" s="386">
        <f>IFERROR(E34*H34/1000,"")</f>
        <v/>
      </c>
      <c r="J34" s="386">
        <f>I34</f>
        <v/>
      </c>
      <c r="K34" s="14" t="n"/>
    </row>
    <row r="35" ht="27.6" customHeight="1">
      <c r="A35" s="190" t="n"/>
      <c r="B35" s="366" t="n"/>
      <c r="C35" s="328" t="inlineStr">
        <is>
          <t>NLT0181</t>
        </is>
      </c>
      <c r="D35" s="158" t="inlineStr">
        <is>
          <t>trứng gà cn</t>
        </is>
      </c>
      <c r="E35" s="7" t="n">
        <v>400</v>
      </c>
      <c r="F35" s="380" t="n">
        <v>2200</v>
      </c>
      <c r="G35" s="385">
        <f>E35*F35/1000</f>
        <v/>
      </c>
      <c r="H35" s="380" t="n">
        <v>2300</v>
      </c>
      <c r="I35" s="386">
        <f>IFERROR(E35*H35/1000,"")</f>
        <v/>
      </c>
      <c r="J35" s="386">
        <f>I35</f>
        <v/>
      </c>
      <c r="K35" s="14" t="n"/>
    </row>
    <row r="36" ht="27.6" customHeight="1">
      <c r="A36" s="190" t="n"/>
      <c r="B36" s="328" t="inlineStr">
        <is>
          <t>rau muống luộc</t>
        </is>
      </c>
      <c r="C36" s="328" t="inlineStr">
        <is>
          <t>NLR0156</t>
        </is>
      </c>
      <c r="D36" s="157" t="inlineStr">
        <is>
          <t>rau muống cắt gốc</t>
        </is>
      </c>
      <c r="E36" s="7" t="n">
        <v>110</v>
      </c>
      <c r="F36" s="380" t="n">
        <v>2200</v>
      </c>
      <c r="G36" s="385">
        <f>E36*F36/1000</f>
        <v/>
      </c>
      <c r="H36" s="380" t="n">
        <v>9000</v>
      </c>
      <c r="I36" s="386">
        <f>IFERROR(E36*H36/1000,"")</f>
        <v/>
      </c>
      <c r="J36" s="386">
        <f>I36</f>
        <v/>
      </c>
      <c r="K36" s="14" t="n"/>
    </row>
    <row r="37" ht="27.6" customHeight="1">
      <c r="A37" s="190" t="n"/>
      <c r="B37" s="328" t="inlineStr">
        <is>
          <t>cơm trắng</t>
        </is>
      </c>
      <c r="C37" s="328" t="inlineStr">
        <is>
          <t>NLG0013</t>
        </is>
      </c>
      <c r="D37" s="134" t="inlineStr">
        <is>
          <t>gạo bắc hương</t>
        </is>
      </c>
      <c r="E37" s="7" t="n">
        <v>180</v>
      </c>
      <c r="F37" s="380" t="n">
        <v>2200</v>
      </c>
      <c r="G37" s="385">
        <f>E37*F37/1000</f>
        <v/>
      </c>
      <c r="H37" s="380" t="n">
        <v>13800</v>
      </c>
      <c r="I37" s="386">
        <f>IFERROR(E37*H37/1000,"")</f>
        <v/>
      </c>
      <c r="J37" s="386">
        <f>I37</f>
        <v/>
      </c>
      <c r="K37" s="14" t="n"/>
    </row>
    <row r="38" ht="27.6" customHeight="1">
      <c r="A38" s="190" t="n"/>
      <c r="B38" s="330" t="inlineStr">
        <is>
          <t>nước luộc dầm chua</t>
        </is>
      </c>
      <c r="C38" s="328" t="inlineStr">
        <is>
          <t>NLR0142</t>
        </is>
      </c>
      <c r="D38" s="126" t="inlineStr">
        <is>
          <t>Quả sấu</t>
        </is>
      </c>
      <c r="E38" s="7" t="n">
        <v>5</v>
      </c>
      <c r="F38" s="380" t="n">
        <v>2200</v>
      </c>
      <c r="G38" s="385">
        <f>E38*F38/1000</f>
        <v/>
      </c>
      <c r="H38" s="380" t="n">
        <v>23000</v>
      </c>
      <c r="I38" s="386">
        <f>IFERROR(E38*H38/1000,"")</f>
        <v/>
      </c>
      <c r="J38" s="386">
        <f>I38</f>
        <v/>
      </c>
      <c r="K38" s="14" t="n"/>
    </row>
    <row r="39" ht="27.6" customHeight="1">
      <c r="A39" s="191" t="n"/>
      <c r="B39" s="330" t="inlineStr">
        <is>
          <t>cam</t>
        </is>
      </c>
      <c r="C39" s="328" t="inlineStr">
        <is>
          <t>NLQ0006</t>
        </is>
      </c>
      <c r="D39" s="68" t="inlineStr">
        <is>
          <t>quả cam</t>
        </is>
      </c>
      <c r="E39" s="7" t="n">
        <v>110</v>
      </c>
      <c r="F39" s="380" t="n">
        <v>2200</v>
      </c>
      <c r="G39" s="385">
        <f>E39*F39/1000</f>
        <v/>
      </c>
      <c r="H39" s="380" t="n">
        <v>18000</v>
      </c>
      <c r="I39" s="386">
        <f>IFERROR(E39*H39/1000,"")</f>
        <v/>
      </c>
      <c r="J39" s="386">
        <f>I39</f>
        <v/>
      </c>
      <c r="K39" s="14" t="n"/>
    </row>
    <row r="40" ht="27.6" customHeight="1">
      <c r="A40" s="50" t="inlineStr">
        <is>
          <t>Gia vị</t>
        </is>
      </c>
      <c r="B40" s="51" t="n"/>
      <c r="C40" s="51" t="n"/>
      <c r="D40" s="132" t="n"/>
      <c r="E40" s="51" t="n"/>
      <c r="F40" s="51" t="n"/>
      <c r="G40" s="51" t="n"/>
      <c r="H40" s="51" t="n"/>
      <c r="I40" s="52" t="n"/>
      <c r="J40" s="387" t="n">
        <v>1600</v>
      </c>
      <c r="N40" s="368" t="n"/>
    </row>
    <row r="41" ht="27.6" customHeight="1">
      <c r="A41" s="40" t="n"/>
      <c r="B41" s="41" t="n"/>
      <c r="C41" s="41" t="n"/>
      <c r="D41" s="133" t="inlineStr">
        <is>
          <t>Gas</t>
        </is>
      </c>
      <c r="E41" s="41" t="n"/>
      <c r="F41" s="41" t="n"/>
      <c r="G41" s="41" t="n"/>
      <c r="H41" s="41" t="n"/>
      <c r="I41" s="42" t="n"/>
      <c r="J41" s="387" t="n">
        <v>2500</v>
      </c>
      <c r="N41" s="368" t="n"/>
    </row>
    <row r="42" ht="27.6" customHeight="1">
      <c r="A42" s="40" t="n"/>
      <c r="B42" s="41" t="n"/>
      <c r="C42" s="41" t="n"/>
      <c r="D42" s="133" t="inlineStr">
        <is>
          <t>Chi Phí khay, đũa</t>
        </is>
      </c>
      <c r="E42" s="41" t="n"/>
      <c r="F42" s="41" t="n"/>
      <c r="G42" s="41" t="n"/>
      <c r="H42" s="41" t="n"/>
      <c r="I42" s="42" t="n"/>
      <c r="J42" s="387" t="n">
        <v>2500</v>
      </c>
      <c r="N42" s="368" t="n"/>
    </row>
    <row r="43" ht="27.6" customHeight="1">
      <c r="A43" s="50" t="inlineStr">
        <is>
          <t>Tổng chi phí TĐ 1</t>
        </is>
      </c>
      <c r="B43" s="51" t="n"/>
      <c r="C43" s="51" t="n"/>
      <c r="D43" s="132" t="n"/>
      <c r="E43" s="51" t="n"/>
      <c r="F43" s="51" t="n"/>
      <c r="G43" s="51" t="n"/>
      <c r="H43" s="51" t="n"/>
      <c r="I43" s="52" t="n"/>
      <c r="J43" s="389">
        <f>SUM(J30:J42)</f>
        <v/>
      </c>
      <c r="K43" s="1" t="inlineStr">
        <is>
          <t> </t>
        </is>
      </c>
    </row>
    <row r="44" ht="27.6" customHeight="1">
      <c r="A44" s="50" t="inlineStr">
        <is>
          <t>Cost TĐ 1</t>
        </is>
      </c>
      <c r="B44" s="51" t="n"/>
      <c r="C44" s="51" t="n"/>
      <c r="D44" s="132" t="n"/>
      <c r="E44" s="51" t="n"/>
      <c r="F44" s="51" t="n"/>
      <c r="G44" s="51" t="n"/>
      <c r="H44" s="51" t="n"/>
      <c r="I44" s="52" t="n"/>
      <c r="J44" s="25">
        <f>J43/40000</f>
        <v/>
      </c>
    </row>
    <row r="45" ht="27.6" customHeight="1">
      <c r="A45" s="28" t="n"/>
      <c r="B45" s="28" t="n"/>
      <c r="C45" s="28" t="n"/>
      <c r="D45" s="135" t="n"/>
      <c r="E45" s="28" t="n"/>
      <c r="F45" s="28" t="n"/>
      <c r="G45" s="28" t="n"/>
      <c r="H45" s="28" t="n"/>
      <c r="I45" s="28" t="n"/>
      <c r="J45" s="29" t="n"/>
    </row>
    <row r="46" ht="27.6" customHeight="1">
      <c r="A46" s="264" t="inlineStr">
        <is>
          <t>CA CHIỀU 40.000Đ</t>
        </is>
      </c>
      <c r="B46" s="264" t="n"/>
      <c r="C46" s="264" t="n"/>
      <c r="D46" s="264" t="n"/>
      <c r="E46" s="264" t="n"/>
      <c r="F46" s="264" t="n"/>
      <c r="G46" s="264" t="n"/>
      <c r="H46" s="264" t="n"/>
      <c r="I46" s="264" t="n"/>
      <c r="J46" s="264" t="n"/>
    </row>
    <row r="47" ht="27.6" customFormat="1" customHeight="1" s="14">
      <c r="A47" s="12" t="inlineStr">
        <is>
          <t>Cơ cấu</t>
        </is>
      </c>
      <c r="B47" s="12" t="inlineStr">
        <is>
          <t>Món ăn</t>
        </is>
      </c>
      <c r="C47" s="12" t="inlineStr">
        <is>
          <t>Mã hàng</t>
        </is>
      </c>
      <c r="D47" s="131" t="inlineStr">
        <is>
          <t>Nguyên liệu</t>
        </is>
      </c>
      <c r="E47" s="12" t="inlineStr">
        <is>
          <t>Định lượng sống</t>
        </is>
      </c>
      <c r="F47" s="384" t="inlineStr">
        <is>
          <t>Số suất</t>
        </is>
      </c>
      <c r="G47" s="12" t="inlineStr">
        <is>
          <t>Gọi hàng</t>
        </is>
      </c>
      <c r="H47" s="384" t="inlineStr">
        <is>
          <t>Đơn giá</t>
        </is>
      </c>
      <c r="I47" s="12" t="inlineStr">
        <is>
          <t>Thành tiền</t>
        </is>
      </c>
      <c r="J47" s="12" t="inlineStr">
        <is>
          <t>Tổng</t>
        </is>
      </c>
      <c r="L47" s="16" t="n"/>
      <c r="M47" s="369" t="n"/>
      <c r="Q47" s="370" t="n"/>
    </row>
    <row r="48" ht="27.6" customHeight="1">
      <c r="A48" s="328" t="n"/>
      <c r="B48" s="390" t="inlineStr">
        <is>
          <t>sườn chua ngọt</t>
        </is>
      </c>
      <c r="C48" s="328" t="inlineStr">
        <is>
          <t>NLT0445</t>
        </is>
      </c>
      <c r="D48" s="74" t="inlineStr">
        <is>
          <t>Sườn cánh buồm ĐL</t>
        </is>
      </c>
      <c r="E48" s="4" t="n">
        <v>110</v>
      </c>
      <c r="F48" s="380" t="n">
        <v>2100</v>
      </c>
      <c r="G48" s="385">
        <f>E48*F48/1000</f>
        <v/>
      </c>
      <c r="H48" s="380" t="n">
        <v>83000</v>
      </c>
      <c r="I48" s="386">
        <f>IFERROR(E48*H48/1000,"")</f>
        <v/>
      </c>
      <c r="J48" s="386">
        <f>I48</f>
        <v/>
      </c>
    </row>
    <row r="49" ht="27.6" customHeight="1">
      <c r="A49" s="349" t="n"/>
      <c r="B49" s="346" t="n"/>
      <c r="C49" s="328" t="inlineStr">
        <is>
          <t>NLR0083</t>
        </is>
      </c>
      <c r="D49" s="128" t="inlineStr">
        <is>
          <t>hành tây</t>
        </is>
      </c>
      <c r="E49" s="4" t="n">
        <v>20</v>
      </c>
      <c r="F49" s="380" t="n">
        <v>2100</v>
      </c>
      <c r="G49" s="385">
        <f>E49*F49/1000</f>
        <v/>
      </c>
      <c r="H49" s="380" t="n">
        <v>9000</v>
      </c>
      <c r="I49" s="386">
        <f>IFERROR(E49*H49/1000,"")</f>
        <v/>
      </c>
      <c r="J49" s="386">
        <f>I49</f>
        <v/>
      </c>
    </row>
    <row r="50" ht="27.6" customHeight="1">
      <c r="A50" s="349" t="n"/>
      <c r="B50" s="390" t="inlineStr">
        <is>
          <t>trứng đúc thịt</t>
        </is>
      </c>
      <c r="C50" s="328" t="inlineStr">
        <is>
          <t>NLT0181</t>
        </is>
      </c>
      <c r="D50" s="78" t="inlineStr">
        <is>
          <t>trứng gà cn</t>
        </is>
      </c>
      <c r="E50" s="4" t="n">
        <v>900</v>
      </c>
      <c r="F50" s="380" t="n">
        <v>2100</v>
      </c>
      <c r="G50" s="385">
        <f>E50*F50/1000</f>
        <v/>
      </c>
      <c r="H50" s="380" t="n">
        <v>2300</v>
      </c>
      <c r="I50" s="386">
        <f>IFERROR(E50*H50/1000,"")</f>
        <v/>
      </c>
      <c r="J50" s="386">
        <f>I50</f>
        <v/>
      </c>
    </row>
    <row r="51" ht="27.6" customHeight="1">
      <c r="A51" s="349" t="n"/>
      <c r="B51" s="346" t="n"/>
      <c r="C51" s="328" t="inlineStr">
        <is>
          <t>NLT0076</t>
        </is>
      </c>
      <c r="D51" s="78" t="inlineStr">
        <is>
          <t>thịt lợn mông sấn</t>
        </is>
      </c>
      <c r="E51" s="4" t="n">
        <v>30</v>
      </c>
      <c r="F51" s="380" t="n">
        <v>2100</v>
      </c>
      <c r="G51" s="385">
        <f>E51*F51/1000</f>
        <v/>
      </c>
      <c r="H51" s="380" t="n">
        <v>101000</v>
      </c>
      <c r="I51" s="386">
        <f>IFERROR(E51*H51/1000,"")</f>
        <v/>
      </c>
      <c r="J51" s="386">
        <f>I51</f>
        <v/>
      </c>
    </row>
    <row r="52" ht="27.6" customHeight="1">
      <c r="A52" s="349" t="n"/>
      <c r="B52" s="390" t="inlineStr">
        <is>
          <t>đậu om cà</t>
        </is>
      </c>
      <c r="C52" s="328" t="inlineStr">
        <is>
          <t>NLT0011</t>
        </is>
      </c>
      <c r="D52" s="78" t="inlineStr">
        <is>
          <t>đậu phụ kg</t>
        </is>
      </c>
      <c r="E52" s="4" t="n">
        <v>40</v>
      </c>
      <c r="F52" s="380" t="n">
        <v>2100</v>
      </c>
      <c r="G52" s="385">
        <f>E52*F52/1000</f>
        <v/>
      </c>
      <c r="H52" s="380" t="n">
        <v>17000</v>
      </c>
      <c r="I52" s="386">
        <f>IFERROR(E52*H52/1000,"")</f>
        <v/>
      </c>
      <c r="J52" s="386">
        <f>I52</f>
        <v/>
      </c>
    </row>
    <row r="53" ht="27.6" customHeight="1">
      <c r="A53" s="349" t="n"/>
      <c r="B53" s="349" t="n"/>
      <c r="C53" s="328" t="inlineStr">
        <is>
          <t>NLR0024</t>
        </is>
      </c>
      <c r="D53" s="78" t="inlineStr">
        <is>
          <t>cà tím dài</t>
        </is>
      </c>
      <c r="E53" s="4" t="n">
        <v>60</v>
      </c>
      <c r="F53" s="380" t="n">
        <v>2100</v>
      </c>
      <c r="G53" s="385">
        <f>E53*F53/1000</f>
        <v/>
      </c>
      <c r="H53" s="380" t="n">
        <v>8000</v>
      </c>
      <c r="I53" s="386">
        <f>IFERROR(E53*H53/1000,"")</f>
        <v/>
      </c>
      <c r="J53" s="386">
        <f>I53</f>
        <v/>
      </c>
    </row>
    <row r="54" ht="27.6" customHeight="1">
      <c r="A54" s="190" t="n"/>
      <c r="B54" s="346" t="n"/>
      <c r="C54" s="328" t="inlineStr">
        <is>
          <t>NLR0170</t>
        </is>
      </c>
      <c r="D54" s="128" t="inlineStr">
        <is>
          <t>tía tô</t>
        </is>
      </c>
      <c r="E54" s="4" t="n">
        <v>1</v>
      </c>
      <c r="F54" s="380" t="n">
        <v>2100</v>
      </c>
      <c r="G54" s="385">
        <f>E54*F54/1000</f>
        <v/>
      </c>
      <c r="H54" s="380" t="n">
        <v>25000</v>
      </c>
      <c r="I54" s="386">
        <f>IFERROR(E54*H54/1000,"")</f>
        <v/>
      </c>
      <c r="J54" s="386">
        <f>I54</f>
        <v/>
      </c>
    </row>
    <row r="55" ht="27.6" customHeight="1">
      <c r="A55" s="190" t="n"/>
      <c r="B55" s="329" t="inlineStr">
        <is>
          <t>củ cải cà rốt luộc</t>
        </is>
      </c>
      <c r="C55" s="328" t="inlineStr">
        <is>
          <t>NLR0044</t>
        </is>
      </c>
      <c r="D55" s="78" t="inlineStr">
        <is>
          <t>củ cải</t>
        </is>
      </c>
      <c r="E55" s="4" t="n">
        <v>120</v>
      </c>
      <c r="F55" s="380" t="n">
        <v>2100</v>
      </c>
      <c r="G55" s="385">
        <f>E55*F55/1000</f>
        <v/>
      </c>
      <c r="H55" s="380" t="n">
        <v>8000</v>
      </c>
      <c r="I55" s="386">
        <f>IFERROR(E55*H55/1000,"")</f>
        <v/>
      </c>
      <c r="J55" s="386">
        <f>I55</f>
        <v/>
      </c>
    </row>
    <row r="56" ht="27.6" customHeight="1">
      <c r="A56" s="190" t="n"/>
      <c r="B56" s="349" t="n"/>
      <c r="C56" s="328" t="inlineStr">
        <is>
          <t>NLR0018</t>
        </is>
      </c>
      <c r="D56" s="78" t="inlineStr">
        <is>
          <t>cà rốt</t>
        </is>
      </c>
      <c r="E56" s="4" t="n">
        <v>10</v>
      </c>
      <c r="F56" s="380" t="n">
        <v>2100</v>
      </c>
      <c r="G56" s="385">
        <f>E56*F56/1000</f>
        <v/>
      </c>
      <c r="H56" s="380" t="n">
        <v>11000</v>
      </c>
      <c r="I56" s="386">
        <f>IFERROR(E56*H56/1000,"")</f>
        <v/>
      </c>
      <c r="J56" s="386">
        <f>I56</f>
        <v/>
      </c>
    </row>
    <row r="57" ht="27.6" customHeight="1">
      <c r="A57" s="190" t="n"/>
      <c r="B57" s="328" t="inlineStr">
        <is>
          <t>canh rau ngót</t>
        </is>
      </c>
      <c r="C57" s="328" t="inlineStr">
        <is>
          <t>NLR0157</t>
        </is>
      </c>
      <c r="D57" s="134" t="inlineStr">
        <is>
          <t>rau ngót</t>
        </is>
      </c>
      <c r="E57" s="4" t="n">
        <v>10</v>
      </c>
      <c r="F57" s="380" t="n">
        <v>2100</v>
      </c>
      <c r="G57" s="385">
        <f>E57*F57/1000</f>
        <v/>
      </c>
      <c r="H57" s="380" t="n">
        <v>17000</v>
      </c>
      <c r="I57" s="386">
        <f>IFERROR(E57*H57/1000,"")</f>
        <v/>
      </c>
      <c r="J57" s="386">
        <f>I57</f>
        <v/>
      </c>
    </row>
    <row r="58" ht="27.6" customHeight="1">
      <c r="A58" s="190" t="n"/>
      <c r="B58" s="328" t="inlineStr">
        <is>
          <t>cơm trắng</t>
        </is>
      </c>
      <c r="C58" s="328" t="inlineStr">
        <is>
          <t>NLG0013</t>
        </is>
      </c>
      <c r="D58" s="74" t="inlineStr">
        <is>
          <t>Gạo bắc hương</t>
        </is>
      </c>
      <c r="E58" s="4" t="n">
        <v>180</v>
      </c>
      <c r="F58" s="380" t="n">
        <v>2100</v>
      </c>
      <c r="G58" s="385">
        <f>E58*F58/1000</f>
        <v/>
      </c>
      <c r="H58" s="380" t="n">
        <v>13800</v>
      </c>
      <c r="I58" s="386">
        <f>IFERROR(E58*H58/1000,"")</f>
        <v/>
      </c>
      <c r="J58" s="386">
        <f>I58</f>
        <v/>
      </c>
    </row>
    <row r="59" ht="27.6" customHeight="1">
      <c r="A59" s="191" t="n"/>
      <c r="B59" s="330" t="inlineStr">
        <is>
          <t>ổi</t>
        </is>
      </c>
      <c r="C59" s="328" t="inlineStr">
        <is>
          <t>NLQ0016</t>
        </is>
      </c>
      <c r="D59" s="68" t="inlineStr">
        <is>
          <t>Quả ổi 3-5 quả/kg</t>
        </is>
      </c>
      <c r="E59" s="4" t="n">
        <v>110</v>
      </c>
      <c r="F59" s="380" t="n">
        <v>2100</v>
      </c>
      <c r="G59" s="385">
        <f>E59*F59/1000</f>
        <v/>
      </c>
      <c r="H59" s="380" t="n">
        <v>10000</v>
      </c>
      <c r="I59" s="386">
        <f>IFERROR(E59*H59/1000,"")</f>
        <v/>
      </c>
      <c r="J59" s="386">
        <f>I59</f>
        <v/>
      </c>
      <c r="L59" s="2" t="n"/>
      <c r="M59" s="2" t="n"/>
    </row>
    <row r="60" ht="27.6" customHeight="1">
      <c r="A60" s="50" t="inlineStr">
        <is>
          <t>Gia vị</t>
        </is>
      </c>
      <c r="B60" s="51" t="n"/>
      <c r="C60" s="51" t="n"/>
      <c r="D60" s="132" t="n"/>
      <c r="E60" s="51" t="n"/>
      <c r="F60" s="380" t="n"/>
      <c r="G60" s="51" t="n"/>
      <c r="H60" s="51" t="n"/>
      <c r="I60" s="52" t="n"/>
      <c r="J60" s="387" t="n">
        <v>1600</v>
      </c>
    </row>
    <row r="61" ht="27.6" customHeight="1">
      <c r="A61" s="40" t="n"/>
      <c r="B61" s="41" t="n"/>
      <c r="C61" s="41" t="n"/>
      <c r="D61" s="133" t="inlineStr">
        <is>
          <t>Gas</t>
        </is>
      </c>
      <c r="E61" s="41" t="n"/>
      <c r="F61" s="380" t="n"/>
      <c r="G61" s="41" t="n"/>
      <c r="H61" s="41" t="n"/>
      <c r="I61" s="42" t="n"/>
      <c r="J61" s="387" t="n">
        <v>2500</v>
      </c>
    </row>
    <row r="62" ht="27.6" customHeight="1">
      <c r="A62" s="40" t="n"/>
      <c r="B62" s="41" t="n"/>
      <c r="C62" s="41" t="n"/>
      <c r="D62" s="133" t="inlineStr">
        <is>
          <t>Chi Phí khay ,đũa</t>
        </is>
      </c>
      <c r="E62" s="41" t="n"/>
      <c r="F62" s="41" t="n"/>
      <c r="G62" s="41" t="n"/>
      <c r="H62" s="41" t="n"/>
      <c r="I62" s="42" t="n"/>
      <c r="J62" s="387" t="n">
        <v>2500</v>
      </c>
    </row>
    <row r="63" ht="27.6" customHeight="1">
      <c r="A63" s="50" t="inlineStr">
        <is>
          <t>Tổng chi phí TĐ 1</t>
        </is>
      </c>
      <c r="B63" s="51" t="n"/>
      <c r="C63" s="51" t="n"/>
      <c r="D63" s="132" t="n"/>
      <c r="E63" s="51" t="n"/>
      <c r="F63" s="51" t="n"/>
      <c r="G63" s="51" t="n"/>
      <c r="H63" s="51" t="n"/>
      <c r="I63" s="52" t="n"/>
      <c r="J63" s="389">
        <f>SUM(J48:J62)</f>
        <v/>
      </c>
    </row>
    <row r="64" ht="27.6" customHeight="1">
      <c r="A64" s="50" t="inlineStr">
        <is>
          <t>Cost TĐ 1</t>
        </is>
      </c>
      <c r="B64" s="51" t="n"/>
      <c r="C64" s="51" t="n"/>
      <c r="D64" s="132" t="n"/>
      <c r="E64" s="51" t="n"/>
      <c r="F64" s="51" t="n"/>
      <c r="G64" s="51" t="n"/>
      <c r="H64" s="51" t="n"/>
      <c r="I64" s="52" t="n"/>
      <c r="J64" s="57">
        <f>J63/40000</f>
        <v/>
      </c>
    </row>
    <row r="65" ht="27.6" customHeight="1">
      <c r="A65" s="22" t="n"/>
      <c r="B65" s="22" t="n"/>
      <c r="C65" s="27" t="n"/>
      <c r="D65" s="136" t="n"/>
      <c r="E65" s="10" t="n"/>
      <c r="F65" s="10" t="n"/>
      <c r="G65" s="10" t="n"/>
      <c r="H65" s="10" t="n"/>
      <c r="I65" s="10" t="n"/>
      <c r="J65" s="10" t="n"/>
    </row>
    <row r="66" ht="27.6" customHeight="1">
      <c r="A66" s="1" t="inlineStr">
        <is>
          <t>CA ĐÊM 30.000</t>
        </is>
      </c>
      <c r="B66" s="1" t="n"/>
      <c r="C66" s="1" t="n"/>
      <c r="D66" s="137" t="n"/>
      <c r="E66" s="1" t="n"/>
      <c r="F66" s="1" t="n"/>
      <c r="G66" s="1" t="n"/>
      <c r="H66" s="1" t="n"/>
      <c r="I66" s="1" t="n"/>
      <c r="L66" s="371">
        <f>(J63+J43+J14+J80)/130000</f>
        <v/>
      </c>
    </row>
    <row r="67" ht="27.6" customHeight="1">
      <c r="A67" s="265" t="inlineStr">
        <is>
          <t>CA ĐÊM 30k SGC</t>
        </is>
      </c>
      <c r="B67" s="265" t="n"/>
      <c r="C67" s="265" t="n"/>
      <c r="D67" s="265" t="n"/>
      <c r="E67" s="265" t="n"/>
      <c r="F67" s="265" t="n"/>
      <c r="G67" s="265" t="n"/>
      <c r="H67" s="265" t="n"/>
      <c r="I67" s="265" t="n"/>
      <c r="J67" s="265" t="n"/>
    </row>
    <row r="68" ht="27.6" customHeight="1">
      <c r="A68" s="12" t="inlineStr">
        <is>
          <t>Cơ cấu</t>
        </is>
      </c>
      <c r="B68" s="12" t="inlineStr">
        <is>
          <t>Món ăn</t>
        </is>
      </c>
      <c r="C68" s="12" t="inlineStr">
        <is>
          <t>Mã hàng</t>
        </is>
      </c>
      <c r="D68" s="131" t="inlineStr">
        <is>
          <t>Nguyên liệu</t>
        </is>
      </c>
      <c r="E68" s="12" t="inlineStr">
        <is>
          <t>Định lượng sống</t>
        </is>
      </c>
      <c r="F68" s="384" t="inlineStr">
        <is>
          <t>Số suất</t>
        </is>
      </c>
      <c r="G68" s="12" t="inlineStr">
        <is>
          <t>Gọi hàng</t>
        </is>
      </c>
      <c r="H68" s="384" t="inlineStr">
        <is>
          <t>Đơn giá</t>
        </is>
      </c>
      <c r="I68" s="12" t="inlineStr">
        <is>
          <t>Thành tiền</t>
        </is>
      </c>
      <c r="J68" s="12" t="inlineStr">
        <is>
          <t>Tổng</t>
        </is>
      </c>
    </row>
    <row r="69" ht="27.6" customHeight="1">
      <c r="A69" s="328" t="n"/>
      <c r="B69" s="328" t="inlineStr">
        <is>
          <t>cháo sườn ngô</t>
        </is>
      </c>
      <c r="C69" s="328" t="inlineStr">
        <is>
          <t>NLG0005</t>
        </is>
      </c>
      <c r="D69" s="126" t="inlineStr">
        <is>
          <t>gạo khang dân</t>
        </is>
      </c>
      <c r="E69" s="4" t="n">
        <v>45</v>
      </c>
      <c r="F69" s="380" t="n">
        <v>650</v>
      </c>
      <c r="G69" s="385">
        <f>E69*F69/1000</f>
        <v/>
      </c>
      <c r="H69" s="380" t="n">
        <v>12500</v>
      </c>
      <c r="I69" s="386">
        <f>IFERROR(E69*H69/1000,"")</f>
        <v/>
      </c>
      <c r="J69" s="386">
        <f>I69</f>
        <v/>
      </c>
    </row>
    <row r="70" ht="27.6" customHeight="1">
      <c r="A70" s="349" t="n"/>
      <c r="B70" s="349" t="n"/>
      <c r="C70" s="328" t="inlineStr">
        <is>
          <t>NLG0006</t>
        </is>
      </c>
      <c r="D70" s="68" t="inlineStr">
        <is>
          <t>gạo nếp</t>
        </is>
      </c>
      <c r="E70" s="4" t="n">
        <v>5</v>
      </c>
      <c r="F70" s="380" t="n">
        <v>650</v>
      </c>
      <c r="G70" s="385">
        <f>E70*F70/1000</f>
        <v/>
      </c>
      <c r="H70" s="380" t="n">
        <v>35000</v>
      </c>
      <c r="I70" s="386">
        <f>IFERROR(E70*H70/1000,"")</f>
        <v/>
      </c>
      <c r="J70" s="386">
        <f>I70</f>
        <v/>
      </c>
    </row>
    <row r="71" ht="27.6" customHeight="1">
      <c r="A71" s="349" t="n"/>
      <c r="B71" s="349" t="n"/>
      <c r="C71" s="328" t="inlineStr">
        <is>
          <t>NLT0445</t>
        </is>
      </c>
      <c r="D71" s="74" t="inlineStr">
        <is>
          <t>Sườn cánh buồm ĐL</t>
        </is>
      </c>
      <c r="E71" s="4" t="n">
        <v>120</v>
      </c>
      <c r="F71" s="380" t="n">
        <v>650</v>
      </c>
      <c r="G71" s="385">
        <f>E71*F71/1000</f>
        <v/>
      </c>
      <c r="H71" s="380" t="n">
        <v>83000</v>
      </c>
      <c r="I71" s="386">
        <f>IFERROR(E71*H71/1000,"")</f>
        <v/>
      </c>
      <c r="J71" s="386">
        <f>I71</f>
        <v/>
      </c>
    </row>
    <row r="72" ht="27.6" customHeight="1">
      <c r="A72" s="349" t="n"/>
      <c r="B72" s="349" t="n"/>
      <c r="C72" s="328" t="inlineStr">
        <is>
          <t>NLR0019</t>
        </is>
      </c>
      <c r="D72" s="199" t="inlineStr">
        <is>
          <t>ngô ngọt tách hạt</t>
        </is>
      </c>
      <c r="E72" s="4" t="n">
        <v>20</v>
      </c>
      <c r="F72" s="380" t="n">
        <v>650</v>
      </c>
      <c r="G72" s="385">
        <f>E72*F72/1000</f>
        <v/>
      </c>
      <c r="H72" s="380" t="n">
        <v>28000</v>
      </c>
      <c r="I72" s="386">
        <f>IFERROR(E72*H72/1000,"")</f>
        <v/>
      </c>
      <c r="J72" s="386">
        <f>I72</f>
        <v/>
      </c>
    </row>
    <row r="73" ht="27.6" customHeight="1">
      <c r="A73" s="349" t="n"/>
      <c r="B73" s="349" t="n"/>
      <c r="C73" s="328" t="inlineStr">
        <is>
          <t>NPG0066</t>
        </is>
      </c>
      <c r="D73" s="138" t="inlineStr">
        <is>
          <t>hành khô</t>
        </is>
      </c>
      <c r="E73" s="4" t="n">
        <v>5</v>
      </c>
      <c r="F73" s="380" t="n">
        <v>650</v>
      </c>
      <c r="G73" s="385">
        <f>E73*F73/1000</f>
        <v/>
      </c>
      <c r="H73" s="380" t="n">
        <v>22000</v>
      </c>
      <c r="I73" s="386">
        <f>IFERROR(E73*H73/1000,"")</f>
        <v/>
      </c>
      <c r="J73" s="386">
        <f>I73</f>
        <v/>
      </c>
    </row>
    <row r="74" ht="27.6" customHeight="1">
      <c r="A74" s="349" t="n"/>
      <c r="B74" s="349" t="n"/>
      <c r="C74" s="328" t="inlineStr">
        <is>
          <t>NLR0079</t>
        </is>
      </c>
      <c r="D74" s="126" t="inlineStr">
        <is>
          <t>hành lá</t>
        </is>
      </c>
      <c r="E74" s="4" t="n">
        <v>3</v>
      </c>
      <c r="F74" s="380" t="n">
        <v>650</v>
      </c>
      <c r="G74" s="385">
        <f>E74*F74/1000</f>
        <v/>
      </c>
      <c r="H74" s="380" t="n">
        <v>14000</v>
      </c>
      <c r="I74" s="386">
        <f>IFERROR(E74*H74/1000,"")</f>
        <v/>
      </c>
      <c r="J74" s="386">
        <f>I74</f>
        <v/>
      </c>
    </row>
    <row r="75" ht="27.6" customHeight="1">
      <c r="A75" s="349" t="n"/>
      <c r="B75" s="349" t="n"/>
      <c r="C75" s="328" t="inlineStr">
        <is>
          <t>NLR0170</t>
        </is>
      </c>
      <c r="D75" s="126" t="inlineStr">
        <is>
          <t>tía tô</t>
        </is>
      </c>
      <c r="E75" s="4" t="n">
        <v>1</v>
      </c>
      <c r="F75" s="380" t="n">
        <v>650</v>
      </c>
      <c r="G75" s="385">
        <f>E75*F75/1000</f>
        <v/>
      </c>
      <c r="H75" s="380" t="n">
        <v>25000</v>
      </c>
      <c r="I75" s="386">
        <f>IFERROR(E75*H75/1000,"")</f>
        <v/>
      </c>
      <c r="J75" s="386">
        <f>I75</f>
        <v/>
      </c>
    </row>
    <row r="76" ht="27.6" customHeight="1">
      <c r="A76" s="50" t="inlineStr">
        <is>
          <t>Gia vị</t>
        </is>
      </c>
      <c r="B76" s="51" t="n"/>
      <c r="C76" s="51" t="n"/>
      <c r="D76" s="132" t="n"/>
      <c r="E76" s="51" t="n"/>
      <c r="F76" s="380" t="n"/>
      <c r="G76" s="51" t="n"/>
      <c r="H76" s="51" t="n"/>
      <c r="I76" s="52" t="n"/>
      <c r="J76" s="387" t="n">
        <v>1600</v>
      </c>
    </row>
    <row r="77" ht="27.6" customHeight="1">
      <c r="A77" s="40" t="n"/>
      <c r="B77" s="41" t="n"/>
      <c r="C77" s="41" t="n"/>
      <c r="D77" s="133" t="inlineStr">
        <is>
          <t>Gas</t>
        </is>
      </c>
      <c r="E77" s="41" t="n"/>
      <c r="F77" s="380" t="n"/>
      <c r="G77" s="41" t="n"/>
      <c r="H77" s="41" t="n"/>
      <c r="I77" s="42" t="n"/>
      <c r="J77" s="387" t="n">
        <v>1250</v>
      </c>
    </row>
    <row r="78" ht="27.6" customHeight="1">
      <c r="A78" s="40" t="n"/>
      <c r="B78" s="41" t="n"/>
      <c r="C78" s="41" t="n"/>
      <c r="D78" s="133" t="inlineStr">
        <is>
          <t>Chi Phí đũa thìa + điện nước</t>
        </is>
      </c>
      <c r="E78" s="41" t="n"/>
      <c r="F78" s="41" t="n"/>
      <c r="G78" s="41" t="n"/>
      <c r="H78" s="41" t="n"/>
      <c r="I78" s="42" t="n"/>
      <c r="J78" s="387" t="n">
        <v>1600</v>
      </c>
    </row>
    <row r="79" ht="27.6" customHeight="1">
      <c r="A79" s="50" t="inlineStr">
        <is>
          <t>Tổng chi phí TĐ 1</t>
        </is>
      </c>
      <c r="B79" s="51" t="n"/>
      <c r="C79" s="51" t="n"/>
      <c r="D79" s="132" t="n"/>
      <c r="E79" s="51" t="n"/>
      <c r="F79" s="51" t="n"/>
      <c r="G79" s="51" t="n"/>
      <c r="H79" s="51" t="n"/>
      <c r="I79" s="52" t="n"/>
      <c r="J79" s="389">
        <f>SUM(J69:J78)</f>
        <v/>
      </c>
    </row>
    <row r="80" ht="27.6" customHeight="1">
      <c r="A80" s="50" t="inlineStr">
        <is>
          <t>Cost TĐ 1</t>
        </is>
      </c>
      <c r="B80" s="51" t="n"/>
      <c r="C80" s="51" t="n"/>
      <c r="D80" s="132" t="n"/>
      <c r="E80" s="51" t="n"/>
      <c r="F80" s="51" t="n"/>
      <c r="G80" s="51" t="n"/>
      <c r="H80" s="51" t="n"/>
      <c r="I80" s="52" t="n"/>
      <c r="J80" s="25">
        <f>J79/30000</f>
        <v/>
      </c>
    </row>
    <row r="81" ht="27.6" customHeight="1"/>
    <row r="82" ht="27.6" customHeight="1"/>
    <row r="83" ht="27.6" customHeight="1"/>
    <row r="84" ht="27.6" customHeight="1">
      <c r="A84" s="265" t="inlineStr">
        <is>
          <t>CA ĐÊM 40K VIN ALPHA</t>
        </is>
      </c>
      <c r="B84" s="265" t="n"/>
      <c r="C84" s="265" t="n"/>
      <c r="D84" s="265" t="n"/>
      <c r="E84" s="265" t="n"/>
      <c r="F84" s="265" t="n"/>
      <c r="G84" s="265" t="n"/>
      <c r="H84" s="265" t="n"/>
      <c r="I84" s="265" t="n"/>
      <c r="J84" s="265" t="n"/>
    </row>
    <row r="85" ht="27.6" customHeight="1">
      <c r="A85" s="12" t="inlineStr">
        <is>
          <t>Cơ cấu</t>
        </is>
      </c>
      <c r="B85" s="12" t="inlineStr">
        <is>
          <t>Món ăn</t>
        </is>
      </c>
      <c r="C85" s="12" t="inlineStr">
        <is>
          <t>Mã hàng</t>
        </is>
      </c>
      <c r="D85" s="131" t="inlineStr">
        <is>
          <t>Nguyên liệu</t>
        </is>
      </c>
      <c r="E85" s="12" t="inlineStr">
        <is>
          <t>Định lượng sống</t>
        </is>
      </c>
      <c r="F85" s="384" t="inlineStr">
        <is>
          <t>Số suất</t>
        </is>
      </c>
      <c r="G85" s="12" t="inlineStr">
        <is>
          <t>Gọi hàng</t>
        </is>
      </c>
      <c r="H85" s="384" t="inlineStr">
        <is>
          <t>Đơn giá</t>
        </is>
      </c>
      <c r="I85" s="12" t="inlineStr">
        <is>
          <t>Thành tiền</t>
        </is>
      </c>
      <c r="J85" s="12" t="inlineStr">
        <is>
          <t>Tổng</t>
        </is>
      </c>
    </row>
    <row r="86" ht="27.6" customHeight="1">
      <c r="A86" s="328" t="n"/>
      <c r="B86" s="328" t="inlineStr">
        <is>
          <t>cháo sườn ngô
sữa ba vì 110ml</t>
        </is>
      </c>
      <c r="C86" s="328" t="inlineStr">
        <is>
          <t>NLG0005</t>
        </is>
      </c>
      <c r="D86" s="126" t="inlineStr">
        <is>
          <t>gạo khang dân</t>
        </is>
      </c>
      <c r="E86" s="4" t="n">
        <v>45</v>
      </c>
      <c r="F86" s="380" t="n">
        <v>550</v>
      </c>
      <c r="G86" s="385">
        <f>E86*F86/1000</f>
        <v/>
      </c>
      <c r="H86" s="380" t="n">
        <v>12500</v>
      </c>
      <c r="I86" s="386">
        <f>IFERROR(E86*H86/1000,"")</f>
        <v/>
      </c>
      <c r="J86" s="386">
        <f>I86</f>
        <v/>
      </c>
    </row>
    <row r="87" ht="27.6" customHeight="1">
      <c r="A87" s="349" t="n"/>
      <c r="B87" s="349" t="n"/>
      <c r="C87" s="328" t="inlineStr">
        <is>
          <t>NLG0006</t>
        </is>
      </c>
      <c r="D87" s="68" t="inlineStr">
        <is>
          <t>gạo nếp</t>
        </is>
      </c>
      <c r="E87" s="4" t="n">
        <v>5</v>
      </c>
      <c r="F87" s="380" t="n">
        <v>550</v>
      </c>
      <c r="G87" s="385">
        <f>E87*F87/1000</f>
        <v/>
      </c>
      <c r="H87" s="380" t="n">
        <v>35000</v>
      </c>
      <c r="I87" s="386">
        <f>IFERROR(E87*H87/1000,"")</f>
        <v/>
      </c>
      <c r="J87" s="386">
        <f>I87</f>
        <v/>
      </c>
    </row>
    <row r="88" ht="27.6" customHeight="1">
      <c r="A88" s="349" t="n"/>
      <c r="B88" s="349" t="n"/>
      <c r="C88" s="328" t="inlineStr">
        <is>
          <t>NLT0445</t>
        </is>
      </c>
      <c r="D88" s="74" t="inlineStr">
        <is>
          <t>Sườn cánh buồm ĐL</t>
        </is>
      </c>
      <c r="E88" s="4" t="n">
        <v>120</v>
      </c>
      <c r="F88" s="380" t="n">
        <v>550</v>
      </c>
      <c r="G88" s="385">
        <f>E88*F88/1000</f>
        <v/>
      </c>
      <c r="H88" s="380" t="n">
        <v>83000</v>
      </c>
      <c r="I88" s="386">
        <f>IFERROR(E88*H88/1000,"")</f>
        <v/>
      </c>
      <c r="J88" s="386">
        <f>I88</f>
        <v/>
      </c>
    </row>
    <row r="89" ht="27.6" customHeight="1">
      <c r="A89" s="349" t="n"/>
      <c r="B89" s="349" t="n"/>
      <c r="C89" s="328" t="inlineStr">
        <is>
          <t>NLR0019</t>
        </is>
      </c>
      <c r="D89" s="199" t="inlineStr">
        <is>
          <t>ngô ngọt tách hạt</t>
        </is>
      </c>
      <c r="E89" s="4" t="n">
        <v>20</v>
      </c>
      <c r="F89" s="380" t="n">
        <v>550</v>
      </c>
      <c r="G89" s="385">
        <f>E89*F89/1000</f>
        <v/>
      </c>
      <c r="H89" s="380" t="n">
        <v>28000</v>
      </c>
      <c r="I89" s="386">
        <f>IFERROR(E89*H89/1000,"")</f>
        <v/>
      </c>
      <c r="J89" s="386">
        <f>I89</f>
        <v/>
      </c>
    </row>
    <row r="90" ht="27.6" customHeight="1">
      <c r="A90" s="349" t="n"/>
      <c r="B90" s="349" t="n"/>
      <c r="C90" s="328" t="inlineStr">
        <is>
          <t>NPG0066</t>
        </is>
      </c>
      <c r="D90" s="138" t="inlineStr">
        <is>
          <t>hành khô</t>
        </is>
      </c>
      <c r="E90" s="4" t="n">
        <v>5</v>
      </c>
      <c r="F90" s="380" t="n">
        <v>550</v>
      </c>
      <c r="G90" s="385">
        <f>E90*F90/1000</f>
        <v/>
      </c>
      <c r="H90" s="380" t="n">
        <v>22000</v>
      </c>
      <c r="I90" s="386">
        <f>IFERROR(E90*H90/1000,"")</f>
        <v/>
      </c>
      <c r="J90" s="386">
        <f>I90</f>
        <v/>
      </c>
    </row>
    <row r="91" ht="27.6" customHeight="1">
      <c r="A91" s="349" t="n"/>
      <c r="B91" s="349" t="n"/>
      <c r="C91" s="328" t="inlineStr">
        <is>
          <t>NLR0079</t>
        </is>
      </c>
      <c r="D91" s="126" t="inlineStr">
        <is>
          <t>hành lá</t>
        </is>
      </c>
      <c r="E91" s="4" t="n">
        <v>3</v>
      </c>
      <c r="F91" s="380" t="n">
        <v>550</v>
      </c>
      <c r="G91" s="385">
        <f>E91*F91/1000</f>
        <v/>
      </c>
      <c r="H91" s="380" t="n">
        <v>14000</v>
      </c>
      <c r="I91" s="386">
        <f>IFERROR(E91*H91/1000,"")</f>
        <v/>
      </c>
      <c r="J91" s="386">
        <f>I91</f>
        <v/>
      </c>
    </row>
    <row r="92" ht="27.6" customHeight="1">
      <c r="A92" s="349" t="n"/>
      <c r="B92" s="349" t="n"/>
      <c r="C92" s="328" t="inlineStr">
        <is>
          <t>NLR0170</t>
        </is>
      </c>
      <c r="D92" s="126" t="inlineStr">
        <is>
          <t>tía tô</t>
        </is>
      </c>
      <c r="E92" s="4" t="n">
        <v>1</v>
      </c>
      <c r="F92" s="380" t="n">
        <v>550</v>
      </c>
      <c r="G92" s="385">
        <f>E92*F92/1000</f>
        <v/>
      </c>
      <c r="H92" s="380" t="n">
        <v>25000</v>
      </c>
      <c r="I92" s="386">
        <f>IFERROR(E92*H92/1000,"")</f>
        <v/>
      </c>
      <c r="J92" s="386">
        <f>I92</f>
        <v/>
      </c>
    </row>
    <row r="93" ht="27.6" customHeight="1">
      <c r="A93" s="349" t="n"/>
      <c r="B93" s="349" t="n"/>
      <c r="C93" s="328" t="n"/>
      <c r="D93" s="74" t="inlineStr">
        <is>
          <t>sữa ba vì 110ml</t>
        </is>
      </c>
      <c r="E93" s="4" t="n">
        <v>1000</v>
      </c>
      <c r="F93" s="380" t="n">
        <v>550</v>
      </c>
      <c r="G93" s="385">
        <f>E93*F93/1000</f>
        <v/>
      </c>
      <c r="H93" s="380" t="n">
        <v>5200</v>
      </c>
      <c r="I93" s="386">
        <f>IFERROR(E93*H93/1000,"")</f>
        <v/>
      </c>
      <c r="J93" s="386">
        <f>I93</f>
        <v/>
      </c>
    </row>
    <row r="94" ht="27.6" customHeight="1">
      <c r="A94" s="50" t="inlineStr">
        <is>
          <t>Gia vị</t>
        </is>
      </c>
      <c r="B94" s="51" t="n"/>
      <c r="C94" s="51" t="n"/>
      <c r="D94" s="132" t="n"/>
      <c r="E94" s="51" t="n"/>
      <c r="F94" s="380" t="n"/>
      <c r="G94" s="51" t="n"/>
      <c r="H94" s="51" t="n"/>
      <c r="I94" s="52" t="n"/>
      <c r="J94" s="387" t="n">
        <v>1600</v>
      </c>
    </row>
    <row r="95" ht="27.6" customHeight="1">
      <c r="A95" s="40" t="n"/>
      <c r="B95" s="41" t="n"/>
      <c r="C95" s="41" t="n"/>
      <c r="D95" s="133" t="inlineStr">
        <is>
          <t>Gas</t>
        </is>
      </c>
      <c r="E95" s="41" t="n"/>
      <c r="F95" s="380" t="n"/>
      <c r="G95" s="41" t="n"/>
      <c r="H95" s="41" t="n"/>
      <c r="I95" s="42" t="n"/>
      <c r="J95" s="387" t="n">
        <v>1250</v>
      </c>
    </row>
    <row r="96" ht="27.6" customHeight="1">
      <c r="A96" s="40" t="n"/>
      <c r="B96" s="41" t="n"/>
      <c r="C96" s="41" t="n"/>
      <c r="D96" s="133" t="inlineStr">
        <is>
          <t>Chi Phí đũa thìa + điện nước</t>
        </is>
      </c>
      <c r="E96" s="41" t="n"/>
      <c r="F96" s="41" t="n"/>
      <c r="G96" s="41" t="n"/>
      <c r="H96" s="41" t="n"/>
      <c r="I96" s="42" t="n"/>
      <c r="J96" s="387" t="n">
        <v>1600</v>
      </c>
    </row>
    <row r="97" ht="27.6" customHeight="1">
      <c r="A97" s="50" t="inlineStr">
        <is>
          <t>Tổng chi phí TĐ 1</t>
        </is>
      </c>
      <c r="B97" s="51" t="n"/>
      <c r="C97" s="51" t="n"/>
      <c r="D97" s="132" t="n"/>
      <c r="E97" s="51" t="n"/>
      <c r="F97" s="51" t="n"/>
      <c r="G97" s="51" t="n"/>
      <c r="H97" s="51" t="n"/>
      <c r="I97" s="52" t="n"/>
      <c r="J97" s="389">
        <f>SUM(J86:J96)</f>
        <v/>
      </c>
    </row>
    <row r="98" ht="27.6" customHeight="1">
      <c r="A98" s="50" t="inlineStr">
        <is>
          <t>Cost TĐ 1</t>
        </is>
      </c>
      <c r="B98" s="51" t="n"/>
      <c r="C98" s="51" t="n"/>
      <c r="D98" s="132" t="n"/>
      <c r="E98" s="51" t="n"/>
      <c r="F98" s="51" t="n"/>
      <c r="G98" s="51" t="n"/>
      <c r="H98" s="51" t="n"/>
      <c r="I98" s="52" t="n"/>
      <c r="J98" s="25">
        <f>J97/40000</f>
        <v/>
      </c>
    </row>
    <row r="99" ht="27.6" customHeight="1"/>
  </sheetData>
  <mergeCells count="17">
    <mergeCell ref="A32:A33"/>
    <mergeCell ref="B32:B33"/>
    <mergeCell ref="A1:G1"/>
    <mergeCell ref="B48:B49"/>
    <mergeCell ref="A48:A53"/>
    <mergeCell ref="A4:A10"/>
    <mergeCell ref="A69:A75"/>
    <mergeCell ref="B86:B93"/>
    <mergeCell ref="A86:A93"/>
    <mergeCell ref="B69:B75"/>
    <mergeCell ref="B55:B56"/>
    <mergeCell ref="B52:B54"/>
    <mergeCell ref="B4:B10"/>
    <mergeCell ref="A14:B14"/>
    <mergeCell ref="B34:B35"/>
    <mergeCell ref="B50:B51"/>
    <mergeCell ref="B30:B31"/>
  </mergeCells>
  <pageMargins left="0.7" right="0.7" top="0.75" bottom="0.75" header="0.3" footer="0.3"/>
  <pageSetup orientation="portrait" paperSize="9" scale="5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7"/>
  <sheetViews>
    <sheetView topLeftCell="A44" zoomScale="80" zoomScaleNormal="80" workbookViewId="0">
      <selection activeCell="D50" sqref="D50"/>
    </sheetView>
  </sheetViews>
  <sheetFormatPr baseColWidth="8" defaultColWidth="8.88671875" defaultRowHeight="18"/>
  <cols>
    <col width="20.109375" bestFit="1" customWidth="1" style="14" min="1" max="1"/>
    <col width="25.88671875" bestFit="1" customWidth="1" style="23" min="2" max="2"/>
    <col width="23.6640625" customWidth="1" style="14" min="3" max="3"/>
    <col width="38.44140625" bestFit="1" customWidth="1" style="8" min="4" max="4"/>
    <col width="12.88671875" customWidth="1" style="8" min="5" max="5"/>
    <col width="11.5546875" customWidth="1" style="357" min="6" max="6"/>
    <col width="12.44140625" customWidth="1" style="8" min="7" max="7"/>
    <col width="11.5546875" customWidth="1" style="357" min="8" max="8"/>
    <col width="12.44140625" customWidth="1" style="8" min="9" max="9"/>
    <col width="15.6640625" customWidth="1" style="1" min="10" max="10"/>
    <col width="18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 ht="18.6" customHeight="1"/>
    <row r="2" ht="40.2" customHeight="1">
      <c r="A2" s="327" t="inlineStr">
        <is>
          <t>THỨ 5 NGÀY 24/6</t>
        </is>
      </c>
    </row>
    <row r="3" ht="24.6" customHeight="1">
      <c r="A3" s="263" t="inlineStr">
        <is>
          <t>Bữa Sáng 20.000Đ</t>
        </is>
      </c>
      <c r="B3" s="263" t="n"/>
      <c r="C3" s="263" t="n"/>
      <c r="D3" s="263" t="n"/>
      <c r="E3" s="263" t="n"/>
      <c r="F3" s="263" t="n"/>
      <c r="G3" s="263" t="n"/>
      <c r="H3" s="263" t="n"/>
      <c r="I3" s="263" t="n"/>
      <c r="J3" s="263" t="n"/>
    </row>
    <row r="4" ht="52.2" customHeight="1">
      <c r="A4" s="12" t="inlineStr">
        <is>
          <t>Cơ cấu</t>
        </is>
      </c>
      <c r="B4" s="12" t="inlineStr">
        <is>
          <t>Món ăn</t>
        </is>
      </c>
      <c r="C4" s="12" t="inlineStr">
        <is>
          <t>Mã hàng</t>
        </is>
      </c>
      <c r="D4" s="12" t="inlineStr">
        <is>
          <t>Nguyên liệu</t>
        </is>
      </c>
      <c r="E4" s="12" t="inlineStr">
        <is>
          <t>Định lượng sống</t>
        </is>
      </c>
      <c r="F4" s="384" t="inlineStr">
        <is>
          <t>Số suất</t>
        </is>
      </c>
      <c r="G4" s="12" t="inlineStr">
        <is>
          <t>Gọi hàng</t>
        </is>
      </c>
      <c r="H4" s="384" t="inlineStr">
        <is>
          <t>Đơn giá</t>
        </is>
      </c>
      <c r="I4" s="12" t="inlineStr">
        <is>
          <t>Thành tiền</t>
        </is>
      </c>
      <c r="J4" s="12" t="inlineStr">
        <is>
          <t>Tổng</t>
        </is>
      </c>
    </row>
    <row r="5" ht="24" customHeight="1">
      <c r="A5" s="328" t="n"/>
      <c r="B5" s="328" t="inlineStr">
        <is>
          <t>xôi giò rim
sữa fami
( Bên vinalpha dưa góp đóng hộp để riêng)</t>
        </is>
      </c>
      <c r="C5" s="328" t="inlineStr">
        <is>
          <t>NLG0006</t>
        </is>
      </c>
      <c r="D5" s="128" t="inlineStr">
        <is>
          <t>gạo nếp</t>
        </is>
      </c>
      <c r="E5" s="44" t="n">
        <v>150</v>
      </c>
      <c r="F5" s="380" t="n">
        <v>2200</v>
      </c>
      <c r="G5" s="385">
        <f>E5*F5/1000</f>
        <v/>
      </c>
      <c r="H5" s="380" t="n">
        <v>35000</v>
      </c>
      <c r="I5" s="386">
        <f>IFERROR(E5*H5/1000,"")</f>
        <v/>
      </c>
      <c r="J5" s="386">
        <f>I5</f>
        <v/>
      </c>
      <c r="K5" s="48" t="inlineStr">
        <is>
          <t>250g/cái</t>
        </is>
      </c>
      <c r="L5" s="47">
        <f>+(J29+J54+J72)/3</f>
        <v/>
      </c>
    </row>
    <row r="6" ht="24" customHeight="1">
      <c r="A6" s="349" t="n"/>
      <c r="B6" s="349" t="n"/>
      <c r="C6" s="328" t="inlineStr">
        <is>
          <t>NLT0017</t>
        </is>
      </c>
      <c r="D6" s="128" t="inlineStr">
        <is>
          <t>giò lụa</t>
        </is>
      </c>
      <c r="E6" s="44" t="n">
        <v>40</v>
      </c>
      <c r="F6" s="380" t="n">
        <v>2200</v>
      </c>
      <c r="G6" s="385">
        <f>E6*F6/1000</f>
        <v/>
      </c>
      <c r="H6" s="380" t="n">
        <v>85000</v>
      </c>
      <c r="I6" s="386">
        <f>IFERROR(E6*H6/1000,"")</f>
        <v/>
      </c>
      <c r="J6" s="386">
        <f>I6</f>
        <v/>
      </c>
      <c r="K6" s="48" t="n"/>
      <c r="L6" s="47" t="n"/>
    </row>
    <row r="7" ht="24" customHeight="1">
      <c r="A7" s="349" t="n"/>
      <c r="B7" s="349" t="n"/>
      <c r="C7" s="328" t="inlineStr">
        <is>
          <t>NPG0066</t>
        </is>
      </c>
      <c r="D7" s="128" t="inlineStr">
        <is>
          <t>hành khô</t>
        </is>
      </c>
      <c r="E7" s="44" t="n">
        <v>5</v>
      </c>
      <c r="F7" s="380" t="n">
        <v>2200</v>
      </c>
      <c r="G7" s="385">
        <f>E7*F7/1000</f>
        <v/>
      </c>
      <c r="H7" s="380" t="n">
        <v>22000</v>
      </c>
      <c r="I7" s="386">
        <f>IFERROR(E7*H7/1000,"")</f>
        <v/>
      </c>
      <c r="J7" s="386">
        <f>I7</f>
        <v/>
      </c>
      <c r="K7" s="48" t="n"/>
      <c r="L7" s="47" t="n"/>
    </row>
    <row r="8" ht="24" customHeight="1">
      <c r="A8" s="349" t="n"/>
      <c r="B8" s="349" t="n"/>
      <c r="C8" s="328" t="inlineStr">
        <is>
          <t>NLR0060</t>
        </is>
      </c>
      <c r="D8" s="158" t="inlineStr">
        <is>
          <t>dưa chuột</t>
        </is>
      </c>
      <c r="E8" s="44" t="n">
        <v>40</v>
      </c>
      <c r="F8" s="380" t="n">
        <v>2200</v>
      </c>
      <c r="G8" s="385">
        <f>E8*F8/1000</f>
        <v/>
      </c>
      <c r="H8" s="380" t="n">
        <v>15000</v>
      </c>
      <c r="I8" s="386">
        <f>IFERROR(E8*H8/1000,"")</f>
        <v/>
      </c>
      <c r="J8" s="386">
        <f>I8</f>
        <v/>
      </c>
      <c r="K8" s="48" t="n"/>
      <c r="L8" s="47" t="n"/>
    </row>
    <row r="9" ht="24" customHeight="1">
      <c r="A9" s="349" t="n"/>
      <c r="B9" s="349" t="n"/>
      <c r="C9" s="328" t="inlineStr">
        <is>
          <t>NLR0018</t>
        </is>
      </c>
      <c r="D9" s="158" t="inlineStr">
        <is>
          <t>cà rốt</t>
        </is>
      </c>
      <c r="E9" s="44" t="n">
        <v>5</v>
      </c>
      <c r="F9" s="380" t="n">
        <v>2200</v>
      </c>
      <c r="G9" s="385">
        <f>E9*F9/1000</f>
        <v/>
      </c>
      <c r="H9" s="380" t="n">
        <v>11000</v>
      </c>
      <c r="I9" s="386">
        <f>IFERROR(E9*H9/1000,"")</f>
        <v/>
      </c>
      <c r="J9" s="386">
        <f>I9</f>
        <v/>
      </c>
      <c r="K9" s="48" t="n"/>
      <c r="L9" s="47" t="n"/>
    </row>
    <row r="10" ht="24" customHeight="1">
      <c r="A10" s="349" t="n"/>
      <c r="B10" s="349" t="n"/>
      <c r="C10" s="328" t="inlineStr">
        <is>
          <t>NLR0154</t>
        </is>
      </c>
      <c r="D10" s="158" t="inlineStr">
        <is>
          <t>rau mùi tàu</t>
        </is>
      </c>
      <c r="E10" s="44" t="n">
        <v>1</v>
      </c>
      <c r="F10" s="380" t="n">
        <v>2200</v>
      </c>
      <c r="G10" s="385">
        <f>E10*F10/1000</f>
        <v/>
      </c>
      <c r="H10" s="380" t="n">
        <v>25000</v>
      </c>
      <c r="I10" s="386">
        <f>IFERROR(E10*H10/1000,"")</f>
        <v/>
      </c>
      <c r="J10" s="386">
        <f>I10</f>
        <v/>
      </c>
      <c r="K10" s="48" t="n"/>
      <c r="L10" s="47" t="n"/>
    </row>
    <row r="11" ht="24" customHeight="1">
      <c r="A11" s="349" t="n"/>
      <c r="B11" s="349" t="n"/>
      <c r="C11" s="328" t="inlineStr">
        <is>
          <t>HHS0051</t>
        </is>
      </c>
      <c r="D11" s="128" t="inlineStr">
        <is>
          <t>sữa fami bịch</t>
        </is>
      </c>
      <c r="E11" s="44" t="n">
        <v>1000</v>
      </c>
      <c r="F11" s="380" t="n">
        <v>2200</v>
      </c>
      <c r="G11" s="385">
        <f>E11*F11/1000</f>
        <v/>
      </c>
      <c r="H11" s="380" t="n">
        <v>3400</v>
      </c>
      <c r="I11" s="386">
        <f>IFERROR(E11*H11/1000,"")</f>
        <v/>
      </c>
      <c r="J11" s="386">
        <f>I11</f>
        <v/>
      </c>
      <c r="K11" s="48" t="n"/>
      <c r="L11" s="47" t="n"/>
    </row>
    <row r="12">
      <c r="A12" s="50" t="inlineStr">
        <is>
          <t>Gia vị</t>
        </is>
      </c>
      <c r="B12" s="51" t="n"/>
      <c r="C12" s="51" t="n"/>
      <c r="D12" s="51" t="n"/>
      <c r="E12" s="51" t="n"/>
      <c r="F12" s="380" t="n"/>
      <c r="G12" s="51" t="n"/>
      <c r="H12" s="51" t="n"/>
      <c r="I12" s="52" t="n"/>
      <c r="J12" s="387" t="n">
        <v>800</v>
      </c>
    </row>
    <row r="13">
      <c r="A13" s="40" t="n"/>
      <c r="B13" s="51" t="n"/>
      <c r="C13" s="41" t="n"/>
      <c r="D13" s="41" t="inlineStr">
        <is>
          <t>GAS</t>
        </is>
      </c>
      <c r="E13" s="41" t="n"/>
      <c r="F13" s="41" t="n"/>
      <c r="G13" s="41" t="n"/>
      <c r="H13" s="41" t="n"/>
      <c r="I13" s="42" t="n"/>
      <c r="J13" s="387" t="n">
        <v>1000</v>
      </c>
    </row>
    <row r="14">
      <c r="A14" s="40" t="n"/>
      <c r="B14" s="51" t="n"/>
      <c r="C14" s="41" t="n"/>
      <c r="D14" s="41" t="inlineStr">
        <is>
          <t>Chi phí khay,đũa</t>
        </is>
      </c>
      <c r="E14" s="41" t="n"/>
      <c r="F14" s="41" t="n"/>
      <c r="G14" s="41" t="n"/>
      <c r="H14" s="41" t="n"/>
      <c r="I14" s="42" t="n"/>
      <c r="J14" s="387" t="n">
        <v>1500</v>
      </c>
    </row>
    <row r="15">
      <c r="A15" s="40" t="n"/>
      <c r="B15" s="51" t="n"/>
      <c r="C15" s="41" t="n"/>
      <c r="D15" s="41" t="n"/>
      <c r="E15" s="41" t="n"/>
      <c r="F15" s="41" t="n"/>
      <c r="G15" s="41" t="n"/>
      <c r="H15" s="41" t="n"/>
      <c r="I15" s="42" t="n"/>
      <c r="J15" s="387" t="n"/>
    </row>
    <row r="16" ht="30.6" customHeight="1">
      <c r="A16" s="331" t="inlineStr">
        <is>
          <t>Tổng chi phí TĐ 1</t>
        </is>
      </c>
      <c r="B16" s="388" t="n"/>
      <c r="C16" s="51" t="n"/>
      <c r="D16" s="51" t="n"/>
      <c r="E16" s="51" t="n"/>
      <c r="F16" s="51" t="n"/>
      <c r="G16" s="51" t="n"/>
      <c r="H16" s="51" t="n"/>
      <c r="I16" s="52" t="n"/>
      <c r="J16" s="389">
        <f>SUM(J5:J14)</f>
        <v/>
      </c>
    </row>
    <row r="17">
      <c r="A17" s="50" t="inlineStr">
        <is>
          <t>Cost TĐ 1</t>
        </is>
      </c>
      <c r="B17" s="51" t="n"/>
      <c r="C17" s="51" t="n"/>
      <c r="D17" s="51" t="n"/>
      <c r="E17" s="51" t="n"/>
      <c r="F17" s="51" t="n"/>
      <c r="G17" s="51" t="n"/>
      <c r="H17" s="51" t="n"/>
      <c r="I17" s="52" t="n"/>
      <c r="J17" s="25">
        <f>J16/20000</f>
        <v/>
      </c>
    </row>
    <row r="18"/>
    <row r="19">
      <c r="A19" s="49" t="inlineStr">
        <is>
          <t>CHIẾT TÍNH THỰC ĐƠN CA Trưa 40.000đ</t>
        </is>
      </c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</row>
    <row r="20" ht="52.2" customFormat="1" customHeight="1" s="14">
      <c r="A20" s="12" t="inlineStr">
        <is>
          <t>Cơ cấu</t>
        </is>
      </c>
      <c r="B20" s="12" t="inlineStr">
        <is>
          <t>Món ăn</t>
        </is>
      </c>
      <c r="C20" s="12" t="inlineStr">
        <is>
          <t>Mã hàng</t>
        </is>
      </c>
      <c r="D20" s="12" t="inlineStr">
        <is>
          <t>Nguyên liệu</t>
        </is>
      </c>
      <c r="E20" s="12" t="inlineStr">
        <is>
          <t>Định lượng sống</t>
        </is>
      </c>
      <c r="F20" s="384" t="inlineStr">
        <is>
          <t>Số suất</t>
        </is>
      </c>
      <c r="G20" s="12" t="inlineStr">
        <is>
          <t>Gọi hàng</t>
        </is>
      </c>
      <c r="H20" s="384" t="inlineStr">
        <is>
          <t>Đơn giá</t>
        </is>
      </c>
      <c r="I20" s="12" t="inlineStr">
        <is>
          <t>Thành tiền</t>
        </is>
      </c>
      <c r="J20" s="12" t="inlineStr">
        <is>
          <t>Tổng</t>
        </is>
      </c>
    </row>
    <row r="21" ht="31.2" customHeight="1">
      <c r="A21" s="328" t="n"/>
      <c r="B21" s="330" t="inlineStr">
        <is>
          <t>vịt om sấu khoai môn</t>
        </is>
      </c>
      <c r="C21" s="328" t="inlineStr">
        <is>
          <t>NLT0094</t>
        </is>
      </c>
      <c r="D21" s="68" t="inlineStr">
        <is>
          <t>Thịt vịt sơ chế bỏ đầu, cổ cánh 2-2.5kg/con.</t>
        </is>
      </c>
      <c r="E21" s="7" t="n">
        <v>110</v>
      </c>
      <c r="F21" s="380" t="n">
        <v>2250</v>
      </c>
      <c r="G21" s="385">
        <f>E21*F21/1000</f>
        <v/>
      </c>
      <c r="H21" s="380" t="n">
        <v>85000</v>
      </c>
      <c r="I21" s="386">
        <f>IFERROR(E21*H21/1000,"")</f>
        <v/>
      </c>
      <c r="J21" s="386">
        <f>I21</f>
        <v/>
      </c>
      <c r="K21" s="14" t="n"/>
    </row>
    <row r="22" ht="31.2" customHeight="1">
      <c r="A22" s="349" t="n"/>
      <c r="B22" s="382" t="n"/>
      <c r="C22" s="328" t="inlineStr">
        <is>
          <t>NLR0244</t>
        </is>
      </c>
      <c r="D22" s="68" t="inlineStr">
        <is>
          <t>khoai môn sc</t>
        </is>
      </c>
      <c r="E22" s="7" t="n">
        <v>35</v>
      </c>
      <c r="F22" s="380" t="n">
        <v>2250</v>
      </c>
      <c r="G22" s="385">
        <f>E22*F22/1000</f>
        <v/>
      </c>
      <c r="H22" s="380" t="n">
        <v>30000</v>
      </c>
      <c r="I22" s="386">
        <f>IFERROR(E22*H22/1000,"")</f>
        <v/>
      </c>
      <c r="J22" s="386">
        <f>I22</f>
        <v/>
      </c>
      <c r="K22" s="14" t="n"/>
    </row>
    <row r="23" ht="31.2" customHeight="1">
      <c r="A23" s="349" t="n"/>
      <c r="B23" s="382" t="n"/>
      <c r="C23" s="328" t="inlineStr">
        <is>
          <t>NLR0142</t>
        </is>
      </c>
      <c r="D23" s="78" t="inlineStr">
        <is>
          <t>quả sấu</t>
        </is>
      </c>
      <c r="E23" s="7" t="n">
        <v>3</v>
      </c>
      <c r="F23" s="380" t="n">
        <v>2250</v>
      </c>
      <c r="G23" s="385">
        <f>E23*F23/1000</f>
        <v/>
      </c>
      <c r="H23" s="380" t="n">
        <v>23000</v>
      </c>
      <c r="I23" s="386">
        <f>IFERROR(E23*H23/1000,"")</f>
        <v/>
      </c>
      <c r="J23" s="386">
        <f>I23</f>
        <v/>
      </c>
      <c r="K23" s="14" t="n"/>
    </row>
    <row r="24" ht="31.2" customHeight="1">
      <c r="A24" s="349" t="n"/>
      <c r="B24" s="366" t="n"/>
      <c r="C24" s="328" t="inlineStr">
        <is>
          <t>NLR0154</t>
        </is>
      </c>
      <c r="D24" s="78" t="inlineStr">
        <is>
          <t>rau mùi tàu</t>
        </is>
      </c>
      <c r="E24" s="7" t="n">
        <v>1</v>
      </c>
      <c r="F24" s="380" t="n">
        <v>2250</v>
      </c>
      <c r="G24" s="385">
        <f>E24*F24/1000</f>
        <v/>
      </c>
      <c r="H24" s="380" t="n">
        <v>25000</v>
      </c>
      <c r="I24" s="386">
        <f>IFERROR(E24*H24/1000,"")</f>
        <v/>
      </c>
      <c r="J24" s="386">
        <f>I24</f>
        <v/>
      </c>
      <c r="K24" s="14" t="n"/>
    </row>
    <row r="25" ht="31.2" customHeight="1">
      <c r="A25" s="349" t="n"/>
      <c r="B25" s="390" t="inlineStr">
        <is>
          <t>thịt xào su su</t>
        </is>
      </c>
      <c r="C25" s="328" t="inlineStr">
        <is>
          <t>NLT0076</t>
        </is>
      </c>
      <c r="D25" s="92" t="inlineStr">
        <is>
          <t>thịt lợn mông sấn</t>
        </is>
      </c>
      <c r="E25" s="7" t="n">
        <v>75</v>
      </c>
      <c r="F25" s="380" t="n">
        <v>2250</v>
      </c>
      <c r="G25" s="385">
        <f>E25*F25/1000</f>
        <v/>
      </c>
      <c r="H25" s="380" t="n">
        <v>101000</v>
      </c>
      <c r="I25" s="386">
        <f>IFERROR(E25*H25/1000,"")</f>
        <v/>
      </c>
      <c r="J25" s="386">
        <f>I25</f>
        <v/>
      </c>
      <c r="K25" s="14" t="n"/>
    </row>
    <row r="26" ht="31.2" customHeight="1">
      <c r="A26" s="349" t="n"/>
      <c r="B26" s="349" t="n"/>
      <c r="C26" s="328" t="inlineStr">
        <is>
          <t>NLR0165</t>
        </is>
      </c>
      <c r="D26" s="92" t="inlineStr">
        <is>
          <t>su su</t>
        </is>
      </c>
      <c r="E26" s="7" t="n">
        <v>40</v>
      </c>
      <c r="F26" s="380" t="n">
        <v>2250</v>
      </c>
      <c r="G26" s="385">
        <f>E26*F26/1000</f>
        <v/>
      </c>
      <c r="H26" s="380" t="n">
        <v>9000</v>
      </c>
      <c r="I26" s="386">
        <f>IFERROR(E26*H26/1000,"")</f>
        <v/>
      </c>
      <c r="J26" s="386">
        <f>I26</f>
        <v/>
      </c>
      <c r="K26" s="14" t="n"/>
    </row>
    <row r="27" ht="31.2" customHeight="1">
      <c r="A27" s="349" t="n"/>
      <c r="B27" s="346" t="n"/>
      <c r="C27" s="328" t="inlineStr">
        <is>
          <t>NLR0018</t>
        </is>
      </c>
      <c r="D27" s="92" t="inlineStr">
        <is>
          <t>cà rốt</t>
        </is>
      </c>
      <c r="E27" s="7" t="n">
        <v>10</v>
      </c>
      <c r="F27" s="380" t="n">
        <v>2250</v>
      </c>
      <c r="G27" s="385">
        <f>E27*F27/1000</f>
        <v/>
      </c>
      <c r="H27" s="380" t="n">
        <v>11000</v>
      </c>
      <c r="I27" s="386">
        <f>IFERROR(E27*H27/1000,"")</f>
        <v/>
      </c>
      <c r="J27" s="386">
        <f>I27</f>
        <v/>
      </c>
      <c r="K27" s="14" t="n"/>
    </row>
    <row r="28" ht="31.2" customHeight="1">
      <c r="A28" s="349" t="n"/>
      <c r="B28" s="328" t="inlineStr">
        <is>
          <t>lạc chao</t>
        </is>
      </c>
      <c r="C28" s="328" t="inlineStr">
        <is>
          <t>NLT0020</t>
        </is>
      </c>
      <c r="D28" s="78" t="inlineStr">
        <is>
          <t>lạc nhân</t>
        </is>
      </c>
      <c r="E28" s="7" t="n">
        <v>35</v>
      </c>
      <c r="F28" s="380" t="n">
        <v>2250</v>
      </c>
      <c r="G28" s="385">
        <f>E28*F28/1000</f>
        <v/>
      </c>
      <c r="H28" s="380" t="n">
        <v>50000</v>
      </c>
      <c r="I28" s="386">
        <f>IFERROR(E28*H28/1000,"")</f>
        <v/>
      </c>
      <c r="J28" s="386">
        <f>I28</f>
        <v/>
      </c>
      <c r="K28" s="14" t="n"/>
    </row>
    <row r="29" ht="31.2" customHeight="1">
      <c r="A29" s="190" t="n"/>
      <c r="B29" s="328" t="inlineStr">
        <is>
          <t>bắp cải luộc</t>
        </is>
      </c>
      <c r="C29" s="328" t="inlineStr">
        <is>
          <t>NLR0001</t>
        </is>
      </c>
      <c r="D29" s="259" t="inlineStr">
        <is>
          <t>bắp cải trắng</t>
        </is>
      </c>
      <c r="E29" s="7" t="n">
        <v>120</v>
      </c>
      <c r="F29" s="380" t="n">
        <v>2250</v>
      </c>
      <c r="G29" s="385">
        <f>E29*F29/1000</f>
        <v/>
      </c>
      <c r="H29" s="380" t="n">
        <v>9000</v>
      </c>
      <c r="I29" s="386">
        <f>IFERROR(E29*H29/1000,"")</f>
        <v/>
      </c>
      <c r="J29" s="386">
        <f>I29</f>
        <v/>
      </c>
      <c r="K29" s="14" t="n"/>
    </row>
    <row r="30" ht="31.2" customHeight="1">
      <c r="A30" s="190" t="n"/>
      <c r="B30" s="328" t="inlineStr">
        <is>
          <t>cơm trắng</t>
        </is>
      </c>
      <c r="C30" s="328" t="inlineStr">
        <is>
          <t>NLG0013</t>
        </is>
      </c>
      <c r="D30" s="93" t="inlineStr">
        <is>
          <t>gạo bắc hương</t>
        </is>
      </c>
      <c r="E30" s="7" t="n">
        <v>180</v>
      </c>
      <c r="F30" s="380" t="n">
        <v>2250</v>
      </c>
      <c r="G30" s="385">
        <f>E30*F30/1000</f>
        <v/>
      </c>
      <c r="H30" s="380" t="n">
        <v>13800</v>
      </c>
      <c r="I30" s="386">
        <f>IFERROR(E30*H30/1000,"")</f>
        <v/>
      </c>
      <c r="J30" s="386">
        <f>I30</f>
        <v/>
      </c>
      <c r="K30" s="14" t="n"/>
    </row>
    <row r="31" ht="31.8" customHeight="1">
      <c r="A31" s="190" t="n"/>
      <c r="B31" s="390" t="inlineStr">
        <is>
          <t>canh chua dứa giá</t>
        </is>
      </c>
      <c r="C31" s="328" t="inlineStr">
        <is>
          <t>NLR0058</t>
        </is>
      </c>
      <c r="D31" s="74" t="inlineStr">
        <is>
          <t>Dứa chín sơ chế (kg)</t>
        </is>
      </c>
      <c r="E31" s="7" t="n">
        <v>10</v>
      </c>
      <c r="F31" s="380" t="n">
        <v>2250</v>
      </c>
      <c r="G31" s="385">
        <f>E31*F31/1000</f>
        <v/>
      </c>
      <c r="H31" s="380" t="n">
        <v>28000</v>
      </c>
      <c r="I31" s="386">
        <f>IFERROR(E31*H31/1000,"")</f>
        <v/>
      </c>
      <c r="J31" s="386">
        <f>I31</f>
        <v/>
      </c>
      <c r="K31" s="14" t="n"/>
    </row>
    <row r="32" ht="31.8" customHeight="1">
      <c r="A32" s="190" t="n"/>
      <c r="B32" s="349" t="n"/>
      <c r="C32" s="328" t="inlineStr">
        <is>
          <t>NLR0076</t>
        </is>
      </c>
      <c r="D32" s="262" t="inlineStr">
        <is>
          <t>giá đỗ</t>
        </is>
      </c>
      <c r="E32" s="7" t="n">
        <v>10</v>
      </c>
      <c r="F32" s="380" t="n">
        <v>2250</v>
      </c>
      <c r="G32" s="385">
        <f>E32*F32/1000</f>
        <v/>
      </c>
      <c r="H32" s="380" t="n">
        <v>10000</v>
      </c>
      <c r="I32" s="386">
        <f>IFERROR(E32*H32/1000,"")</f>
        <v/>
      </c>
      <c r="J32" s="386">
        <f>I32</f>
        <v/>
      </c>
      <c r="K32" s="14" t="n"/>
    </row>
    <row r="33" ht="31.8" customHeight="1">
      <c r="A33" s="190" t="n"/>
      <c r="B33" s="346" t="n"/>
      <c r="C33" s="328" t="inlineStr">
        <is>
          <t>NLR0268</t>
        </is>
      </c>
      <c r="D33" s="92" t="inlineStr">
        <is>
          <t>cà chua to</t>
        </is>
      </c>
      <c r="E33" s="7" t="n">
        <v>3</v>
      </c>
      <c r="F33" s="380" t="n">
        <v>2250</v>
      </c>
      <c r="G33" s="385">
        <f>E33*F33/1000</f>
        <v/>
      </c>
      <c r="H33" s="380" t="n">
        <v>22000</v>
      </c>
      <c r="I33" s="386">
        <f>IFERROR(E33*H33/1000,"")</f>
        <v/>
      </c>
      <c r="J33" s="386">
        <f>I33</f>
        <v/>
      </c>
      <c r="K33" s="14" t="n"/>
    </row>
    <row r="34" ht="31.2" customHeight="1">
      <c r="A34" s="191" t="n"/>
      <c r="B34" s="330" t="inlineStr">
        <is>
          <t>sữa chua</t>
        </is>
      </c>
      <c r="C34" s="328" t="inlineStr">
        <is>
          <t>HHS0101</t>
        </is>
      </c>
      <c r="D34" s="74" t="inlineStr">
        <is>
          <t>Sữa chua elovi 95g *48 hộp/thùng</t>
        </is>
      </c>
      <c r="E34" s="4" t="n">
        <v>100</v>
      </c>
      <c r="F34" s="380" t="n">
        <v>2250</v>
      </c>
      <c r="G34" s="385">
        <f>E34*F34/1000</f>
        <v/>
      </c>
      <c r="H34" s="380" t="n">
        <v>3432</v>
      </c>
      <c r="I34" s="386">
        <f>IFERROR(E34*H34/1000,"")</f>
        <v/>
      </c>
      <c r="J34" s="386">
        <f>I34</f>
        <v/>
      </c>
      <c r="K34" s="14" t="n"/>
    </row>
    <row r="35" ht="31.2" customHeight="1">
      <c r="A35" s="50" t="inlineStr">
        <is>
          <t>Gia vị</t>
        </is>
      </c>
      <c r="B35" s="51" t="n"/>
      <c r="C35" s="51" t="n"/>
      <c r="D35" s="51" t="n"/>
      <c r="E35" s="51" t="n"/>
      <c r="F35" s="51" t="n"/>
      <c r="G35" s="51" t="n"/>
      <c r="H35" s="51" t="n"/>
      <c r="I35" s="52" t="n"/>
      <c r="J35" s="387" t="n">
        <v>1600</v>
      </c>
      <c r="N35" s="368" t="n"/>
    </row>
    <row r="36" ht="31.2" customHeight="1">
      <c r="A36" s="40" t="n"/>
      <c r="B36" s="41" t="n"/>
      <c r="C36" s="41" t="n"/>
      <c r="D36" s="41" t="inlineStr">
        <is>
          <t>Gas</t>
        </is>
      </c>
      <c r="E36" s="41" t="n"/>
      <c r="F36" s="41" t="n"/>
      <c r="G36" s="41" t="n"/>
      <c r="H36" s="41" t="n"/>
      <c r="I36" s="42" t="n"/>
      <c r="J36" s="387" t="n">
        <v>2500</v>
      </c>
      <c r="N36" s="368" t="n"/>
    </row>
    <row r="37" ht="31.2" customHeight="1">
      <c r="A37" s="40" t="n"/>
      <c r="B37" s="41" t="n"/>
      <c r="C37" s="41" t="n"/>
      <c r="D37" s="41" t="inlineStr">
        <is>
          <t>Chi Phí khay, đũa</t>
        </is>
      </c>
      <c r="E37" s="41" t="n"/>
      <c r="F37" s="41" t="n"/>
      <c r="G37" s="41" t="n"/>
      <c r="H37" s="41" t="n"/>
      <c r="I37" s="42" t="n"/>
      <c r="J37" s="387" t="n">
        <v>2500</v>
      </c>
      <c r="N37" s="368" t="n"/>
    </row>
    <row r="38" ht="31.2" customHeight="1">
      <c r="A38" s="50" t="inlineStr">
        <is>
          <t>Tổng chi phí TĐ 1</t>
        </is>
      </c>
      <c r="B38" s="51" t="n"/>
      <c r="C38" s="51" t="n"/>
      <c r="D38" s="51" t="n"/>
      <c r="E38" s="51" t="n"/>
      <c r="F38" s="51" t="n"/>
      <c r="G38" s="51" t="n"/>
      <c r="H38" s="51" t="n"/>
      <c r="I38" s="52" t="n"/>
      <c r="J38" s="389">
        <f>SUM(J21:J37)</f>
        <v/>
      </c>
      <c r="K38" s="1" t="inlineStr">
        <is>
          <t> </t>
        </is>
      </c>
    </row>
    <row r="39" ht="31.2" customHeight="1">
      <c r="A39" s="50" t="inlineStr">
        <is>
          <t>Cost TĐ 1</t>
        </is>
      </c>
      <c r="B39" s="51" t="n"/>
      <c r="C39" s="51" t="n"/>
      <c r="D39" s="51" t="n"/>
      <c r="E39" s="51" t="n"/>
      <c r="F39" s="51" t="n"/>
      <c r="G39" s="51" t="n"/>
      <c r="H39" s="51" t="n"/>
      <c r="I39" s="52" t="n"/>
      <c r="J39" s="25">
        <f>J38/40000</f>
        <v/>
      </c>
    </row>
    <row r="40">
      <c r="A40" s="28" t="n"/>
      <c r="B40" s="28" t="n"/>
      <c r="C40" s="28" t="n"/>
      <c r="D40" s="28" t="n"/>
      <c r="E40" s="28" t="n"/>
      <c r="F40" s="28" t="n"/>
      <c r="G40" s="28" t="n"/>
      <c r="H40" s="28" t="n"/>
      <c r="I40" s="28" t="n"/>
      <c r="J40" s="29" t="n"/>
    </row>
    <row r="41">
      <c r="A41" s="268" t="inlineStr">
        <is>
          <t>THỰC ĐƠN CA Chiều 40.000Đ</t>
        </is>
      </c>
      <c r="B41" s="268" t="n"/>
      <c r="C41" s="268" t="n"/>
      <c r="D41" s="268" t="n"/>
      <c r="E41" s="268" t="n"/>
      <c r="F41" s="268" t="n"/>
      <c r="G41" s="268" t="n"/>
      <c r="H41" s="268" t="n"/>
      <c r="I41" s="268" t="n"/>
      <c r="J41" s="268" t="n"/>
    </row>
    <row r="42" ht="52.2" customFormat="1" customHeight="1" s="14">
      <c r="A42" s="12" t="inlineStr">
        <is>
          <t>Cơ cấu</t>
        </is>
      </c>
      <c r="B42" s="12" t="inlineStr">
        <is>
          <t>Món ăn</t>
        </is>
      </c>
      <c r="C42" s="12" t="inlineStr">
        <is>
          <t>Mã hàng</t>
        </is>
      </c>
      <c r="D42" s="12" t="inlineStr">
        <is>
          <t>Nguyên liệu</t>
        </is>
      </c>
      <c r="E42" s="12" t="inlineStr">
        <is>
          <t>Định lượng sống</t>
        </is>
      </c>
      <c r="F42" s="384" t="inlineStr">
        <is>
          <t>Số suất</t>
        </is>
      </c>
      <c r="G42" s="12" t="inlineStr">
        <is>
          <t>Gọi hàng</t>
        </is>
      </c>
      <c r="H42" s="384" t="inlineStr">
        <is>
          <t>Đơn giá</t>
        </is>
      </c>
      <c r="I42" s="12" t="inlineStr">
        <is>
          <t>Thành tiền</t>
        </is>
      </c>
      <c r="J42" s="12" t="inlineStr">
        <is>
          <t>Tổng</t>
        </is>
      </c>
      <c r="L42" s="16" t="n"/>
      <c r="M42" s="369" t="n"/>
      <c r="Q42" s="370" t="n"/>
    </row>
    <row r="43" ht="29.4" customHeight="1">
      <c r="A43" s="328" t="n"/>
      <c r="B43" s="328" t="inlineStr">
        <is>
          <t>bò kho củ cải</t>
        </is>
      </c>
      <c r="C43" s="328" t="inlineStr">
        <is>
          <t>NLT0435</t>
        </is>
      </c>
      <c r="D43" s="68" t="inlineStr">
        <is>
          <t>Thịt dẻ sườn trâu 123</t>
        </is>
      </c>
      <c r="E43" s="4" t="n">
        <v>70</v>
      </c>
      <c r="F43" s="391" t="n">
        <v>2120</v>
      </c>
      <c r="G43" s="385">
        <f>E43*F43/1000</f>
        <v/>
      </c>
      <c r="H43" s="380" t="n">
        <v>120000</v>
      </c>
      <c r="I43" s="386">
        <f>IFERROR(E43*H43/1000,"")</f>
        <v/>
      </c>
      <c r="J43" s="386">
        <f>I43</f>
        <v/>
      </c>
    </row>
    <row r="44" ht="29.4" customHeight="1">
      <c r="A44" s="349" t="n"/>
      <c r="B44" s="349" t="n"/>
      <c r="C44" s="328" t="inlineStr">
        <is>
          <t>NLR0044</t>
        </is>
      </c>
      <c r="D44" s="74" t="inlineStr">
        <is>
          <t>củ cải</t>
        </is>
      </c>
      <c r="E44" s="4" t="n">
        <v>35</v>
      </c>
      <c r="F44" s="391" t="n">
        <v>2120</v>
      </c>
      <c r="G44" s="385">
        <f>E44*F44/1000</f>
        <v/>
      </c>
      <c r="H44" s="380" t="n">
        <v>8000</v>
      </c>
      <c r="I44" s="386">
        <f>IFERROR(E44*H44/1000,"")</f>
        <v/>
      </c>
      <c r="J44" s="386">
        <f>I44</f>
        <v/>
      </c>
    </row>
    <row r="45" ht="29.4" customHeight="1">
      <c r="A45" s="349" t="n"/>
      <c r="B45" s="349" t="n"/>
      <c r="C45" s="328" t="inlineStr">
        <is>
          <t>NLR0153</t>
        </is>
      </c>
      <c r="D45" s="68" t="inlineStr">
        <is>
          <t>rau mùi ta</t>
        </is>
      </c>
      <c r="E45" s="4" t="n">
        <v>1</v>
      </c>
      <c r="F45" s="391" t="n">
        <v>2120</v>
      </c>
      <c r="G45" s="385">
        <f>E45*F45/1000</f>
        <v/>
      </c>
      <c r="H45" s="380" t="n">
        <v>15000</v>
      </c>
      <c r="I45" s="386">
        <f>IFERROR(E45*H45/1000,"")</f>
        <v/>
      </c>
      <c r="J45" s="386">
        <f>I45</f>
        <v/>
      </c>
    </row>
    <row r="46" ht="29.4" customHeight="1">
      <c r="A46" s="349" t="n"/>
      <c r="B46" s="328" t="inlineStr">
        <is>
          <t>chả cá sốt thì là</t>
        </is>
      </c>
      <c r="C46" s="328" t="inlineStr">
        <is>
          <t>NLS0410</t>
        </is>
      </c>
      <c r="D46" s="68" t="inlineStr">
        <is>
          <t>chả cá thì là</t>
        </is>
      </c>
      <c r="E46" s="4" t="n">
        <v>60</v>
      </c>
      <c r="F46" s="391" t="n">
        <v>2120</v>
      </c>
      <c r="G46" s="385">
        <f>E46*F46/1000</f>
        <v/>
      </c>
      <c r="H46" s="380" t="n">
        <v>65000</v>
      </c>
      <c r="I46" s="386">
        <f>IFERROR(E46*H46/1000,"")</f>
        <v/>
      </c>
      <c r="J46" s="386">
        <f>I46</f>
        <v/>
      </c>
    </row>
    <row r="47" ht="29.4" customHeight="1">
      <c r="A47" s="349" t="n"/>
      <c r="B47" s="349" t="n"/>
      <c r="C47" s="328" t="inlineStr">
        <is>
          <t>NLR0268</t>
        </is>
      </c>
      <c r="D47" s="68" t="inlineStr">
        <is>
          <t>cà chua to</t>
        </is>
      </c>
      <c r="E47" s="4" t="n">
        <v>5</v>
      </c>
      <c r="F47" s="391" t="n">
        <v>2120</v>
      </c>
      <c r="G47" s="385">
        <f>E47*F47/1000</f>
        <v/>
      </c>
      <c r="H47" s="380" t="n">
        <v>22000</v>
      </c>
      <c r="I47" s="386">
        <f>IFERROR(E47*H47/1000,"")</f>
        <v/>
      </c>
      <c r="J47" s="386">
        <f>I47</f>
        <v/>
      </c>
    </row>
    <row r="48" ht="29.4" customHeight="1">
      <c r="A48" s="349" t="n"/>
      <c r="B48" s="349" t="n"/>
      <c r="C48" s="328" t="inlineStr">
        <is>
          <t>NLR0174</t>
        </is>
      </c>
      <c r="D48" s="68" t="inlineStr">
        <is>
          <t>thì là</t>
        </is>
      </c>
      <c r="E48" s="4" t="n">
        <v>1</v>
      </c>
      <c r="F48" s="391" t="n">
        <v>2120</v>
      </c>
      <c r="G48" s="385">
        <f>E48*F48/1000</f>
        <v/>
      </c>
      <c r="H48" s="380" t="n">
        <v>20000</v>
      </c>
      <c r="I48" s="386">
        <f>IFERROR(E48*H48/1000,"")</f>
        <v/>
      </c>
      <c r="J48" s="386">
        <f>I48</f>
        <v/>
      </c>
    </row>
    <row r="49" ht="29.4" customHeight="1">
      <c r="A49" s="349" t="n"/>
      <c r="B49" s="390" t="inlineStr">
        <is>
          <t>thịt băm om chuối</t>
        </is>
      </c>
      <c r="C49" s="328" t="inlineStr">
        <is>
          <t>NLT0076</t>
        </is>
      </c>
      <c r="D49" s="78" t="inlineStr">
        <is>
          <t>thịt lợn mông sấn</t>
        </is>
      </c>
      <c r="E49" s="4" t="n">
        <v>20</v>
      </c>
      <c r="F49" s="391" t="n">
        <v>2120</v>
      </c>
      <c r="G49" s="385">
        <f>E49*F49/1000</f>
        <v/>
      </c>
      <c r="H49" s="380" t="n">
        <v>101000</v>
      </c>
      <c r="I49" s="386">
        <f>IFERROR(E49*H49/1000,"")</f>
        <v/>
      </c>
      <c r="J49" s="386">
        <f>I49</f>
        <v/>
      </c>
    </row>
    <row r="50" ht="29.4" customHeight="1">
      <c r="A50" s="329" t="n"/>
      <c r="B50" s="349" t="n"/>
      <c r="C50" s="328" t="inlineStr">
        <is>
          <t>NLR0051</t>
        </is>
      </c>
      <c r="D50" s="68" t="inlineStr">
        <is>
          <t>Chuối xanh</t>
        </is>
      </c>
      <c r="E50" s="4" t="n">
        <v>70</v>
      </c>
      <c r="F50" s="391" t="n">
        <v>2120</v>
      </c>
      <c r="G50" s="385">
        <f>E50*F50/1000</f>
        <v/>
      </c>
      <c r="H50" s="380" t="n">
        <v>8000</v>
      </c>
      <c r="I50" s="386">
        <f>IFERROR(E50*H50/1000,"")</f>
        <v/>
      </c>
      <c r="J50" s="386">
        <f>I50</f>
        <v/>
      </c>
    </row>
    <row r="51" ht="29.4" customHeight="1">
      <c r="A51" s="329" t="n"/>
      <c r="B51" s="346" t="n"/>
      <c r="C51" s="328" t="inlineStr">
        <is>
          <t>NLR0170</t>
        </is>
      </c>
      <c r="D51" s="68" t="inlineStr">
        <is>
          <t>tía tô</t>
        </is>
      </c>
      <c r="E51" s="4" t="n">
        <v>1</v>
      </c>
      <c r="F51" s="391" t="n">
        <v>2120</v>
      </c>
      <c r="G51" s="385">
        <f>E51*F51/1000</f>
        <v/>
      </c>
      <c r="H51" s="380" t="n">
        <v>25000</v>
      </c>
      <c r="I51" s="386">
        <f>IFERROR(E51*H51/1000,"")</f>
        <v/>
      </c>
      <c r="J51" s="386">
        <f>I51</f>
        <v/>
      </c>
    </row>
    <row r="52" ht="29.4" customHeight="1">
      <c r="A52" s="190" t="n"/>
      <c r="B52" s="328" t="inlineStr">
        <is>
          <t>đỗ cove luộc</t>
        </is>
      </c>
      <c r="C52" s="328" t="inlineStr">
        <is>
          <t>NLR0068</t>
        </is>
      </c>
      <c r="D52" s="68" t="inlineStr">
        <is>
          <t>đậu cô ve</t>
        </is>
      </c>
      <c r="E52" s="4" t="n">
        <v>100</v>
      </c>
      <c r="F52" s="391" t="n">
        <v>2120</v>
      </c>
      <c r="G52" s="385">
        <f>E52*F52/1000</f>
        <v/>
      </c>
      <c r="H52" s="380" t="n">
        <v>18000</v>
      </c>
      <c r="I52" s="386">
        <f>IFERROR(E52*H52/1000,"")</f>
        <v/>
      </c>
      <c r="J52" s="386">
        <f>I52</f>
        <v/>
      </c>
    </row>
    <row r="53" ht="29.4" customHeight="1">
      <c r="A53" s="190" t="n"/>
      <c r="B53" s="328" t="inlineStr">
        <is>
          <t>cơm trắng</t>
        </is>
      </c>
      <c r="C53" s="328" t="inlineStr">
        <is>
          <t>NLG0013</t>
        </is>
      </c>
      <c r="D53" s="11" t="inlineStr">
        <is>
          <t>gạo bắc hương</t>
        </is>
      </c>
      <c r="E53" s="4" t="n">
        <v>180</v>
      </c>
      <c r="F53" s="391" t="n">
        <v>2120</v>
      </c>
      <c r="G53" s="385">
        <f>E53*F53/1000</f>
        <v/>
      </c>
      <c r="H53" s="380" t="n">
        <v>13800</v>
      </c>
      <c r="I53" s="386">
        <f>IFERROR(E53*H53/1000,"")</f>
        <v/>
      </c>
      <c r="J53" s="386">
        <f>I53</f>
        <v/>
      </c>
    </row>
    <row r="54" ht="29.4" customHeight="1">
      <c r="A54" s="191" t="n"/>
      <c r="B54" s="328" t="inlineStr">
        <is>
          <t>canh cải ngọt</t>
        </is>
      </c>
      <c r="C54" s="328" t="inlineStr">
        <is>
          <t>NLR0032</t>
        </is>
      </c>
      <c r="D54" s="74" t="inlineStr">
        <is>
          <t>cải ngọt cắt gốc</t>
        </is>
      </c>
      <c r="E54" s="4" t="n">
        <v>15</v>
      </c>
      <c r="F54" s="391" t="n">
        <v>2120</v>
      </c>
      <c r="G54" s="385">
        <f>E54*F54/1000</f>
        <v/>
      </c>
      <c r="H54" s="380" t="n">
        <v>11000</v>
      </c>
      <c r="I54" s="386">
        <f>IFERROR(E54*H54/1000,"")</f>
        <v/>
      </c>
      <c r="J54" s="386">
        <f>I54</f>
        <v/>
      </c>
    </row>
    <row r="55" ht="29.4" customHeight="1">
      <c r="A55" s="37" t="inlineStr">
        <is>
          <t xml:space="preserve">Tráng miệng </t>
        </is>
      </c>
      <c r="B55" s="330" t="inlineStr">
        <is>
          <t>cam</t>
        </is>
      </c>
      <c r="C55" s="328" t="inlineStr">
        <is>
          <t>NLQ0006</t>
        </is>
      </c>
      <c r="D55" s="68" t="inlineStr">
        <is>
          <t>quả cam</t>
        </is>
      </c>
      <c r="E55" s="4" t="n">
        <v>110</v>
      </c>
      <c r="F55" s="391" t="n">
        <v>2120</v>
      </c>
      <c r="G55" s="385">
        <f>E55*F55/1000</f>
        <v/>
      </c>
      <c r="H55" s="380" t="n">
        <v>18000</v>
      </c>
      <c r="I55" s="386">
        <f>IFERROR(E55*H55/1000,"")</f>
        <v/>
      </c>
      <c r="J55" s="386">
        <f>I55</f>
        <v/>
      </c>
      <c r="L55" s="2" t="n"/>
      <c r="M55" s="2" t="n"/>
    </row>
    <row r="56" ht="29.4" customHeight="1">
      <c r="A56" s="50" t="inlineStr">
        <is>
          <t>Gia vị</t>
        </is>
      </c>
      <c r="B56" s="51" t="n"/>
      <c r="C56" s="51" t="n"/>
      <c r="D56" s="51" t="n"/>
      <c r="E56" s="51" t="n"/>
      <c r="F56" s="51" t="n"/>
      <c r="G56" s="51" t="n"/>
      <c r="H56" s="51" t="n"/>
      <c r="I56" s="52" t="n"/>
      <c r="J56" s="387" t="n">
        <v>1600</v>
      </c>
    </row>
    <row r="57" ht="29.4" customHeight="1">
      <c r="A57" s="40" t="n"/>
      <c r="B57" s="41" t="n"/>
      <c r="C57" s="41" t="n"/>
      <c r="D57" s="41" t="inlineStr">
        <is>
          <t>Gas</t>
        </is>
      </c>
      <c r="E57" s="41" t="n"/>
      <c r="F57" s="41" t="n"/>
      <c r="G57" s="41" t="n"/>
      <c r="H57" s="41" t="n"/>
      <c r="I57" s="42" t="n"/>
      <c r="J57" s="387" t="n">
        <v>2500</v>
      </c>
    </row>
    <row r="58">
      <c r="A58" s="40" t="n"/>
      <c r="B58" s="41" t="n"/>
      <c r="C58" s="41" t="n"/>
      <c r="D58" s="41" t="inlineStr">
        <is>
          <t>Chi Phí khay ,đũa</t>
        </is>
      </c>
      <c r="E58" s="41" t="n"/>
      <c r="F58" s="41" t="n"/>
      <c r="G58" s="41" t="n"/>
      <c r="H58" s="41" t="n"/>
      <c r="I58" s="42" t="n"/>
      <c r="J58" s="387" t="n">
        <v>2500</v>
      </c>
    </row>
    <row r="59" ht="18" customHeight="1">
      <c r="A59" s="50" t="inlineStr">
        <is>
          <t>Tổng chi phí TĐ 1</t>
        </is>
      </c>
      <c r="B59" s="51" t="n"/>
      <c r="C59" s="51" t="n"/>
      <c r="D59" s="51" t="n"/>
      <c r="E59" s="51" t="n"/>
      <c r="F59" s="51" t="n"/>
      <c r="G59" s="51" t="n"/>
      <c r="H59" s="51" t="n"/>
      <c r="I59" s="52" t="n"/>
      <c r="J59" s="389">
        <f>SUM(J43:J58)</f>
        <v/>
      </c>
    </row>
    <row r="60">
      <c r="A60" s="50" t="inlineStr">
        <is>
          <t>Cost TĐ 1</t>
        </is>
      </c>
      <c r="B60" s="51" t="n"/>
      <c r="C60" s="51" t="n"/>
      <c r="D60" s="51" t="n"/>
      <c r="E60" s="51" t="n"/>
      <c r="F60" s="51" t="n"/>
      <c r="G60" s="51" t="n"/>
      <c r="H60" s="51" t="n"/>
      <c r="I60" s="52" t="n"/>
      <c r="J60" s="57">
        <f>J59/40000</f>
        <v/>
      </c>
    </row>
    <row r="61">
      <c r="A61" s="22" t="n"/>
      <c r="B61" s="22" t="n"/>
      <c r="C61" s="27" t="n"/>
      <c r="D61" s="10" t="n"/>
      <c r="E61" s="10" t="n"/>
      <c r="F61" s="10" t="n"/>
      <c r="G61" s="10" t="n"/>
      <c r="H61" s="10" t="n"/>
      <c r="I61" s="10" t="n"/>
      <c r="J61" s="10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L62" s="371">
        <f>(J59+J38+J16+J76)/140000</f>
        <v/>
      </c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</row>
    <row r="64" ht="18" customHeight="1">
      <c r="A64" s="334" t="inlineStr">
        <is>
          <t>THỰC ĐƠN CA ĐÊM 40.000Đ VIN ALPHA</t>
        </is>
      </c>
      <c r="B64" s="358" t="n"/>
      <c r="C64" s="181" t="n"/>
      <c r="D64" s="181" t="n"/>
      <c r="E64" s="181" t="n"/>
      <c r="F64" s="181" t="n"/>
      <c r="G64" s="181" t="n"/>
      <c r="H64" s="181" t="n"/>
      <c r="I64" s="181" t="n"/>
      <c r="J64" s="181" t="n"/>
    </row>
    <row r="65" ht="52.2" customFormat="1" customHeight="1" s="14">
      <c r="A65" s="12" t="inlineStr">
        <is>
          <t>Cơ cấu</t>
        </is>
      </c>
      <c r="B65" s="12" t="inlineStr">
        <is>
          <t>Món ăn</t>
        </is>
      </c>
      <c r="C65" s="12" t="inlineStr">
        <is>
          <t>Mã hàng</t>
        </is>
      </c>
      <c r="D65" s="12" t="inlineStr">
        <is>
          <t>Nguyên liệu</t>
        </is>
      </c>
      <c r="E65" s="12" t="inlineStr">
        <is>
          <t>Định lượng sống</t>
        </is>
      </c>
      <c r="F65" s="384" t="inlineStr">
        <is>
          <t>Số suất</t>
        </is>
      </c>
      <c r="G65" s="12" t="inlineStr">
        <is>
          <t>Gọi hàng</t>
        </is>
      </c>
      <c r="H65" s="384" t="inlineStr">
        <is>
          <t>Đơn giá</t>
        </is>
      </c>
      <c r="I65" s="12" t="inlineStr">
        <is>
          <t>Thành tiền</t>
        </is>
      </c>
      <c r="J65" s="12" t="inlineStr">
        <is>
          <t>Tổng</t>
        </is>
      </c>
      <c r="L65" s="16" t="n"/>
      <c r="M65" s="369" t="n"/>
      <c r="Q65" s="370" t="n"/>
    </row>
    <row r="66" ht="29.4" customHeight="1">
      <c r="A66" s="328" t="n"/>
      <c r="B66" s="328" t="inlineStr">
        <is>
          <t>bánh cuốn chả mực + thịt nướng</t>
        </is>
      </c>
      <c r="C66" s="328" t="inlineStr">
        <is>
          <t>NLG0043</t>
        </is>
      </c>
      <c r="D66" s="74" t="inlineStr">
        <is>
          <t>Bánh cuốn</t>
        </is>
      </c>
      <c r="E66" s="4" t="n">
        <v>255</v>
      </c>
      <c r="F66" s="380" t="n">
        <v>550</v>
      </c>
      <c r="G66" s="385">
        <f>E66*F66/1000</f>
        <v/>
      </c>
      <c r="H66" s="380" t="n">
        <v>30000</v>
      </c>
      <c r="I66" s="386">
        <f>IFERROR(E66*H66/1000,"")</f>
        <v/>
      </c>
      <c r="J66" s="386">
        <f>I66</f>
        <v/>
      </c>
    </row>
    <row r="67" ht="29.4" customHeight="1">
      <c r="A67" s="349" t="n"/>
      <c r="B67" s="349" t="n"/>
      <c r="C67" s="261" t="n"/>
      <c r="D67" s="68" t="inlineStr">
        <is>
          <t>chả mực</t>
        </is>
      </c>
      <c r="E67" s="4" t="n">
        <v>30</v>
      </c>
      <c r="F67" s="380" t="n">
        <v>550</v>
      </c>
      <c r="G67" s="385">
        <f>E67*F67/1000</f>
        <v/>
      </c>
      <c r="H67" s="380" t="n">
        <v>200000</v>
      </c>
      <c r="I67" s="386">
        <f>IFERROR(E67*H67/1000,"")</f>
        <v/>
      </c>
      <c r="J67" s="386">
        <f>I67</f>
        <v/>
      </c>
    </row>
    <row r="68" ht="29.4" customHeight="1">
      <c r="A68" s="349" t="n"/>
      <c r="B68" s="349" t="n"/>
      <c r="C68" s="328" t="inlineStr">
        <is>
          <t>NLT0076</t>
        </is>
      </c>
      <c r="D68" s="74" t="inlineStr">
        <is>
          <t>thịt lợn mông sấn</t>
        </is>
      </c>
      <c r="E68" s="4" t="n">
        <v>75</v>
      </c>
      <c r="F68" s="380" t="n">
        <v>550</v>
      </c>
      <c r="G68" s="385">
        <f>E68*F68/1000</f>
        <v/>
      </c>
      <c r="H68" s="380" t="n">
        <v>101000</v>
      </c>
      <c r="I68" s="386">
        <f>IFERROR(E68*H68/1000,"")</f>
        <v/>
      </c>
      <c r="J68" s="386">
        <f>I68</f>
        <v/>
      </c>
    </row>
    <row r="69" ht="29.4" customHeight="1">
      <c r="A69" s="349" t="n"/>
      <c r="B69" s="349" t="n"/>
      <c r="C69" s="328" t="inlineStr">
        <is>
          <t>NLR0175</t>
        </is>
      </c>
      <c r="D69" s="123" t="inlineStr">
        <is>
          <t>sả củ</t>
        </is>
      </c>
      <c r="E69" s="4" t="n">
        <v>1</v>
      </c>
      <c r="F69" s="380" t="n">
        <v>550</v>
      </c>
      <c r="G69" s="385">
        <f>E69*F69/1000</f>
        <v/>
      </c>
      <c r="H69" s="380" t="n">
        <v>15000</v>
      </c>
      <c r="I69" s="386">
        <f>IFERROR(E69*H69/1000,"")</f>
        <v/>
      </c>
      <c r="J69" s="386">
        <f>I69</f>
        <v/>
      </c>
    </row>
    <row r="70" ht="29.4" customHeight="1">
      <c r="A70" s="349" t="n"/>
      <c r="B70" s="349" t="n"/>
      <c r="C70" s="328" t="inlineStr">
        <is>
          <t>NLR0170</t>
        </is>
      </c>
      <c r="D70" s="123" t="inlineStr">
        <is>
          <t>tía tô</t>
        </is>
      </c>
      <c r="E70" s="4" t="n">
        <v>5</v>
      </c>
      <c r="F70" s="380" t="n">
        <v>550</v>
      </c>
      <c r="G70" s="385">
        <f>E70*F70/1000</f>
        <v/>
      </c>
      <c r="H70" s="380" t="n">
        <v>25000</v>
      </c>
      <c r="I70" s="386">
        <f>IFERROR(E70*H70/1000,"")</f>
        <v/>
      </c>
      <c r="J70" s="386">
        <f>I70</f>
        <v/>
      </c>
    </row>
    <row r="71" ht="29.4" customHeight="1">
      <c r="A71" s="349" t="n"/>
      <c r="B71" s="349" t="n"/>
      <c r="C71" s="328" t="inlineStr">
        <is>
          <t>NLR0092</t>
        </is>
      </c>
      <c r="D71" s="98" t="inlineStr">
        <is>
          <t>kinh giới</t>
        </is>
      </c>
      <c r="E71" s="4" t="n">
        <v>5</v>
      </c>
      <c r="F71" s="380" t="n">
        <v>550</v>
      </c>
      <c r="G71" s="385">
        <f>E71*F71/1000</f>
        <v/>
      </c>
      <c r="H71" s="380" t="n">
        <v>19000</v>
      </c>
      <c r="I71" s="386">
        <f>IFERROR(E71*H71/1000,"")</f>
        <v/>
      </c>
      <c r="J71" s="386">
        <f>I71</f>
        <v/>
      </c>
    </row>
    <row r="72" ht="29.4" customHeight="1">
      <c r="A72" s="349" t="n"/>
      <c r="B72" s="349" t="n"/>
      <c r="C72" s="328" t="inlineStr">
        <is>
          <t>NLR0144</t>
        </is>
      </c>
      <c r="D72" s="125" t="inlineStr">
        <is>
          <t>húng bạc hà</t>
        </is>
      </c>
      <c r="E72" s="4" t="n">
        <v>3</v>
      </c>
      <c r="F72" s="380" t="n">
        <v>550</v>
      </c>
      <c r="G72" s="385">
        <f>E72*F72/1000</f>
        <v/>
      </c>
      <c r="H72" s="380" t="n">
        <v>30000</v>
      </c>
      <c r="I72" s="386">
        <f>IFERROR(E72*H72/1000,"")</f>
        <v/>
      </c>
      <c r="J72" s="386">
        <f>I72</f>
        <v/>
      </c>
    </row>
    <row r="73" ht="46.8" customHeight="1">
      <c r="A73" s="50" t="inlineStr">
        <is>
          <t>Gia vị</t>
        </is>
      </c>
      <c r="B73" s="51" t="n"/>
      <c r="C73" s="51" t="n"/>
      <c r="D73" s="51" t="n"/>
      <c r="E73" s="51" t="n"/>
      <c r="F73" s="51" t="n"/>
      <c r="G73" s="51" t="n"/>
      <c r="H73" s="51" t="n"/>
      <c r="I73" s="52" t="n"/>
      <c r="J73" s="387" t="n">
        <v>1600</v>
      </c>
    </row>
    <row r="74" ht="29.4" customHeight="1">
      <c r="A74" s="40" t="n"/>
      <c r="B74" s="41" t="n"/>
      <c r="C74" s="41" t="n"/>
      <c r="D74" s="41" t="inlineStr">
        <is>
          <t>Gas</t>
        </is>
      </c>
      <c r="E74" s="41" t="n"/>
      <c r="F74" s="41" t="n"/>
      <c r="G74" s="41" t="n"/>
      <c r="H74" s="41" t="n"/>
      <c r="I74" s="42" t="n"/>
      <c r="J74" s="387" t="n">
        <v>2500</v>
      </c>
    </row>
    <row r="75">
      <c r="A75" s="40" t="n"/>
      <c r="B75" s="41" t="n"/>
      <c r="C75" s="41" t="n"/>
      <c r="D75" s="41" t="inlineStr">
        <is>
          <t>Chi Phí khay ,đũa</t>
        </is>
      </c>
      <c r="E75" s="41" t="n"/>
      <c r="F75" s="41" t="n"/>
      <c r="G75" s="41" t="n"/>
      <c r="H75" s="41" t="n"/>
      <c r="I75" s="42" t="n"/>
      <c r="J75" s="387" t="n">
        <v>1500</v>
      </c>
    </row>
    <row r="76" ht="18" customHeight="1">
      <c r="A76" s="50" t="inlineStr">
        <is>
          <t>Tổng chi phí TĐ 1</t>
        </is>
      </c>
      <c r="B76" s="51" t="n"/>
      <c r="C76" s="51" t="n"/>
      <c r="D76" s="51" t="n"/>
      <c r="E76" s="51" t="n"/>
      <c r="F76" s="51" t="n"/>
      <c r="G76" s="51" t="n"/>
      <c r="H76" s="51" t="n"/>
      <c r="I76" s="52" t="n"/>
      <c r="J76" s="389">
        <f>SUM(J66:J75)</f>
        <v/>
      </c>
    </row>
    <row r="77">
      <c r="A77" s="50" t="inlineStr">
        <is>
          <t>Cost TĐ 1</t>
        </is>
      </c>
      <c r="B77" s="51" t="n"/>
      <c r="C77" s="51" t="n"/>
      <c r="D77" s="51" t="n"/>
      <c r="E77" s="51" t="n"/>
      <c r="F77" s="51" t="n"/>
      <c r="G77" s="51" t="n"/>
      <c r="H77" s="51" t="n"/>
      <c r="I77" s="52" t="n"/>
      <c r="J77" s="57">
        <f>J76/40000</f>
        <v/>
      </c>
    </row>
    <row r="78">
      <c r="A78" s="22" t="n"/>
      <c r="B78" s="22" t="n"/>
      <c r="C78" s="27" t="n"/>
      <c r="D78" s="10" t="n"/>
      <c r="E78" s="10" t="n"/>
      <c r="F78" s="10" t="n"/>
      <c r="G78" s="10" t="n"/>
      <c r="H78" s="10" t="n"/>
      <c r="I78" s="10" t="n"/>
      <c r="J78" s="10" t="n"/>
    </row>
    <row r="79"/>
    <row r="80"/>
    <row r="81"/>
    <row r="82" ht="32.4" customHeight="1"/>
    <row r="83" ht="18" customHeight="1">
      <c r="A83" s="334" t="inlineStr">
        <is>
          <t>THỰC ĐƠN CA ĐÊM 30K SGC</t>
        </is>
      </c>
      <c r="B83" s="358" t="n"/>
      <c r="C83" s="181" t="n"/>
      <c r="D83" s="181" t="n"/>
      <c r="E83" s="181" t="n"/>
      <c r="F83" s="181" t="n"/>
      <c r="G83" s="181" t="n"/>
      <c r="H83" s="181" t="n"/>
      <c r="I83" s="181" t="n"/>
      <c r="J83" s="181" t="n"/>
    </row>
    <row r="84" ht="52.2" customFormat="1" customHeight="1" s="14">
      <c r="A84" s="12" t="inlineStr">
        <is>
          <t>Cơ cấu</t>
        </is>
      </c>
      <c r="B84" s="12" t="inlineStr">
        <is>
          <t>Món ăn</t>
        </is>
      </c>
      <c r="C84" s="12" t="inlineStr">
        <is>
          <t>Mã hàng</t>
        </is>
      </c>
      <c r="D84" s="12" t="inlineStr">
        <is>
          <t>Nguyên liệu</t>
        </is>
      </c>
      <c r="E84" s="12" t="inlineStr">
        <is>
          <t>Định lượng sống</t>
        </is>
      </c>
      <c r="F84" s="384" t="inlineStr">
        <is>
          <t>Số suất</t>
        </is>
      </c>
      <c r="G84" s="12" t="inlineStr">
        <is>
          <t>Gọi hàng</t>
        </is>
      </c>
      <c r="H84" s="384" t="inlineStr">
        <is>
          <t>Đơn giá</t>
        </is>
      </c>
      <c r="I84" s="12" t="inlineStr">
        <is>
          <t>Thành tiền</t>
        </is>
      </c>
      <c r="J84" s="12" t="inlineStr">
        <is>
          <t>Tổng</t>
        </is>
      </c>
      <c r="L84" s="16" t="n"/>
      <c r="M84" s="369" t="n"/>
      <c r="Q84" s="370" t="n"/>
    </row>
    <row r="85" ht="29.4" customHeight="1">
      <c r="A85" s="328" t="n"/>
      <c r="B85" s="328" t="inlineStr">
        <is>
          <t>bánh cuốn chả mực+ thịt nướng</t>
        </is>
      </c>
      <c r="C85" s="328" t="inlineStr">
        <is>
          <t>NLG0043</t>
        </is>
      </c>
      <c r="D85" s="74" t="inlineStr">
        <is>
          <t>Bánh cuốn</t>
        </is>
      </c>
      <c r="E85" s="4" t="n">
        <v>245</v>
      </c>
      <c r="F85" s="380" t="n">
        <v>650</v>
      </c>
      <c r="G85" s="385">
        <f>E85*F85/1000</f>
        <v/>
      </c>
      <c r="H85" s="380" t="n">
        <v>30000</v>
      </c>
      <c r="I85" s="386">
        <f>IFERROR(E85*H85/1000,"")</f>
        <v/>
      </c>
      <c r="J85" s="386">
        <f>I85</f>
        <v/>
      </c>
    </row>
    <row r="86" ht="29.4" customHeight="1">
      <c r="A86" s="349" t="n"/>
      <c r="B86" s="349" t="n"/>
      <c r="C86" s="261" t="n"/>
      <c r="D86" s="68" t="inlineStr">
        <is>
          <t>chả mực</t>
        </is>
      </c>
      <c r="E86" s="4" t="n">
        <v>25</v>
      </c>
      <c r="F86" s="380" t="n">
        <v>650</v>
      </c>
      <c r="G86" s="385">
        <f>E86*F86/1000</f>
        <v/>
      </c>
      <c r="H86" s="380" t="n">
        <v>200000</v>
      </c>
      <c r="I86" s="386">
        <f>IFERROR(E86*H86/1000,"")</f>
        <v/>
      </c>
      <c r="J86" s="386">
        <f>I86</f>
        <v/>
      </c>
    </row>
    <row r="87" ht="29.4" customHeight="1">
      <c r="A87" s="349" t="n"/>
      <c r="B87" s="349" t="n"/>
      <c r="C87" s="328" t="inlineStr">
        <is>
          <t>NLT0076</t>
        </is>
      </c>
      <c r="D87" s="123" t="inlineStr">
        <is>
          <t>thịt lợn mông sấn</t>
        </is>
      </c>
      <c r="E87" s="4" t="n">
        <v>55</v>
      </c>
      <c r="F87" s="380" t="n">
        <v>650</v>
      </c>
      <c r="G87" s="385">
        <f>E87*F87/1000</f>
        <v/>
      </c>
      <c r="H87" s="380" t="n">
        <v>101000</v>
      </c>
      <c r="I87" s="386">
        <f>IFERROR(E87*H87/1000,"")</f>
        <v/>
      </c>
      <c r="J87" s="386">
        <f>I87</f>
        <v/>
      </c>
    </row>
    <row r="88" ht="29.4" customHeight="1">
      <c r="A88" s="349" t="n"/>
      <c r="B88" s="349" t="n"/>
      <c r="C88" s="328" t="inlineStr">
        <is>
          <t>NLR0170</t>
        </is>
      </c>
      <c r="D88" s="123" t="inlineStr">
        <is>
          <t>tía tô</t>
        </is>
      </c>
      <c r="E88" s="4" t="n">
        <v>3</v>
      </c>
      <c r="F88" s="380" t="n">
        <v>650</v>
      </c>
      <c r="G88" s="385">
        <f>E88*F88/1000</f>
        <v/>
      </c>
      <c r="H88" s="380" t="n">
        <v>25000</v>
      </c>
      <c r="I88" s="386">
        <f>IFERROR(E88*H88/1000,"")</f>
        <v/>
      </c>
      <c r="J88" s="386">
        <f>I88</f>
        <v/>
      </c>
    </row>
    <row r="89" ht="29.4" customHeight="1">
      <c r="A89" s="349" t="n"/>
      <c r="B89" s="349" t="n"/>
      <c r="C89" s="328" t="inlineStr">
        <is>
          <t>NLR0092</t>
        </is>
      </c>
      <c r="D89" s="98" t="inlineStr">
        <is>
          <t>kinh giới</t>
        </is>
      </c>
      <c r="E89" s="4" t="n">
        <v>5</v>
      </c>
      <c r="F89" s="380" t="n">
        <v>650</v>
      </c>
      <c r="G89" s="385">
        <f>E89*F89/1000</f>
        <v/>
      </c>
      <c r="H89" s="380" t="n">
        <v>19000</v>
      </c>
      <c r="I89" s="386">
        <f>IFERROR(E89*H89/1000,"")</f>
        <v/>
      </c>
      <c r="J89" s="386">
        <f>I89</f>
        <v/>
      </c>
    </row>
    <row r="90" ht="29.4" customHeight="1">
      <c r="A90" s="50" t="inlineStr">
        <is>
          <t>Gia vị</t>
        </is>
      </c>
      <c r="B90" s="51" t="n"/>
      <c r="C90" s="51" t="n"/>
      <c r="D90" s="51" t="n"/>
      <c r="E90" s="51" t="n"/>
      <c r="F90" s="51" t="n"/>
      <c r="G90" s="51" t="n"/>
      <c r="H90" s="51" t="n"/>
      <c r="I90" s="52" t="n"/>
      <c r="J90" s="387" t="n">
        <v>1600</v>
      </c>
    </row>
    <row r="91" ht="29.4" customHeight="1">
      <c r="A91" s="40" t="n"/>
      <c r="B91" s="41" t="n"/>
      <c r="C91" s="41" t="n"/>
      <c r="D91" s="41" t="inlineStr">
        <is>
          <t>Gas</t>
        </is>
      </c>
      <c r="E91" s="41" t="n"/>
      <c r="F91" s="41" t="n"/>
      <c r="G91" s="41" t="n"/>
      <c r="H91" s="41" t="n"/>
      <c r="I91" s="42" t="n"/>
      <c r="J91" s="387" t="n">
        <v>2500</v>
      </c>
    </row>
    <row r="92">
      <c r="A92" s="40" t="n"/>
      <c r="B92" s="41" t="n"/>
      <c r="C92" s="41" t="n"/>
      <c r="D92" s="41" t="inlineStr">
        <is>
          <t>Chi Phí khay ,đũa</t>
        </is>
      </c>
      <c r="E92" s="41" t="n"/>
      <c r="F92" s="41" t="n"/>
      <c r="G92" s="41" t="n"/>
      <c r="H92" s="41" t="n"/>
      <c r="I92" s="42" t="n"/>
      <c r="J92" s="387" t="n">
        <v>1600</v>
      </c>
    </row>
    <row r="93" ht="18" customHeight="1">
      <c r="A93" s="50" t="inlineStr">
        <is>
          <t>Tổng chi phí TĐ 1</t>
        </is>
      </c>
      <c r="B93" s="51" t="n"/>
      <c r="C93" s="51" t="n"/>
      <c r="D93" s="51" t="n"/>
      <c r="E93" s="51" t="n"/>
      <c r="F93" s="51" t="n"/>
      <c r="G93" s="51" t="n"/>
      <c r="H93" s="51" t="n"/>
      <c r="I93" s="52" t="n"/>
      <c r="J93" s="389">
        <f>SUM(J85:J92)</f>
        <v/>
      </c>
    </row>
    <row r="94">
      <c r="A94" s="50" t="inlineStr">
        <is>
          <t>Cost TĐ 1</t>
        </is>
      </c>
      <c r="B94" s="51" t="n"/>
      <c r="C94" s="51" t="n"/>
      <c r="D94" s="51" t="n"/>
      <c r="E94" s="51" t="n"/>
      <c r="F94" s="51" t="n"/>
      <c r="G94" s="51" t="n"/>
      <c r="H94" s="51" t="n"/>
      <c r="I94" s="52" t="n"/>
      <c r="J94" s="57">
        <f>J93/30000</f>
        <v/>
      </c>
    </row>
    <row r="95">
      <c r="A95" s="22" t="n"/>
      <c r="B95" s="22" t="n"/>
      <c r="C95" s="27" t="n"/>
      <c r="D95" s="10" t="n"/>
      <c r="E95" s="10" t="n"/>
      <c r="F95" s="10" t="n"/>
      <c r="G95" s="10" t="n"/>
      <c r="H95" s="10" t="n"/>
      <c r="I95" s="10" t="n"/>
      <c r="J95" s="10" t="n"/>
    </row>
    <row r="96"/>
    <row r="97">
      <c r="D97" s="266" t="inlineStr">
        <is>
          <t>Đặt thêm cho anh 3kg chả mực</t>
        </is>
      </c>
    </row>
  </sheetData>
  <mergeCells count="18">
    <mergeCell ref="B5:B11"/>
    <mergeCell ref="A43:A49"/>
    <mergeCell ref="A16:B16"/>
    <mergeCell ref="B31:B33"/>
    <mergeCell ref="A64:B64"/>
    <mergeCell ref="B49:B51"/>
    <mergeCell ref="A66:A72"/>
    <mergeCell ref="B66:B72"/>
    <mergeCell ref="B43:B45"/>
    <mergeCell ref="A21:A28"/>
    <mergeCell ref="B21:B24"/>
    <mergeCell ref="B25:B27"/>
    <mergeCell ref="B46:B48"/>
    <mergeCell ref="A2:J2"/>
    <mergeCell ref="A85:A89"/>
    <mergeCell ref="B85:B89"/>
    <mergeCell ref="A83:B83"/>
    <mergeCell ref="A5:A11"/>
  </mergeCells>
  <pageMargins left="0.7" right="0.7" top="0.75" bottom="0.75" header="0.3" footer="0.3"/>
  <pageSetup orientation="portrait" paperSize="9" scale="5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94"/>
  <sheetViews>
    <sheetView topLeftCell="A75" zoomScale="72" zoomScaleNormal="72" workbookViewId="0">
      <selection activeCell="E74" sqref="E74"/>
    </sheetView>
  </sheetViews>
  <sheetFormatPr baseColWidth="8" defaultColWidth="8.88671875" defaultRowHeight="18"/>
  <cols>
    <col width="20.109375" bestFit="1" customWidth="1" style="14" min="1" max="1"/>
    <col width="25.88671875" customWidth="1" style="23" min="2" max="2"/>
    <col width="23.6640625" customWidth="1" style="14" min="3" max="3"/>
    <col width="29.6640625" customWidth="1" style="139" min="4" max="4"/>
    <col width="12.88671875" customWidth="1" style="8" min="5" max="5"/>
    <col width="11.5546875" customWidth="1" style="357" min="6" max="6"/>
    <col width="12.44140625" customWidth="1" style="8" min="7" max="7"/>
    <col width="13.21875" customWidth="1" style="357" min="8" max="8"/>
    <col width="12.44140625" customWidth="1" style="8" min="9" max="9"/>
    <col width="13.44140625" customWidth="1" style="1" min="10" max="10"/>
    <col width="7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>
      <c r="A2" s="336" t="inlineStr">
        <is>
          <t>Bữa Sáng 20.000Đ</t>
        </is>
      </c>
      <c r="B2" s="358" t="n"/>
      <c r="C2" s="49" t="n"/>
      <c r="D2" s="155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52.2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31" t="inlineStr">
        <is>
          <t>Nguyên liệu</t>
        </is>
      </c>
      <c r="E3" s="12" t="inlineStr">
        <is>
          <t>Định lượng sống</t>
        </is>
      </c>
      <c r="F3" s="384" t="inlineStr">
        <is>
          <t>Số suất</t>
        </is>
      </c>
      <c r="G3" s="12" t="inlineStr">
        <is>
          <t>Gọi hàng</t>
        </is>
      </c>
      <c r="H3" s="384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30" customHeight="1">
      <c r="A4" s="328" t="n"/>
      <c r="B4" s="328" t="inlineStr">
        <is>
          <t>cháo thịt băm
trứng vịt lộn
quẩy</t>
        </is>
      </c>
      <c r="C4" s="328" t="inlineStr">
        <is>
          <t>NLG0005</t>
        </is>
      </c>
      <c r="D4" s="149" t="inlineStr">
        <is>
          <t>gạo khang dân</t>
        </is>
      </c>
      <c r="E4" s="4" t="n">
        <v>45</v>
      </c>
      <c r="F4" s="380" t="n">
        <v>2150</v>
      </c>
      <c r="G4" s="385">
        <f>E4*F4/1000</f>
        <v/>
      </c>
      <c r="H4" s="380" t="n">
        <v>12500</v>
      </c>
      <c r="I4" s="386">
        <f>IFERROR(E4*H4/1000,"")</f>
        <v/>
      </c>
      <c r="J4" s="386">
        <f>I4</f>
        <v/>
      </c>
    </row>
    <row r="5" ht="30" customHeight="1">
      <c r="A5" s="349" t="n"/>
      <c r="B5" s="349" t="n"/>
      <c r="C5" s="328" t="inlineStr">
        <is>
          <t>NLG0006</t>
        </is>
      </c>
      <c r="D5" s="74" t="inlineStr">
        <is>
          <t>gạo nếp</t>
        </is>
      </c>
      <c r="E5" s="4" t="n">
        <v>5</v>
      </c>
      <c r="F5" s="380" t="n">
        <v>2150</v>
      </c>
      <c r="G5" s="385">
        <f>E5*F5/1000</f>
        <v/>
      </c>
      <c r="H5" s="380" t="n">
        <v>35000</v>
      </c>
      <c r="I5" s="386">
        <f>IFERROR(E5*H5/1000,"")</f>
        <v/>
      </c>
      <c r="J5" s="386">
        <f>I5</f>
        <v/>
      </c>
    </row>
    <row r="6" ht="30" customHeight="1">
      <c r="A6" s="349" t="n"/>
      <c r="B6" s="349" t="n"/>
      <c r="C6" s="328" t="n"/>
      <c r="D6" s="126" t="inlineStr">
        <is>
          <t>thịt lợn mông sấn</t>
        </is>
      </c>
      <c r="E6" s="4" t="n">
        <v>40</v>
      </c>
      <c r="F6" s="380" t="n">
        <v>2150</v>
      </c>
      <c r="G6" s="385">
        <f>E6*F6/1000</f>
        <v/>
      </c>
      <c r="H6" s="380" t="n">
        <v>35000</v>
      </c>
      <c r="I6" s="386">
        <f>IFERROR(E6*H6/1000,"")</f>
        <v/>
      </c>
      <c r="J6" s="386">
        <f>I6</f>
        <v/>
      </c>
    </row>
    <row r="7" ht="30" customHeight="1">
      <c r="A7" s="349" t="n"/>
      <c r="B7" s="349" t="n"/>
      <c r="C7" s="328" t="inlineStr">
        <is>
          <t>NPG0066</t>
        </is>
      </c>
      <c r="D7" s="143" t="inlineStr">
        <is>
          <t>hành khô</t>
        </is>
      </c>
      <c r="E7" s="4" t="n">
        <v>5</v>
      </c>
      <c r="F7" s="380" t="n">
        <v>2150</v>
      </c>
      <c r="G7" s="385">
        <f>E7*F7/1000</f>
        <v/>
      </c>
      <c r="H7" s="380" t="n">
        <v>22000</v>
      </c>
      <c r="I7" s="386">
        <f>IFERROR(E7*H7/1000,"")</f>
        <v/>
      </c>
      <c r="J7" s="386">
        <f>I7</f>
        <v/>
      </c>
    </row>
    <row r="8" ht="30" customHeight="1">
      <c r="A8" s="349" t="n"/>
      <c r="B8" s="349" t="n"/>
      <c r="C8" s="328" t="inlineStr">
        <is>
          <t>NLR0079</t>
        </is>
      </c>
      <c r="D8" s="149" t="inlineStr">
        <is>
          <t>hành lá</t>
        </is>
      </c>
      <c r="E8" s="4" t="n">
        <v>3</v>
      </c>
      <c r="F8" s="380" t="n">
        <v>2150</v>
      </c>
      <c r="G8" s="385">
        <f>E8*F8/1000</f>
        <v/>
      </c>
      <c r="H8" s="380" t="n">
        <v>14000</v>
      </c>
      <c r="I8" s="386">
        <f>IFERROR(E8*H8/1000,"")</f>
        <v/>
      </c>
      <c r="J8" s="386">
        <f>I8</f>
        <v/>
      </c>
    </row>
    <row r="9" ht="30" customHeight="1">
      <c r="A9" s="349" t="n"/>
      <c r="B9" s="349" t="n"/>
      <c r="C9" s="328" t="inlineStr">
        <is>
          <t>NLR0154</t>
        </is>
      </c>
      <c r="D9" s="149" t="inlineStr">
        <is>
          <t>rau mùi tàu</t>
        </is>
      </c>
      <c r="E9" s="4" t="n">
        <v>1</v>
      </c>
      <c r="F9" s="380" t="n">
        <v>2150</v>
      </c>
      <c r="G9" s="385">
        <f>E9*F9/1000</f>
        <v/>
      </c>
      <c r="H9" s="380" t="n">
        <v>25000</v>
      </c>
      <c r="I9" s="386">
        <f>IFERROR(E9*H9/1000,"")</f>
        <v/>
      </c>
      <c r="J9" s="386">
        <f>I9</f>
        <v/>
      </c>
    </row>
    <row r="10" ht="30" customHeight="1">
      <c r="A10" s="349" t="n"/>
      <c r="B10" s="349" t="n"/>
      <c r="C10" s="328" t="inlineStr">
        <is>
          <t>NLT0105</t>
        </is>
      </c>
      <c r="D10" s="149" t="inlineStr">
        <is>
          <t>trứng vịt lộn</t>
        </is>
      </c>
      <c r="E10" s="4" t="n">
        <v>1100</v>
      </c>
      <c r="F10" s="380" t="n">
        <v>2150</v>
      </c>
      <c r="G10" s="385">
        <f>E10*F10/1000</f>
        <v/>
      </c>
      <c r="H10" s="380" t="n">
        <v>3900</v>
      </c>
      <c r="I10" s="386">
        <f>IFERROR(E10*H10/1000,"")</f>
        <v/>
      </c>
      <c r="J10" s="386">
        <f>I10</f>
        <v/>
      </c>
    </row>
    <row r="11" ht="30" customHeight="1">
      <c r="A11" s="349" t="n"/>
      <c r="B11" s="349" t="n"/>
      <c r="C11" s="328" t="inlineStr">
        <is>
          <t>NPG0361</t>
        </is>
      </c>
      <c r="D11" s="149" t="inlineStr">
        <is>
          <t>quẩy</t>
        </is>
      </c>
      <c r="E11" s="4" t="n">
        <v>1300</v>
      </c>
      <c r="F11" s="380" t="n">
        <v>2150</v>
      </c>
      <c r="G11" s="385">
        <f>E11*F11/1000</f>
        <v/>
      </c>
      <c r="H11" s="380" t="n">
        <v>1300</v>
      </c>
      <c r="I11" s="386">
        <f>IFERROR(E11*H11/1000,"")</f>
        <v/>
      </c>
      <c r="J11" s="386">
        <f>I11</f>
        <v/>
      </c>
    </row>
    <row r="12" ht="30" customHeight="1">
      <c r="A12" s="50" t="inlineStr">
        <is>
          <t>Gia vị</t>
        </is>
      </c>
      <c r="B12" s="51" t="n"/>
      <c r="C12" s="51" t="n"/>
      <c r="D12" s="132" t="n"/>
      <c r="E12" s="51" t="n"/>
      <c r="F12" s="51" t="n"/>
      <c r="G12" s="51" t="n"/>
      <c r="H12" s="51" t="n"/>
      <c r="I12" s="52" t="n"/>
      <c r="J12" s="386" t="n">
        <v>800</v>
      </c>
    </row>
    <row r="13">
      <c r="A13" s="40" t="n"/>
      <c r="B13" s="41" t="n"/>
      <c r="C13" s="41" t="n"/>
      <c r="D13" s="133" t="inlineStr">
        <is>
          <t>GAS</t>
        </is>
      </c>
      <c r="E13" s="41" t="n"/>
      <c r="F13" s="41" t="n"/>
      <c r="G13" s="41" t="n"/>
      <c r="H13" s="41" t="n"/>
      <c r="I13" s="42" t="n"/>
      <c r="J13" s="386" t="n">
        <v>1250</v>
      </c>
    </row>
    <row r="14">
      <c r="A14" s="40" t="n"/>
      <c r="B14" s="41" t="n"/>
      <c r="C14" s="41" t="n"/>
      <c r="D14" s="133" t="inlineStr">
        <is>
          <t>Chi phí khay,đũa</t>
        </is>
      </c>
      <c r="E14" s="41" t="n"/>
      <c r="F14" s="41" t="n"/>
      <c r="G14" s="41" t="n"/>
      <c r="H14" s="41" t="n"/>
      <c r="I14" s="42" t="n"/>
      <c r="J14" s="386" t="n">
        <v>2500</v>
      </c>
    </row>
    <row r="15" ht="39.6" customHeight="1">
      <c r="A15" s="50" t="inlineStr">
        <is>
          <t>Tổng chi phí TĐ 1</t>
        </is>
      </c>
      <c r="B15" s="51" t="n"/>
      <c r="C15" s="51" t="n"/>
      <c r="D15" s="132" t="n"/>
      <c r="E15" s="51" t="n"/>
      <c r="F15" s="51" t="n"/>
      <c r="G15" s="51" t="n"/>
      <c r="H15" s="51" t="n"/>
      <c r="I15" s="52" t="n"/>
      <c r="J15" s="386">
        <f>SUM(J4:J14)</f>
        <v/>
      </c>
    </row>
    <row r="16">
      <c r="A16" s="50" t="inlineStr">
        <is>
          <t>Cost TĐ 1</t>
        </is>
      </c>
      <c r="B16" s="51" t="n"/>
      <c r="C16" s="51" t="n"/>
      <c r="D16" s="132" t="n"/>
      <c r="E16" s="51" t="n"/>
      <c r="F16" s="51" t="n"/>
      <c r="G16" s="51" t="n"/>
      <c r="H16" s="51" t="n"/>
      <c r="I16" s="52" t="n"/>
      <c r="J16" s="25">
        <f>J15/20000</f>
        <v/>
      </c>
    </row>
    <row r="17">
      <c r="A17" s="23" t="n"/>
      <c r="C17" s="23" t="n"/>
      <c r="D17" s="193" t="n"/>
      <c r="E17" s="23" t="n"/>
      <c r="F17" s="23" t="n"/>
      <c r="G17" s="23" t="n"/>
      <c r="H17" s="23" t="n"/>
      <c r="I17" s="23" t="n"/>
      <c r="J17" s="194" t="n"/>
    </row>
    <row r="18" ht="36" customHeight="1"/>
    <row r="19">
      <c r="A19" s="49" t="inlineStr">
        <is>
          <t>CHIẾT TÍNH THỰC ĐƠN CA Trưa 40.000đ</t>
        </is>
      </c>
      <c r="B19" s="49" t="n"/>
      <c r="C19" s="49" t="n"/>
      <c r="D19" s="155" t="n"/>
      <c r="E19" s="49" t="n"/>
      <c r="F19" s="49" t="n"/>
      <c r="G19" s="49" t="n"/>
      <c r="H19" s="49" t="n"/>
      <c r="I19" s="49" t="n"/>
      <c r="J19" s="49" t="n"/>
    </row>
    <row r="20" ht="52.2" customFormat="1" customHeight="1" s="14">
      <c r="A20" s="12" t="inlineStr">
        <is>
          <t>Cơ cấu</t>
        </is>
      </c>
      <c r="B20" s="12" t="inlineStr">
        <is>
          <t>Món ăn</t>
        </is>
      </c>
      <c r="C20" s="12" t="inlineStr">
        <is>
          <t>Mã hàng</t>
        </is>
      </c>
      <c r="D20" s="131" t="inlineStr">
        <is>
          <t>Nguyên liệu</t>
        </is>
      </c>
      <c r="E20" s="12" t="inlineStr">
        <is>
          <t>Định lượng sống</t>
        </is>
      </c>
      <c r="F20" s="384" t="inlineStr">
        <is>
          <t>Số suất</t>
        </is>
      </c>
      <c r="G20" s="12" t="inlineStr">
        <is>
          <t>Gọi hàng</t>
        </is>
      </c>
      <c r="H20" s="384" t="inlineStr">
        <is>
          <t>Đơn giá</t>
        </is>
      </c>
      <c r="I20" s="12" t="inlineStr">
        <is>
          <t>Thành tiền</t>
        </is>
      </c>
      <c r="J20" s="12" t="inlineStr">
        <is>
          <t>Tổng</t>
        </is>
      </c>
    </row>
    <row r="21" ht="36" customHeight="1">
      <c r="A21" s="328" t="n"/>
      <c r="B21" s="330" t="inlineStr">
        <is>
          <t>cá nục kho cay</t>
        </is>
      </c>
      <c r="C21" s="330" t="inlineStr">
        <is>
          <t>NLT0501</t>
        </is>
      </c>
      <c r="D21" s="68" t="inlineStr">
        <is>
          <t>Cá nục gai sơ chế bỏ đầu</t>
        </is>
      </c>
      <c r="E21" s="7" t="n">
        <v>170</v>
      </c>
      <c r="F21" s="380" t="n">
        <v>2200</v>
      </c>
      <c r="G21" s="385">
        <f>E21*F21/1000</f>
        <v/>
      </c>
      <c r="H21" s="380" t="n">
        <v>44000</v>
      </c>
      <c r="I21" s="386">
        <f>IFERROR(E21*H21/1000,"")</f>
        <v/>
      </c>
      <c r="J21" s="386">
        <f>I21</f>
        <v/>
      </c>
      <c r="K21" s="14" t="n"/>
      <c r="L21" s="380" t="n"/>
    </row>
    <row r="22" ht="36" customHeight="1">
      <c r="A22" s="328" t="n"/>
      <c r="B22" s="382" t="n"/>
      <c r="C22" s="330" t="inlineStr">
        <is>
          <t>NLR0175</t>
        </is>
      </c>
      <c r="D22" s="68" t="inlineStr">
        <is>
          <t>sả củ</t>
        </is>
      </c>
      <c r="E22" s="7" t="n">
        <v>3</v>
      </c>
      <c r="F22" s="380" t="n">
        <v>2200</v>
      </c>
      <c r="G22" s="385">
        <f>E22*F22/1000</f>
        <v/>
      </c>
      <c r="H22" s="380" t="n">
        <v>15000</v>
      </c>
      <c r="I22" s="386">
        <f>IFERROR(E22*H22/1000,"")</f>
        <v/>
      </c>
      <c r="J22" s="386">
        <f>I22</f>
        <v/>
      </c>
      <c r="K22" s="14" t="n"/>
      <c r="L22" s="381" t="n"/>
    </row>
    <row r="23" ht="36" customHeight="1">
      <c r="A23" s="328" t="n"/>
      <c r="B23" s="366" t="n"/>
      <c r="C23" s="330" t="inlineStr">
        <is>
          <t>NLR0073</t>
        </is>
      </c>
      <c r="D23" s="68" t="inlineStr">
        <is>
          <t>gừng củ</t>
        </is>
      </c>
      <c r="E23" s="7" t="n">
        <v>2</v>
      </c>
      <c r="F23" s="380" t="n">
        <v>2200</v>
      </c>
      <c r="G23" s="385">
        <f>E23*F23/1000</f>
        <v/>
      </c>
      <c r="H23" s="380" t="n">
        <v>22000</v>
      </c>
      <c r="I23" s="386">
        <f>IFERROR(E23*H23/1000,"")</f>
        <v/>
      </c>
      <c r="J23" s="386">
        <f>I23</f>
        <v/>
      </c>
      <c r="K23" s="14" t="n"/>
      <c r="L23" s="381" t="n"/>
    </row>
    <row r="24" ht="36" customHeight="1">
      <c r="A24" s="328" t="n"/>
      <c r="B24" s="390" t="inlineStr">
        <is>
          <t>thịt xào măng giá</t>
        </is>
      </c>
      <c r="C24" s="330" t="inlineStr">
        <is>
          <t>NLT0076</t>
        </is>
      </c>
      <c r="D24" s="68" t="inlineStr">
        <is>
          <t>thịt lợn mông sấn</t>
        </is>
      </c>
      <c r="E24" s="7" t="n">
        <v>70</v>
      </c>
      <c r="F24" s="380" t="n">
        <v>2200</v>
      </c>
      <c r="G24" s="385">
        <f>E24*F24/1000</f>
        <v/>
      </c>
      <c r="H24" s="380" t="n">
        <v>101000</v>
      </c>
      <c r="I24" s="386">
        <f>IFERROR(E24*H24/1000,"")</f>
        <v/>
      </c>
      <c r="J24" s="386">
        <f>I24</f>
        <v/>
      </c>
      <c r="K24" s="14" t="n"/>
      <c r="L24" s="381" t="n"/>
    </row>
    <row r="25" ht="36" customHeight="1">
      <c r="A25" s="328" t="n"/>
      <c r="B25" s="349" t="n"/>
      <c r="C25" s="330" t="inlineStr">
        <is>
          <t>NLR0111</t>
        </is>
      </c>
      <c r="D25" s="68" t="inlineStr">
        <is>
          <t>măng lá</t>
        </is>
      </c>
      <c r="E25" s="7" t="n">
        <v>30</v>
      </c>
      <c r="F25" s="380" t="n">
        <v>2200</v>
      </c>
      <c r="G25" s="385">
        <f>E25*F25/1000</f>
        <v/>
      </c>
      <c r="H25" s="380" t="n">
        <v>31000</v>
      </c>
      <c r="I25" s="386">
        <f>IFERROR(E25*H25/1000,"")</f>
        <v/>
      </c>
      <c r="J25" s="386">
        <f>I25</f>
        <v/>
      </c>
      <c r="K25" s="14" t="n"/>
      <c r="L25" s="381" t="n"/>
    </row>
    <row r="26" ht="36" customHeight="1">
      <c r="A26" s="328" t="n"/>
      <c r="B26" s="349" t="n"/>
      <c r="C26" s="330" t="inlineStr">
        <is>
          <t>NLR0076</t>
        </is>
      </c>
      <c r="D26" s="267" t="inlineStr">
        <is>
          <t>giá đỗ</t>
        </is>
      </c>
      <c r="E26" s="7" t="n">
        <v>20</v>
      </c>
      <c r="F26" s="380" t="n">
        <v>2200</v>
      </c>
      <c r="G26" s="385">
        <f>E26*F26/1000</f>
        <v/>
      </c>
      <c r="H26" s="380" t="n">
        <v>10000</v>
      </c>
      <c r="I26" s="386">
        <f>IFERROR(E26*H26/1000,"")</f>
        <v/>
      </c>
      <c r="J26" s="386">
        <f>I26</f>
        <v/>
      </c>
      <c r="K26" s="14" t="n"/>
      <c r="L26" s="381" t="n"/>
    </row>
    <row r="27" ht="36" customHeight="1">
      <c r="A27" s="328" t="n"/>
      <c r="B27" s="346" t="n"/>
      <c r="C27" s="330" t="inlineStr">
        <is>
          <t>NLR0154</t>
        </is>
      </c>
      <c r="D27" s="68" t="inlineStr">
        <is>
          <t>rau mùi tàu</t>
        </is>
      </c>
      <c r="E27" s="7" t="n">
        <v>1</v>
      </c>
      <c r="F27" s="380" t="n">
        <v>2200</v>
      </c>
      <c r="G27" s="385">
        <f>E27*F27/1000</f>
        <v/>
      </c>
      <c r="H27" s="380" t="n">
        <v>25000</v>
      </c>
      <c r="I27" s="386">
        <f>IFERROR(E27*H27/1000,"")</f>
        <v/>
      </c>
      <c r="J27" s="386">
        <f>I27</f>
        <v/>
      </c>
      <c r="K27" s="14" t="n"/>
      <c r="L27" s="381" t="n"/>
    </row>
    <row r="28" ht="36" customHeight="1">
      <c r="A28" s="328" t="n"/>
      <c r="B28" s="390" t="inlineStr">
        <is>
          <t>đậu sốt cà chua</t>
        </is>
      </c>
      <c r="C28" s="330" t="inlineStr">
        <is>
          <t>NLT0011</t>
        </is>
      </c>
      <c r="D28" s="267" t="inlineStr">
        <is>
          <t>đậu phụ kg</t>
        </is>
      </c>
      <c r="E28" s="7" t="n">
        <v>95</v>
      </c>
      <c r="F28" s="380" t="n">
        <v>2200</v>
      </c>
      <c r="G28" s="385">
        <f>E28*F28/1000</f>
        <v/>
      </c>
      <c r="H28" s="380" t="n">
        <v>17000</v>
      </c>
      <c r="I28" s="386">
        <f>IFERROR(E28*H28/1000,"")</f>
        <v/>
      </c>
      <c r="J28" s="386">
        <f>I28</f>
        <v/>
      </c>
      <c r="K28" s="14" t="n"/>
    </row>
    <row r="29" ht="36" customHeight="1">
      <c r="A29" s="328" t="n"/>
      <c r="B29" s="346" t="n"/>
      <c r="C29" s="330" t="inlineStr">
        <is>
          <t>NLR0268</t>
        </is>
      </c>
      <c r="D29" s="68" t="inlineStr">
        <is>
          <t>cà chua to</t>
        </is>
      </c>
      <c r="E29" s="7" t="n">
        <v>5</v>
      </c>
      <c r="F29" s="380" t="n">
        <v>2200</v>
      </c>
      <c r="G29" s="385">
        <f>E29*F29/1000</f>
        <v/>
      </c>
      <c r="H29" s="380" t="n">
        <v>22000</v>
      </c>
      <c r="I29" s="386">
        <f>IFERROR(E29*H29/1000,"")</f>
        <v/>
      </c>
      <c r="J29" s="386">
        <f>I29</f>
        <v/>
      </c>
      <c r="K29" s="14" t="n"/>
    </row>
    <row r="30" ht="36" customHeight="1">
      <c r="A30" s="328" t="n"/>
      <c r="B30" s="324" t="inlineStr">
        <is>
          <t>Cải ngọt luộc</t>
        </is>
      </c>
      <c r="C30" s="330" t="n"/>
      <c r="D30" s="201" t="inlineStr">
        <is>
          <t>cải ngọt cắt gốc</t>
        </is>
      </c>
      <c r="E30" s="7" t="n">
        <v>120</v>
      </c>
      <c r="F30" s="380" t="n">
        <v>2200</v>
      </c>
      <c r="G30" s="385">
        <f>E30*F30/1000</f>
        <v/>
      </c>
      <c r="H30" s="380" t="n">
        <v>10000</v>
      </c>
      <c r="I30" s="386">
        <f>IFERROR(E30*H30/1000,"")</f>
        <v/>
      </c>
      <c r="J30" s="386">
        <f>I30</f>
        <v/>
      </c>
      <c r="K30" s="14" t="n"/>
    </row>
    <row r="31" ht="24" customHeight="1">
      <c r="A31" s="328" t="n"/>
      <c r="B31" s="38" t="inlineStr">
        <is>
          <t>cơm trắng</t>
        </is>
      </c>
      <c r="C31" s="330" t="inlineStr">
        <is>
          <t>NLG0013</t>
        </is>
      </c>
      <c r="D31" s="127" t="inlineStr">
        <is>
          <t>gạo bắc hương</t>
        </is>
      </c>
      <c r="E31" s="7" t="n">
        <v>180</v>
      </c>
      <c r="F31" s="380" t="n">
        <v>2200</v>
      </c>
      <c r="G31" s="385">
        <f>E31*F31/1000</f>
        <v/>
      </c>
      <c r="H31" s="380" t="n">
        <v>13800</v>
      </c>
      <c r="I31" s="386">
        <f>IFERROR(E31*H31/1000,"")</f>
        <v/>
      </c>
      <c r="J31" s="386">
        <f>I31</f>
        <v/>
      </c>
      <c r="K31" s="14" t="n"/>
      <c r="O31" s="1">
        <f>95+85</f>
        <v/>
      </c>
    </row>
    <row r="32" ht="24" customHeight="1">
      <c r="A32" s="328" t="n"/>
      <c r="B32" s="38" t="inlineStr">
        <is>
          <t>canh rau ngót</t>
        </is>
      </c>
      <c r="C32" s="330" t="inlineStr">
        <is>
          <t>NLR0157</t>
        </is>
      </c>
      <c r="D32" s="68" t="inlineStr">
        <is>
          <t>Rau ngót</t>
        </is>
      </c>
      <c r="E32" s="7" t="n">
        <v>10</v>
      </c>
      <c r="F32" s="380" t="n">
        <v>2200</v>
      </c>
      <c r="G32" s="385">
        <f>E32*F32/1000</f>
        <v/>
      </c>
      <c r="H32" s="380" t="n">
        <v>17000</v>
      </c>
      <c r="I32" s="386">
        <f>IFERROR(E32*H32/1000,"")</f>
        <v/>
      </c>
      <c r="J32" s="386">
        <f>I32</f>
        <v/>
      </c>
      <c r="K32" s="14" t="n"/>
      <c r="O32" s="1">
        <f>79*25</f>
        <v/>
      </c>
    </row>
    <row r="33" ht="24" customHeight="1">
      <c r="A33" s="37" t="n"/>
      <c r="B33" s="330" t="inlineStr">
        <is>
          <t>chuối</t>
        </is>
      </c>
      <c r="C33" s="330" t="inlineStr">
        <is>
          <t>NLQ0011</t>
        </is>
      </c>
      <c r="D33" s="267" t="inlineStr">
        <is>
          <t>Qủa Chuối tiêu chín</t>
        </is>
      </c>
      <c r="E33" s="4" t="n">
        <v>1000</v>
      </c>
      <c r="F33" s="380" t="n">
        <v>2200</v>
      </c>
      <c r="G33" s="385">
        <f>E33*F33/1000</f>
        <v/>
      </c>
      <c r="H33" s="380" t="n">
        <v>1500</v>
      </c>
      <c r="I33" s="386">
        <f>IFERROR(E33*H33/1000,"")</f>
        <v/>
      </c>
      <c r="J33" s="386">
        <f>I33</f>
        <v/>
      </c>
      <c r="K33" s="14" t="n"/>
    </row>
    <row r="34">
      <c r="A34" s="50" t="inlineStr">
        <is>
          <t>Gia vị</t>
        </is>
      </c>
      <c r="B34" s="51" t="n"/>
      <c r="C34" s="51" t="n"/>
      <c r="D34" s="132" t="n"/>
      <c r="E34" s="51" t="n"/>
      <c r="F34" s="51" t="n"/>
      <c r="G34" s="51" t="n"/>
      <c r="H34" s="51" t="n"/>
      <c r="I34" s="52" t="n"/>
      <c r="J34" s="387" t="n">
        <v>1600</v>
      </c>
      <c r="N34" s="368" t="n"/>
    </row>
    <row r="35">
      <c r="A35" s="40" t="n"/>
      <c r="B35" s="41" t="n"/>
      <c r="C35" s="41" t="n"/>
      <c r="D35" s="133" t="inlineStr">
        <is>
          <t>Gas</t>
        </is>
      </c>
      <c r="E35" s="41" t="n"/>
      <c r="F35" s="41" t="n"/>
      <c r="G35" s="41" t="n"/>
      <c r="H35" s="41" t="n"/>
      <c r="I35" s="42" t="n"/>
      <c r="J35" s="387" t="n">
        <v>2500</v>
      </c>
      <c r="N35" s="368" t="n"/>
    </row>
    <row r="36" ht="34.8" customHeight="1">
      <c r="A36" s="40" t="n"/>
      <c r="B36" s="41" t="n"/>
      <c r="C36" s="41" t="n"/>
      <c r="D36" s="133" t="inlineStr">
        <is>
          <t>Chi phí đũa thìa + điện nước</t>
        </is>
      </c>
      <c r="E36" s="41" t="n"/>
      <c r="F36" s="41" t="n"/>
      <c r="G36" s="41" t="n"/>
      <c r="H36" s="41" t="n"/>
      <c r="I36" s="42" t="n"/>
      <c r="J36" s="387" t="n">
        <v>2500</v>
      </c>
      <c r="N36" s="368" t="n"/>
    </row>
    <row r="37" ht="18" customHeight="1">
      <c r="A37" s="50" t="inlineStr">
        <is>
          <t>Tổng chi phí TĐ 1</t>
        </is>
      </c>
      <c r="B37" s="51" t="n"/>
      <c r="C37" s="51" t="n"/>
      <c r="D37" s="132" t="n"/>
      <c r="E37" s="51" t="n"/>
      <c r="F37" s="51" t="n"/>
      <c r="G37" s="51" t="n"/>
      <c r="H37" s="51" t="n"/>
      <c r="I37" s="52" t="n"/>
      <c r="J37" s="389">
        <f>SUM(J21:J36)</f>
        <v/>
      </c>
      <c r="K37" s="1" t="inlineStr">
        <is>
          <t> </t>
        </is>
      </c>
    </row>
    <row r="38">
      <c r="A38" s="50" t="inlineStr">
        <is>
          <t>Cost TĐ 1</t>
        </is>
      </c>
      <c r="B38" s="51" t="n"/>
      <c r="C38" s="51" t="n"/>
      <c r="D38" s="132" t="n"/>
      <c r="E38" s="51" t="n"/>
      <c r="F38" s="51" t="n"/>
      <c r="G38" s="51" t="n"/>
      <c r="H38" s="51" t="n"/>
      <c r="I38" s="52" t="n"/>
      <c r="J38" s="25">
        <f>J37/40000</f>
        <v/>
      </c>
    </row>
    <row r="39">
      <c r="A39" s="28" t="n"/>
      <c r="B39" s="28" t="n"/>
      <c r="C39" s="28" t="n"/>
      <c r="D39" s="135" t="n"/>
      <c r="E39" s="28" t="n"/>
      <c r="F39" s="28" t="n"/>
      <c r="G39" s="28" t="n"/>
      <c r="H39" s="28" t="n"/>
      <c r="I39" s="28" t="n"/>
      <c r="J39" s="29" t="n"/>
    </row>
    <row r="40">
      <c r="A40" s="49" t="inlineStr">
        <is>
          <t>THỰC ĐƠN CA Chiều 40.000Đ</t>
        </is>
      </c>
      <c r="B40" s="49" t="n"/>
      <c r="C40" s="49" t="n"/>
      <c r="D40" s="155" t="n"/>
      <c r="E40" s="49" t="n"/>
      <c r="F40" s="49" t="n"/>
      <c r="G40" s="49" t="n"/>
      <c r="H40" s="49" t="n"/>
      <c r="I40" s="49" t="n"/>
      <c r="J40" s="49" t="n"/>
    </row>
    <row r="41" ht="52.2" customFormat="1" customHeight="1" s="14">
      <c r="A41" s="12" t="inlineStr">
        <is>
          <t>Cơ cấu</t>
        </is>
      </c>
      <c r="B41" s="12" t="inlineStr">
        <is>
          <t>Món ăn</t>
        </is>
      </c>
      <c r="C41" s="12" t="inlineStr">
        <is>
          <t>Mã hàng</t>
        </is>
      </c>
      <c r="D41" s="131" t="inlineStr">
        <is>
          <t>Nguyên liệu</t>
        </is>
      </c>
      <c r="E41" s="12" t="inlineStr">
        <is>
          <t>Định lượng sống</t>
        </is>
      </c>
      <c r="F41" s="384" t="inlineStr">
        <is>
          <t>Số suất</t>
        </is>
      </c>
      <c r="G41" s="12" t="inlineStr">
        <is>
          <t>Gọi hàng</t>
        </is>
      </c>
      <c r="H41" s="384" t="inlineStr">
        <is>
          <t>Đơn giá</t>
        </is>
      </c>
      <c r="I41" s="12" t="inlineStr">
        <is>
          <t>Thành tiền</t>
        </is>
      </c>
      <c r="J41" s="12" t="inlineStr">
        <is>
          <t>Tổng</t>
        </is>
      </c>
      <c r="L41" s="16" t="n"/>
      <c r="M41" s="369" t="n"/>
      <c r="Q41" s="370" t="n"/>
    </row>
    <row r="42" ht="37.2" customHeight="1">
      <c r="A42" s="330" t="n"/>
      <c r="B42" s="328" t="inlineStr">
        <is>
          <t>gà om nấm</t>
        </is>
      </c>
      <c r="C42" s="328" t="inlineStr">
        <is>
          <t>NLT0063</t>
        </is>
      </c>
      <c r="D42" s="68" t="inlineStr">
        <is>
          <t>Thịt gà CN không đầu</t>
        </is>
      </c>
      <c r="E42" s="4" t="n">
        <v>135</v>
      </c>
      <c r="F42" s="380" t="n">
        <v>2100</v>
      </c>
      <c r="G42" s="385">
        <f>E42*F42/1000</f>
        <v/>
      </c>
      <c r="H42" s="380" t="n">
        <v>48000</v>
      </c>
      <c r="I42" s="386">
        <f>IFERROR(E42*H42/1000,"")</f>
        <v/>
      </c>
      <c r="J42" s="386">
        <f>I42</f>
        <v/>
      </c>
    </row>
    <row r="43" ht="22.2" customHeight="1">
      <c r="A43" s="366" t="n"/>
      <c r="B43" s="349" t="n"/>
      <c r="C43" s="328" t="inlineStr">
        <is>
          <t>NLR0546</t>
        </is>
      </c>
      <c r="D43" s="156" t="inlineStr">
        <is>
          <t>nấm hương khô</t>
        </is>
      </c>
      <c r="E43" s="4" t="n">
        <v>10</v>
      </c>
      <c r="F43" s="380" t="n">
        <v>2100</v>
      </c>
      <c r="G43" s="385">
        <f>E43*F43/1000</f>
        <v/>
      </c>
      <c r="H43" s="380" t="n">
        <v>200000</v>
      </c>
      <c r="I43" s="386">
        <f>IFERROR(E43*H43/1000,"")</f>
        <v/>
      </c>
      <c r="J43" s="386">
        <f>I43</f>
        <v/>
      </c>
    </row>
    <row r="44" ht="33" customHeight="1">
      <c r="A44" s="392" t="inlineStr">
        <is>
          <t>vin alpha</t>
        </is>
      </c>
      <c r="B44" s="330" t="inlineStr">
        <is>
          <t>tôm chiên vừng</t>
        </is>
      </c>
      <c r="C44" s="328" t="inlineStr">
        <is>
          <t>NLS0081</t>
        </is>
      </c>
      <c r="D44" s="68" t="inlineStr">
        <is>
          <t>Tôm dảo tươi 100-120</t>
        </is>
      </c>
      <c r="E44" s="4" t="n">
        <v>130</v>
      </c>
      <c r="F44" s="380" t="n">
        <v>600</v>
      </c>
      <c r="G44" s="385">
        <f>E44*F44/1000</f>
        <v/>
      </c>
      <c r="H44" s="380" t="n">
        <v>147000</v>
      </c>
      <c r="I44" s="386">
        <f>IFERROR(E44*H44/1000,"")</f>
        <v/>
      </c>
      <c r="J44" s="386">
        <f>I44</f>
        <v/>
      </c>
    </row>
    <row r="45" ht="22.2" customHeight="1">
      <c r="A45" s="346" t="n"/>
      <c r="B45" s="366" t="n"/>
      <c r="C45" s="328" t="inlineStr">
        <is>
          <t>NPG0154</t>
        </is>
      </c>
      <c r="D45" s="78" t="inlineStr">
        <is>
          <t>vừng trắng</t>
        </is>
      </c>
      <c r="E45" s="4" t="n">
        <v>0.5</v>
      </c>
      <c r="F45" s="380" t="n">
        <v>600</v>
      </c>
      <c r="G45" s="385">
        <f>E45*F45/1000</f>
        <v/>
      </c>
      <c r="H45" s="380" t="n">
        <v>73000</v>
      </c>
      <c r="I45" s="386">
        <f>IFERROR(E45*H45/1000,"")</f>
        <v/>
      </c>
      <c r="J45" s="386">
        <f>I45</f>
        <v/>
      </c>
    </row>
    <row r="46" ht="22.2" customHeight="1">
      <c r="A46" s="260" t="inlineStr">
        <is>
          <t>SGC</t>
        </is>
      </c>
      <c r="B46" s="328" t="inlineStr">
        <is>
          <t>Giò lụa rim</t>
        </is>
      </c>
      <c r="C46" s="328" t="inlineStr">
        <is>
          <t>NLT0017</t>
        </is>
      </c>
      <c r="D46" s="78" t="inlineStr">
        <is>
          <t>giò lụa</t>
        </is>
      </c>
      <c r="E46" s="4" t="n">
        <v>65</v>
      </c>
      <c r="F46" s="380" t="n">
        <v>1500</v>
      </c>
      <c r="G46" s="385">
        <f>E46*F46/1000</f>
        <v/>
      </c>
      <c r="H46" s="380" t="n">
        <v>85000</v>
      </c>
      <c r="I46" s="386">
        <f>IFERROR(E46*H46/1000,"")</f>
        <v/>
      </c>
      <c r="J46" s="386">
        <f>I46</f>
        <v/>
      </c>
    </row>
    <row r="47" ht="22.2" customHeight="1">
      <c r="A47" s="390" t="n"/>
      <c r="B47" s="390" t="inlineStr">
        <is>
          <t>thịt băm xào đỗ cove</t>
        </is>
      </c>
      <c r="C47" s="328" t="inlineStr">
        <is>
          <t>NLT0076</t>
        </is>
      </c>
      <c r="D47" s="78" t="inlineStr">
        <is>
          <t>thịt lợn mông sấn</t>
        </is>
      </c>
      <c r="E47" s="4" t="n">
        <v>100</v>
      </c>
      <c r="F47" s="380" t="n">
        <v>1500</v>
      </c>
      <c r="G47" s="385">
        <f>E47*F47/1000</f>
        <v/>
      </c>
      <c r="H47" s="380" t="n">
        <v>101000</v>
      </c>
      <c r="I47" s="386">
        <f>IFERROR(E47*H47/1000,"")</f>
        <v/>
      </c>
      <c r="J47" s="386">
        <f>I47</f>
        <v/>
      </c>
    </row>
    <row r="48" ht="22.2" customHeight="1">
      <c r="A48" s="349" t="n"/>
      <c r="B48" s="346" t="n"/>
      <c r="C48" s="328" t="inlineStr">
        <is>
          <t>NLR0079</t>
        </is>
      </c>
      <c r="D48" s="78" t="inlineStr">
        <is>
          <t>hành lá</t>
        </is>
      </c>
      <c r="E48" s="4" t="n">
        <v>2</v>
      </c>
      <c r="F48" s="380" t="n">
        <v>1500</v>
      </c>
      <c r="G48" s="385">
        <f>E48*F48/1000</f>
        <v/>
      </c>
      <c r="H48" s="380" t="n">
        <v>14000</v>
      </c>
      <c r="I48" s="386">
        <f>IFERROR(E48*H48/1000,"")</f>
        <v/>
      </c>
      <c r="J48" s="386">
        <f>I48</f>
        <v/>
      </c>
    </row>
    <row r="49" ht="22.2" customHeight="1">
      <c r="A49" s="349" t="n"/>
      <c r="B49" s="328" t="inlineStr">
        <is>
          <t>rau muống luộc</t>
        </is>
      </c>
      <c r="C49" s="328" t="inlineStr">
        <is>
          <t>NLR0156</t>
        </is>
      </c>
      <c r="D49" s="78" t="inlineStr">
        <is>
          <t>rau muống cắt gốc</t>
        </is>
      </c>
      <c r="E49" s="4" t="n">
        <v>120</v>
      </c>
      <c r="F49" s="380" t="n">
        <v>2100</v>
      </c>
      <c r="G49" s="385">
        <f>E49*F49/1000</f>
        <v/>
      </c>
      <c r="H49" s="380" t="n">
        <v>9000</v>
      </c>
      <c r="I49" s="386">
        <f>IFERROR(E49*H49/1000,"")</f>
        <v/>
      </c>
      <c r="J49" s="386">
        <f>I49</f>
        <v/>
      </c>
    </row>
    <row r="50" ht="22.2" customHeight="1">
      <c r="A50" s="349" t="n"/>
      <c r="B50" s="330" t="inlineStr">
        <is>
          <t>nước luộc dầm chua</t>
        </is>
      </c>
      <c r="C50" s="328" t="inlineStr">
        <is>
          <t>NLR0142</t>
        </is>
      </c>
      <c r="D50" s="78" t="inlineStr">
        <is>
          <t>quả sấu</t>
        </is>
      </c>
      <c r="E50" s="7" t="n">
        <v>5</v>
      </c>
      <c r="F50" s="380" t="n">
        <v>2100</v>
      </c>
      <c r="G50" s="385">
        <f>E50*F50/1000</f>
        <v/>
      </c>
      <c r="H50" s="380" t="n">
        <v>23000</v>
      </c>
      <c r="I50" s="386">
        <f>IFERROR(E50*H50/1000,"")</f>
        <v/>
      </c>
      <c r="J50" s="386">
        <f>I50</f>
        <v/>
      </c>
    </row>
    <row r="51" ht="22.2" customHeight="1">
      <c r="A51" s="349" t="n"/>
      <c r="B51" s="333" t="inlineStr">
        <is>
          <t>cơm trắng</t>
        </is>
      </c>
      <c r="C51" s="328" t="inlineStr">
        <is>
          <t>NLG0013</t>
        </is>
      </c>
      <c r="D51" s="134" t="inlineStr">
        <is>
          <t>gạo bắc hương</t>
        </is>
      </c>
      <c r="E51" s="4" t="n">
        <v>180</v>
      </c>
      <c r="F51" s="380" t="n">
        <v>2100</v>
      </c>
      <c r="G51" s="385">
        <f>E51*F51/1000</f>
        <v/>
      </c>
      <c r="H51" s="380" t="n">
        <v>13800</v>
      </c>
      <c r="I51" s="386">
        <f>IFERROR(E51*H51/1000,"")</f>
        <v/>
      </c>
      <c r="J51" s="386">
        <f>I51</f>
        <v/>
      </c>
    </row>
    <row r="52" ht="22.2" customHeight="1">
      <c r="A52" s="346" t="n"/>
      <c r="B52" s="333" t="inlineStr">
        <is>
          <t>ổi</t>
        </is>
      </c>
      <c r="C52" s="328" t="n"/>
      <c r="D52" s="68" t="inlineStr">
        <is>
          <t>nhãn</t>
        </is>
      </c>
      <c r="E52" s="4" t="n">
        <v>100</v>
      </c>
      <c r="F52" s="380" t="n">
        <v>2100</v>
      </c>
      <c r="G52" s="385">
        <f>E52*F52/1000</f>
        <v/>
      </c>
      <c r="H52" s="380" t="n">
        <v>35000</v>
      </c>
      <c r="I52" s="386">
        <f>IFERROR(E52*H52/1000,"")</f>
        <v/>
      </c>
      <c r="J52" s="386">
        <f>I52</f>
        <v/>
      </c>
    </row>
    <row r="53">
      <c r="A53" s="50" t="inlineStr">
        <is>
          <t>Gia vị</t>
        </is>
      </c>
      <c r="B53" s="51" t="n"/>
      <c r="C53" s="51" t="n"/>
      <c r="D53" s="132" t="n"/>
      <c r="E53" s="51" t="n"/>
      <c r="F53" s="380" t="n"/>
      <c r="G53" s="51" t="n"/>
      <c r="H53" s="51" t="n"/>
      <c r="I53" s="52" t="n"/>
      <c r="J53" s="387" t="n">
        <v>1600</v>
      </c>
    </row>
    <row r="54">
      <c r="A54" s="40" t="n"/>
      <c r="B54" s="41" t="n"/>
      <c r="C54" s="41" t="n"/>
      <c r="D54" s="133" t="inlineStr">
        <is>
          <t>Gas</t>
        </is>
      </c>
      <c r="E54" s="41" t="n"/>
      <c r="F54" s="380" t="n"/>
      <c r="G54" s="41" t="n"/>
      <c r="H54" s="41" t="n"/>
      <c r="I54" s="42" t="n"/>
      <c r="J54" s="387" t="n">
        <v>2500</v>
      </c>
    </row>
    <row r="55">
      <c r="A55" s="40" t="n"/>
      <c r="B55" s="41" t="n"/>
      <c r="C55" s="41" t="n"/>
      <c r="D55" s="133" t="inlineStr">
        <is>
          <t>Chi Phí khay ,đũa</t>
        </is>
      </c>
      <c r="E55" s="41" t="n"/>
      <c r="F55" s="380" t="n"/>
      <c r="G55" s="41" t="n"/>
      <c r="H55" s="41" t="n"/>
      <c r="I55" s="42" t="n"/>
      <c r="J55" s="387" t="n">
        <v>2500</v>
      </c>
    </row>
    <row r="56" ht="18" customHeight="1">
      <c r="A56" s="50" t="inlineStr">
        <is>
          <t>Tổng chi phí TĐ 1</t>
        </is>
      </c>
      <c r="B56" s="51" t="n"/>
      <c r="C56" s="51" t="n"/>
      <c r="D56" s="132" t="n"/>
      <c r="E56" s="51" t="n"/>
      <c r="F56" s="51" t="n"/>
      <c r="G56" s="51" t="n"/>
      <c r="H56" s="51" t="n"/>
      <c r="I56" s="52" t="n"/>
      <c r="J56" s="389">
        <f>SUM(J42:J55)</f>
        <v/>
      </c>
    </row>
    <row r="57">
      <c r="A57" s="50" t="inlineStr">
        <is>
          <t>Cost TĐ 1</t>
        </is>
      </c>
      <c r="B57" s="51" t="n"/>
      <c r="C57" s="51" t="n"/>
      <c r="D57" s="132" t="n"/>
      <c r="E57" s="51" t="n"/>
      <c r="F57" s="51" t="n"/>
      <c r="G57" s="51" t="n"/>
      <c r="H57" s="51" t="n"/>
      <c r="I57" s="52" t="n"/>
      <c r="J57" s="25">
        <f>J56/40000</f>
        <v/>
      </c>
    </row>
    <row r="58">
      <c r="A58" s="22" t="n"/>
      <c r="B58" s="22" t="n"/>
      <c r="C58" s="27" t="n"/>
      <c r="D58" s="136" t="n"/>
      <c r="E58" s="10" t="n"/>
      <c r="F58" s="10" t="n"/>
      <c r="G58" s="10" t="n"/>
      <c r="H58" s="10" t="n"/>
      <c r="I58" s="10" t="n"/>
      <c r="J58" s="10" t="n"/>
    </row>
    <row r="59">
      <c r="A59" s="1" t="n"/>
      <c r="B59" s="1" t="n"/>
      <c r="C59" s="1" t="n"/>
      <c r="D59" s="137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37" t="n"/>
      <c r="E60" s="1" t="n"/>
      <c r="F60" s="1" t="n"/>
      <c r="G60" s="1" t="n"/>
      <c r="H60" s="1" t="n"/>
      <c r="I60" s="1" t="n"/>
      <c r="L60" s="371">
        <f>(J56+J37+J15)/100000</f>
        <v/>
      </c>
    </row>
    <row r="61">
      <c r="A61" s="1" t="n"/>
      <c r="B61" s="1" t="n"/>
      <c r="C61" s="1" t="n"/>
      <c r="D61" s="137" t="n"/>
      <c r="E61" s="1" t="n"/>
      <c r="F61" s="1" t="n"/>
      <c r="G61" s="1" t="n"/>
      <c r="H61" s="1" t="n"/>
      <c r="I61" s="1" t="n"/>
    </row>
    <row r="62">
      <c r="A62" s="335" t="inlineStr">
        <is>
          <t>THỰC ĐƠN CA ĐÊM 40.000Đ</t>
        </is>
      </c>
      <c r="B62" s="358" t="n"/>
      <c r="C62" s="358" t="n"/>
      <c r="D62" s="358" t="n"/>
      <c r="E62" s="358" t="n"/>
      <c r="F62" s="358" t="n"/>
      <c r="G62" s="358" t="n"/>
      <c r="H62" s="358" t="n"/>
      <c r="I62" s="358" t="n"/>
      <c r="J62" s="358" t="n"/>
    </row>
    <row r="63" ht="52.2" customFormat="1" customHeight="1" s="14">
      <c r="A63" s="12" t="inlineStr">
        <is>
          <t>Cơ cấu</t>
        </is>
      </c>
      <c r="B63" s="12" t="inlineStr">
        <is>
          <t>Món ăn</t>
        </is>
      </c>
      <c r="C63" s="12" t="inlineStr">
        <is>
          <t>Mã hàng</t>
        </is>
      </c>
      <c r="D63" s="131" t="inlineStr">
        <is>
          <t>Nguyên liệu</t>
        </is>
      </c>
      <c r="E63" s="12" t="inlineStr">
        <is>
          <t>Định lượng sống</t>
        </is>
      </c>
      <c r="F63" s="384" t="inlineStr">
        <is>
          <t>Số suất</t>
        </is>
      </c>
      <c r="G63" s="12" t="inlineStr">
        <is>
          <t>Gọi hàng</t>
        </is>
      </c>
      <c r="H63" s="384" t="inlineStr">
        <is>
          <t>Đơn giá</t>
        </is>
      </c>
      <c r="I63" s="12" t="inlineStr">
        <is>
          <t>Thành tiền</t>
        </is>
      </c>
      <c r="J63" s="12" t="inlineStr">
        <is>
          <t>Tổng</t>
        </is>
      </c>
      <c r="L63" s="16" t="n"/>
      <c r="M63" s="369" t="n"/>
      <c r="Q63" s="370" t="n"/>
    </row>
    <row r="64" ht="29.4" customHeight="1">
      <c r="A64" s="328" t="n"/>
      <c r="B64" s="328" t="inlineStr">
        <is>
          <t>xôi thịt kho trứng</t>
        </is>
      </c>
      <c r="C64" s="328" t="inlineStr">
        <is>
          <t>NLG0006</t>
        </is>
      </c>
      <c r="D64" s="126" t="inlineStr">
        <is>
          <t>gạo nếp</t>
        </is>
      </c>
      <c r="E64" s="4" t="n">
        <v>170</v>
      </c>
      <c r="F64" s="380" t="n">
        <v>550</v>
      </c>
      <c r="G64" s="385">
        <f>E64*F64/1000</f>
        <v/>
      </c>
      <c r="H64" s="380" t="n">
        <v>35000</v>
      </c>
      <c r="I64" s="386">
        <f>IFERROR(E64*H64/1000,"")</f>
        <v/>
      </c>
      <c r="J64" s="386">
        <f>I64</f>
        <v/>
      </c>
    </row>
    <row r="65" ht="29.4" customHeight="1">
      <c r="A65" s="349" t="n"/>
      <c r="B65" s="349" t="n"/>
      <c r="C65" s="328" t="inlineStr">
        <is>
          <t>NLT0076</t>
        </is>
      </c>
      <c r="D65" s="74" t="inlineStr">
        <is>
          <t>thịt lợn mông sấn</t>
        </is>
      </c>
      <c r="E65" s="4" t="n">
        <v>70</v>
      </c>
      <c r="F65" s="380" t="n">
        <v>550</v>
      </c>
      <c r="G65" s="385">
        <f>E65*F65/1000</f>
        <v/>
      </c>
      <c r="H65" s="380" t="n">
        <v>101000</v>
      </c>
      <c r="I65" s="386">
        <f>IFERROR(E65*H65/1000,"")</f>
        <v/>
      </c>
      <c r="J65" s="386">
        <f>I65</f>
        <v/>
      </c>
    </row>
    <row r="66" ht="29.4" customHeight="1">
      <c r="A66" s="349" t="n"/>
      <c r="B66" s="349" t="n"/>
      <c r="C66" s="328" t="inlineStr">
        <is>
          <t>NLT0181</t>
        </is>
      </c>
      <c r="D66" s="68" t="inlineStr">
        <is>
          <t>trứng gà cn</t>
        </is>
      </c>
      <c r="E66" s="4" t="n">
        <v>1100</v>
      </c>
      <c r="F66" s="380" t="n">
        <v>550</v>
      </c>
      <c r="G66" s="385">
        <f>E66*F66/1000</f>
        <v/>
      </c>
      <c r="H66" s="380" t="n">
        <v>2300</v>
      </c>
      <c r="I66" s="386">
        <f>IFERROR(E66*H66/1000,"")</f>
        <v/>
      </c>
      <c r="J66" s="386">
        <f>I66</f>
        <v/>
      </c>
    </row>
    <row r="67" ht="29.4" customHeight="1">
      <c r="A67" s="349" t="n"/>
      <c r="B67" s="349" t="n"/>
      <c r="C67" s="328" t="inlineStr">
        <is>
          <t>NLR0060</t>
        </is>
      </c>
      <c r="D67" s="68" t="inlineStr">
        <is>
          <t>dưa chuột</t>
        </is>
      </c>
      <c r="E67" s="4" t="n">
        <v>40</v>
      </c>
      <c r="F67" s="380" t="n">
        <v>550</v>
      </c>
      <c r="G67" s="385">
        <f>E67*F67/1000</f>
        <v/>
      </c>
      <c r="H67" s="380" t="n">
        <v>15000</v>
      </c>
      <c r="I67" s="386">
        <f>IFERROR(E67*H67/1000,"")</f>
        <v/>
      </c>
      <c r="J67" s="386">
        <f>I67</f>
        <v/>
      </c>
    </row>
    <row r="68" ht="29.4" customHeight="1">
      <c r="A68" s="349" t="n"/>
      <c r="B68" s="349" t="n"/>
      <c r="C68" s="328" t="inlineStr">
        <is>
          <t>NLR0018</t>
        </is>
      </c>
      <c r="D68" s="126" t="inlineStr">
        <is>
          <t>cà rốt</t>
        </is>
      </c>
      <c r="E68" s="4" t="n">
        <v>10</v>
      </c>
      <c r="F68" s="380" t="n">
        <v>550</v>
      </c>
      <c r="G68" s="385">
        <f>E68*F68/1000</f>
        <v/>
      </c>
      <c r="H68" s="380" t="n">
        <v>11000</v>
      </c>
      <c r="I68" s="386">
        <f>IFERROR(E68*H68/1000,"")</f>
        <v/>
      </c>
      <c r="J68" s="386">
        <f>I68</f>
        <v/>
      </c>
    </row>
    <row r="69" ht="29.4" customHeight="1">
      <c r="A69" s="349" t="n"/>
      <c r="B69" s="349" t="n"/>
      <c r="C69" s="328" t="inlineStr">
        <is>
          <t>NLR0154</t>
        </is>
      </c>
      <c r="D69" s="126" t="inlineStr">
        <is>
          <t xml:space="preserve">rau mùi tàu </t>
        </is>
      </c>
      <c r="E69" s="4" t="n">
        <v>1</v>
      </c>
      <c r="F69" s="380" t="n">
        <v>550</v>
      </c>
      <c r="G69" s="385">
        <f>E69*F69/1000</f>
        <v/>
      </c>
      <c r="H69" s="380" t="n">
        <v>25000</v>
      </c>
      <c r="I69" s="386">
        <f>IFERROR(E69*H69/1000,"")</f>
        <v/>
      </c>
      <c r="J69" s="386">
        <f>I69</f>
        <v/>
      </c>
    </row>
    <row r="70" ht="29.4" customHeight="1">
      <c r="A70" s="349" t="n"/>
      <c r="B70" s="330" t="inlineStr">
        <is>
          <t>sữa chua</t>
        </is>
      </c>
      <c r="C70" s="328" t="inlineStr">
        <is>
          <t>HHS0101</t>
        </is>
      </c>
      <c r="D70" s="74" t="inlineStr">
        <is>
          <t>Sữa chua elovi 95g *48 hộp/thùng</t>
        </is>
      </c>
      <c r="E70" s="4" t="n">
        <v>1000</v>
      </c>
      <c r="F70" s="380" t="n">
        <v>550</v>
      </c>
      <c r="G70" s="385">
        <f>E70*F70/1000</f>
        <v/>
      </c>
      <c r="H70" s="380" t="n">
        <v>3432</v>
      </c>
      <c r="I70" s="386">
        <f>IFERROR(E70*H70/1000,"")</f>
        <v/>
      </c>
      <c r="J70" s="386">
        <f>I70</f>
        <v/>
      </c>
    </row>
    <row r="71" ht="29.4" customHeight="1">
      <c r="A71" s="50" t="inlineStr">
        <is>
          <t>Gia vị</t>
        </is>
      </c>
      <c r="B71" s="51" t="n"/>
      <c r="C71" s="51" t="n"/>
      <c r="D71" s="132" t="n"/>
      <c r="E71" s="51" t="n"/>
      <c r="F71" s="51" t="n"/>
      <c r="G71" s="51" t="n"/>
      <c r="H71" s="51" t="n"/>
      <c r="I71" s="52" t="n"/>
      <c r="J71" s="387" t="n">
        <v>1600</v>
      </c>
    </row>
    <row r="72" ht="29.4" customHeight="1">
      <c r="A72" s="40" t="n"/>
      <c r="B72" s="41" t="n"/>
      <c r="C72" s="41" t="n"/>
      <c r="D72" s="133" t="inlineStr">
        <is>
          <t>Gas</t>
        </is>
      </c>
      <c r="E72" s="41" t="n"/>
      <c r="F72" s="41" t="n"/>
      <c r="G72" s="41" t="n"/>
      <c r="H72" s="41" t="n"/>
      <c r="I72" s="42" t="n"/>
      <c r="J72" s="387" t="n">
        <v>2500</v>
      </c>
    </row>
    <row r="73">
      <c r="A73" s="40" t="n"/>
      <c r="B73" s="41" t="n"/>
      <c r="C73" s="41" t="n"/>
      <c r="D73" s="133" t="inlineStr">
        <is>
          <t>Chi Phí khay ,đũa</t>
        </is>
      </c>
      <c r="E73" s="41" t="n"/>
      <c r="F73" s="41" t="n"/>
      <c r="G73" s="41" t="n"/>
      <c r="H73" s="41" t="n"/>
      <c r="I73" s="42" t="n"/>
      <c r="J73" s="387" t="n">
        <v>2500</v>
      </c>
    </row>
    <row r="74" ht="18" customHeight="1">
      <c r="A74" s="50" t="inlineStr">
        <is>
          <t>Tổng chi phí TĐ 1</t>
        </is>
      </c>
      <c r="B74" s="51" t="n"/>
      <c r="C74" s="51" t="n"/>
      <c r="D74" s="132" t="n"/>
      <c r="E74" s="51" t="n"/>
      <c r="F74" s="51" t="n"/>
      <c r="G74" s="51" t="n"/>
      <c r="H74" s="51" t="n"/>
      <c r="I74" s="52" t="n"/>
      <c r="J74" s="389">
        <f>SUM(J64:J73)</f>
        <v/>
      </c>
    </row>
    <row r="75">
      <c r="A75" s="50" t="inlineStr">
        <is>
          <t>Cost TĐ 1</t>
        </is>
      </c>
      <c r="B75" s="51" t="n"/>
      <c r="C75" s="51" t="n"/>
      <c r="D75" s="132" t="n"/>
      <c r="E75" s="51" t="n"/>
      <c r="F75" s="51" t="n"/>
      <c r="G75" s="51" t="n"/>
      <c r="H75" s="51" t="n"/>
      <c r="I75" s="52" t="n"/>
      <c r="J75" s="57">
        <f>J74/40000</f>
        <v/>
      </c>
    </row>
    <row r="76">
      <c r="A76" s="22" t="n"/>
      <c r="B76" s="22" t="n"/>
      <c r="C76" s="27" t="n"/>
      <c r="D76" s="136" t="n"/>
      <c r="E76" s="10" t="n"/>
      <c r="F76" s="10" t="n"/>
      <c r="G76" s="10" t="n"/>
      <c r="H76" s="10" t="n"/>
      <c r="I76" s="10" t="n"/>
      <c r="J76" s="10" t="n"/>
    </row>
    <row r="77"/>
    <row r="78"/>
    <row r="79"/>
    <row r="80"/>
    <row r="81">
      <c r="A81" s="335" t="inlineStr">
        <is>
          <t>THỰC ĐƠN CA ĐÊM 30k</t>
        </is>
      </c>
      <c r="B81" s="358" t="n"/>
      <c r="C81" s="358" t="n"/>
      <c r="D81" s="358" t="n"/>
      <c r="E81" s="358" t="n"/>
      <c r="F81" s="358" t="n"/>
      <c r="G81" s="358" t="n"/>
      <c r="H81" s="358" t="n"/>
      <c r="I81" s="358" t="n"/>
      <c r="J81" s="358" t="n"/>
    </row>
    <row r="82" ht="52.2" customFormat="1" customHeight="1" s="14">
      <c r="A82" s="12" t="inlineStr">
        <is>
          <t>Cơ cấu</t>
        </is>
      </c>
      <c r="B82" s="12" t="inlineStr">
        <is>
          <t>Món ăn</t>
        </is>
      </c>
      <c r="C82" s="12" t="inlineStr">
        <is>
          <t>Mã hàng</t>
        </is>
      </c>
      <c r="D82" s="131" t="inlineStr">
        <is>
          <t>Nguyên liệu</t>
        </is>
      </c>
      <c r="E82" s="12" t="inlineStr">
        <is>
          <t>Định lượng sống</t>
        </is>
      </c>
      <c r="F82" s="384" t="inlineStr">
        <is>
          <t>Số suất</t>
        </is>
      </c>
      <c r="G82" s="12" t="inlineStr">
        <is>
          <t>Gọi hàng</t>
        </is>
      </c>
      <c r="H82" s="384" t="inlineStr">
        <is>
          <t>Đơn giá</t>
        </is>
      </c>
      <c r="I82" s="12" t="inlineStr">
        <is>
          <t>Thành tiền</t>
        </is>
      </c>
      <c r="J82" s="12" t="inlineStr">
        <is>
          <t>Tổng</t>
        </is>
      </c>
      <c r="L82" s="16" t="n"/>
      <c r="M82" s="369" t="n"/>
      <c r="Q82" s="370" t="n"/>
    </row>
    <row r="83" ht="29.4" customHeight="1">
      <c r="A83" s="328" t="n"/>
      <c r="B83" s="328" t="inlineStr">
        <is>
          <t>xôi thịt kho trứng</t>
        </is>
      </c>
      <c r="C83" s="328" t="inlineStr">
        <is>
          <t>NLG0006</t>
        </is>
      </c>
      <c r="D83" s="126" t="inlineStr">
        <is>
          <t>gạo nếp</t>
        </is>
      </c>
      <c r="E83" s="4" t="n">
        <v>160</v>
      </c>
      <c r="F83" s="380" t="n">
        <v>650</v>
      </c>
      <c r="G83" s="385">
        <f>E83*F83/1000</f>
        <v/>
      </c>
      <c r="H83" s="380" t="n">
        <v>35000</v>
      </c>
      <c r="I83" s="386">
        <f>IFERROR(E83*H83/1000,"")</f>
        <v/>
      </c>
      <c r="J83" s="386">
        <f>I83</f>
        <v/>
      </c>
    </row>
    <row r="84" ht="29.4" customHeight="1">
      <c r="A84" s="349" t="n"/>
      <c r="B84" s="349" t="n"/>
      <c r="C84" s="328" t="inlineStr">
        <is>
          <t>NLT0076</t>
        </is>
      </c>
      <c r="D84" s="74" t="inlineStr">
        <is>
          <t>thịt lợn mông sấn</t>
        </is>
      </c>
      <c r="E84" s="4" t="n">
        <v>65</v>
      </c>
      <c r="F84" s="380" t="n">
        <v>650</v>
      </c>
      <c r="G84" s="385">
        <f>E84*F84/1000</f>
        <v/>
      </c>
      <c r="H84" s="380" t="n">
        <v>101000</v>
      </c>
      <c r="I84" s="386">
        <f>IFERROR(E84*H84/1000,"")</f>
        <v/>
      </c>
      <c r="J84" s="386">
        <f>I84</f>
        <v/>
      </c>
    </row>
    <row r="85" ht="29.4" customHeight="1">
      <c r="A85" s="349" t="n"/>
      <c r="B85" s="349" t="n"/>
      <c r="C85" s="328" t="inlineStr">
        <is>
          <t>NLT0181</t>
        </is>
      </c>
      <c r="D85" s="68" t="inlineStr">
        <is>
          <t>trứng gà cn</t>
        </is>
      </c>
      <c r="E85" s="4" t="n">
        <v>1100</v>
      </c>
      <c r="F85" s="380" t="n">
        <v>650</v>
      </c>
      <c r="G85" s="385">
        <f>E85*F85/1000</f>
        <v/>
      </c>
      <c r="H85" s="380" t="n">
        <v>2300</v>
      </c>
      <c r="I85" s="386">
        <f>IFERROR(E85*H85/1000,"")</f>
        <v/>
      </c>
      <c r="J85" s="386">
        <f>I85</f>
        <v/>
      </c>
    </row>
    <row r="86" ht="29.4" customHeight="1">
      <c r="A86" s="349" t="n"/>
      <c r="B86" s="349" t="n"/>
      <c r="C86" s="328" t="inlineStr">
        <is>
          <t>NLR0060</t>
        </is>
      </c>
      <c r="D86" s="68" t="inlineStr">
        <is>
          <t>dưa chuột</t>
        </is>
      </c>
      <c r="E86" s="4" t="n">
        <v>40</v>
      </c>
      <c r="F86" s="380" t="n">
        <v>650</v>
      </c>
      <c r="G86" s="385">
        <f>E86*F86/1000</f>
        <v/>
      </c>
      <c r="H86" s="380" t="n">
        <v>15000</v>
      </c>
      <c r="I86" s="386">
        <f>IFERROR(E86*H86/1000,"")</f>
        <v/>
      </c>
      <c r="J86" s="386">
        <f>I86</f>
        <v/>
      </c>
    </row>
    <row r="87" ht="29.4" customHeight="1">
      <c r="A87" s="349" t="n"/>
      <c r="B87" s="349" t="n"/>
      <c r="C87" s="328" t="inlineStr">
        <is>
          <t>NLR0018</t>
        </is>
      </c>
      <c r="D87" s="126" t="inlineStr">
        <is>
          <t>cà rốt</t>
        </is>
      </c>
      <c r="E87" s="4" t="n">
        <v>10</v>
      </c>
      <c r="F87" s="380" t="n">
        <v>650</v>
      </c>
      <c r="G87" s="385">
        <f>E87*F87/1000</f>
        <v/>
      </c>
      <c r="H87" s="380" t="n">
        <v>11000</v>
      </c>
      <c r="I87" s="386">
        <f>IFERROR(E87*H87/1000,"")</f>
        <v/>
      </c>
      <c r="J87" s="386">
        <f>I87</f>
        <v/>
      </c>
    </row>
    <row r="88" ht="29.4" customHeight="1">
      <c r="A88" s="349" t="n"/>
      <c r="B88" s="349" t="n"/>
      <c r="C88" s="328" t="inlineStr">
        <is>
          <t>NLR0153</t>
        </is>
      </c>
      <c r="D88" s="126" t="inlineStr">
        <is>
          <t>rau mùi ta</t>
        </is>
      </c>
      <c r="E88" s="4" t="n">
        <v>1</v>
      </c>
      <c r="F88" s="380" t="n">
        <v>650</v>
      </c>
      <c r="G88" s="385">
        <f>E88*F88/1000</f>
        <v/>
      </c>
      <c r="H88" s="380" t="n">
        <v>15000</v>
      </c>
      <c r="I88" s="386">
        <f>IFERROR(E88*H88/1000,"")</f>
        <v/>
      </c>
      <c r="J88" s="386">
        <f>I88</f>
        <v/>
      </c>
    </row>
    <row r="89" ht="29.4" customHeight="1">
      <c r="A89" s="50" t="inlineStr">
        <is>
          <t>Gia vị</t>
        </is>
      </c>
      <c r="B89" s="51" t="n"/>
      <c r="C89" s="51" t="n"/>
      <c r="D89" s="132" t="n"/>
      <c r="E89" s="51" t="n"/>
      <c r="F89" s="51" t="n"/>
      <c r="G89" s="51" t="n"/>
      <c r="H89" s="51" t="n"/>
      <c r="I89" s="52" t="n"/>
      <c r="J89" s="387" t="n">
        <v>1600</v>
      </c>
    </row>
    <row r="90" ht="29.4" customHeight="1">
      <c r="A90" s="40" t="n"/>
      <c r="B90" s="41" t="n"/>
      <c r="C90" s="41" t="n"/>
      <c r="D90" s="133" t="inlineStr">
        <is>
          <t>Gas</t>
        </is>
      </c>
      <c r="E90" s="41" t="n"/>
      <c r="F90" s="41" t="n"/>
      <c r="G90" s="41" t="n"/>
      <c r="H90" s="41" t="n"/>
      <c r="I90" s="42" t="n"/>
      <c r="J90" s="387" t="n">
        <v>2500</v>
      </c>
    </row>
    <row r="91">
      <c r="A91" s="40" t="n"/>
      <c r="B91" s="41" t="n"/>
      <c r="C91" s="41" t="n"/>
      <c r="D91" s="133" t="inlineStr">
        <is>
          <t>Chi Phí khay ,đũa</t>
        </is>
      </c>
      <c r="E91" s="41" t="n"/>
      <c r="F91" s="41" t="n"/>
      <c r="G91" s="41" t="n"/>
      <c r="H91" s="41" t="n"/>
      <c r="I91" s="42" t="n"/>
      <c r="J91" s="387" t="n">
        <v>2500</v>
      </c>
    </row>
    <row r="92" ht="18" customHeight="1">
      <c r="A92" s="50" t="inlineStr">
        <is>
          <t>Tổng chi phí TĐ 1</t>
        </is>
      </c>
      <c r="B92" s="51" t="n"/>
      <c r="C92" s="51" t="n"/>
      <c r="D92" s="132" t="n"/>
      <c r="E92" s="51" t="n"/>
      <c r="F92" s="51" t="n"/>
      <c r="G92" s="51" t="n"/>
      <c r="H92" s="51" t="n"/>
      <c r="I92" s="52" t="n"/>
      <c r="J92" s="389">
        <f>SUM(J83:J91)</f>
        <v/>
      </c>
    </row>
    <row r="93">
      <c r="A93" s="50" t="inlineStr">
        <is>
          <t>Cost TĐ 1</t>
        </is>
      </c>
      <c r="B93" s="51" t="n"/>
      <c r="C93" s="51" t="n"/>
      <c r="D93" s="132" t="n"/>
      <c r="E93" s="51" t="n"/>
      <c r="F93" s="51" t="n"/>
      <c r="G93" s="51" t="n"/>
      <c r="H93" s="51" t="n"/>
      <c r="I93" s="52" t="n"/>
      <c r="J93" s="57">
        <f>J92/30000</f>
        <v/>
      </c>
    </row>
    <row r="94">
      <c r="A94" s="22" t="n"/>
      <c r="B94" s="22" t="n"/>
      <c r="C94" s="27" t="n"/>
      <c r="D94" s="136" t="n"/>
      <c r="E94" s="10" t="n"/>
      <c r="F94" s="10" t="n"/>
      <c r="G94" s="10" t="n"/>
      <c r="H94" s="10" t="n"/>
      <c r="I94" s="10" t="n"/>
      <c r="J94" s="10" t="n"/>
    </row>
  </sheetData>
  <mergeCells count="18">
    <mergeCell ref="A4:A11"/>
    <mergeCell ref="A2:B2"/>
    <mergeCell ref="B47:B48"/>
    <mergeCell ref="B4:B11"/>
    <mergeCell ref="A42:A43"/>
    <mergeCell ref="A83:A88"/>
    <mergeCell ref="B83:B88"/>
    <mergeCell ref="A62:J62"/>
    <mergeCell ref="B64:B69"/>
    <mergeCell ref="B21:B23"/>
    <mergeCell ref="A64:A70"/>
    <mergeCell ref="A81:J81"/>
    <mergeCell ref="B42:B43"/>
    <mergeCell ref="B24:B27"/>
    <mergeCell ref="B28:B29"/>
    <mergeCell ref="A47:A52"/>
    <mergeCell ref="B44:B45"/>
    <mergeCell ref="A44:A45"/>
  </mergeCells>
  <pageMargins left="0.7" right="0.7" top="0.75" bottom="0.75" header="0.3" footer="0.3"/>
  <pageSetup orientation="portrait" paperSize="9" scale="50" verticalDpi="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02"/>
  <sheetViews>
    <sheetView topLeftCell="A65" zoomScale="85" zoomScaleNormal="85" workbookViewId="0">
      <selection activeCell="F69" sqref="F69"/>
    </sheetView>
  </sheetViews>
  <sheetFormatPr baseColWidth="8" defaultColWidth="8.88671875" defaultRowHeight="18"/>
  <cols>
    <col width="20.109375" bestFit="1" customWidth="1" style="14" min="1" max="1"/>
    <col width="22.88671875" customWidth="1" style="23" min="2" max="2"/>
    <col width="23.6640625" customWidth="1" style="14" min="3" max="3"/>
    <col width="29.77734375" customWidth="1" style="8" min="4" max="4"/>
    <col width="11.88671875" customWidth="1" style="8" min="5" max="5"/>
    <col width="11.5546875" customWidth="1" style="357" min="6" max="6"/>
    <col width="12.44140625" customWidth="1" style="8" min="7" max="7"/>
    <col width="11.5546875" customWidth="1" style="357" min="8" max="8"/>
    <col width="12.44140625" customWidth="1" style="8" min="9" max="9"/>
    <col width="13.44140625" customWidth="1" style="1" min="10" max="10"/>
    <col width="7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>
      <c r="A2" s="336" t="inlineStr">
        <is>
          <t>Bữa Sáng 20.000Đ vinalfa</t>
        </is>
      </c>
      <c r="B2" s="358" t="n"/>
      <c r="C2" s="49" t="n"/>
      <c r="D2" s="49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52.2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2" t="inlineStr">
        <is>
          <t>Nguyên liệu</t>
        </is>
      </c>
      <c r="E3" s="12" t="inlineStr">
        <is>
          <t>Định lượng sống</t>
        </is>
      </c>
      <c r="F3" s="384" t="inlineStr">
        <is>
          <t>Số suất</t>
        </is>
      </c>
      <c r="G3" s="12" t="inlineStr">
        <is>
          <t>Gọi hàng</t>
        </is>
      </c>
      <c r="H3" s="384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18.75" customHeight="1">
      <c r="A4" s="328" t="n"/>
      <c r="B4" s="328" t="inlineStr">
        <is>
          <t>bánh cuốn chả quế</t>
        </is>
      </c>
      <c r="C4" s="328" t="inlineStr">
        <is>
          <t>NLG0043</t>
        </is>
      </c>
      <c r="D4" s="128" t="inlineStr">
        <is>
          <t>bánh cuốn</t>
        </is>
      </c>
      <c r="E4" s="44" t="n">
        <v>230</v>
      </c>
      <c r="F4" s="380" t="n">
        <v>650</v>
      </c>
      <c r="G4" s="385">
        <f>E4*F4/1000</f>
        <v/>
      </c>
      <c r="H4" s="380" t="n">
        <v>30000</v>
      </c>
      <c r="I4" s="386">
        <f>IFERROR(E4*H4/1000,"")</f>
        <v/>
      </c>
      <c r="J4" s="386">
        <f>I4</f>
        <v/>
      </c>
    </row>
    <row r="5" ht="39.6" customHeight="1">
      <c r="A5" s="349" t="n"/>
      <c r="B5" s="349" t="n"/>
      <c r="C5" s="70" t="inlineStr">
        <is>
          <t>NLT0164</t>
        </is>
      </c>
      <c r="D5" s="68" t="inlineStr">
        <is>
          <t>chả quế</t>
        </is>
      </c>
      <c r="E5" s="44" t="n">
        <v>40</v>
      </c>
      <c r="F5" s="380" t="n">
        <v>650</v>
      </c>
      <c r="G5" s="385">
        <f>E5*F5/1000</f>
        <v/>
      </c>
      <c r="H5" s="380" t="n">
        <v>90000</v>
      </c>
      <c r="I5" s="386">
        <f>IFERROR(E5*H5/1000,"")</f>
        <v/>
      </c>
      <c r="J5" s="386">
        <f>I5</f>
        <v/>
      </c>
    </row>
    <row r="6" ht="18.75" customHeight="1">
      <c r="A6" s="349" t="n"/>
      <c r="B6" s="349" t="n"/>
      <c r="C6" s="328" t="inlineStr">
        <is>
          <t>NLR0162</t>
        </is>
      </c>
      <c r="D6" s="74" t="inlineStr">
        <is>
          <t>rau xà lách</t>
        </is>
      </c>
      <c r="E6" s="44" t="n">
        <v>3</v>
      </c>
      <c r="F6" s="380" t="n">
        <v>650</v>
      </c>
      <c r="G6" s="385">
        <f>E6*F6/1000</f>
        <v/>
      </c>
      <c r="H6" s="380" t="n">
        <v>16000</v>
      </c>
      <c r="I6" s="386">
        <f>IFERROR(E6*H6/1000,"")</f>
        <v/>
      </c>
      <c r="J6" s="386">
        <f>I6</f>
        <v/>
      </c>
    </row>
    <row r="7" ht="18.75" customHeight="1">
      <c r="A7" s="349" t="n"/>
      <c r="B7" s="349" t="n"/>
      <c r="C7" s="328" t="inlineStr">
        <is>
          <t>NLR0092</t>
        </is>
      </c>
      <c r="D7" s="68" t="inlineStr">
        <is>
          <t>kinh giới</t>
        </is>
      </c>
      <c r="E7" s="44" t="n">
        <v>3</v>
      </c>
      <c r="F7" s="380" t="n">
        <v>650</v>
      </c>
      <c r="G7" s="385">
        <f>E7*F7/1000</f>
        <v/>
      </c>
      <c r="H7" s="380" t="n">
        <v>19000</v>
      </c>
      <c r="I7" s="386">
        <f>IFERROR(E7*H7/1000,"")</f>
        <v/>
      </c>
      <c r="J7" s="386">
        <f>I7</f>
        <v/>
      </c>
    </row>
    <row r="8" ht="18.75" customHeight="1">
      <c r="A8" s="349" t="n"/>
      <c r="B8" s="349" t="n"/>
      <c r="C8" s="328" t="inlineStr">
        <is>
          <t>NLR0170</t>
        </is>
      </c>
      <c r="D8" s="68" t="inlineStr">
        <is>
          <t>tía tô</t>
        </is>
      </c>
      <c r="E8" s="44" t="n">
        <v>3</v>
      </c>
      <c r="F8" s="380" t="n">
        <v>650</v>
      </c>
      <c r="G8" s="385">
        <f>E8*F8/1000</f>
        <v/>
      </c>
      <c r="H8" s="380" t="n">
        <v>25000</v>
      </c>
      <c r="I8" s="386">
        <f>IFERROR(E8*H8/1000,"")</f>
        <v/>
      </c>
      <c r="J8" s="386">
        <f>I8</f>
        <v/>
      </c>
    </row>
    <row r="9" ht="18.75" customHeight="1">
      <c r="A9" s="349" t="n"/>
      <c r="B9" s="349" t="n"/>
      <c r="C9" s="328" t="inlineStr">
        <is>
          <t>NLR0144</t>
        </is>
      </c>
      <c r="D9" s="68" t="inlineStr">
        <is>
          <t>húng bạc hà</t>
        </is>
      </c>
      <c r="E9" s="44" t="n">
        <v>2</v>
      </c>
      <c r="F9" s="380" t="n">
        <v>650</v>
      </c>
      <c r="G9" s="385">
        <f>E9*F9/1000</f>
        <v/>
      </c>
      <c r="H9" s="380" t="n">
        <v>30000</v>
      </c>
      <c r="I9" s="386">
        <f>IFERROR(E9*H9/1000,"")</f>
        <v/>
      </c>
      <c r="J9" s="386">
        <f>I9</f>
        <v/>
      </c>
    </row>
    <row r="10" ht="18.75" customHeight="1">
      <c r="A10" s="349" t="n"/>
      <c r="B10" s="349" t="n"/>
      <c r="C10" s="328" t="inlineStr">
        <is>
          <t>NPG0066</t>
        </is>
      </c>
      <c r="D10" s="68" t="inlineStr">
        <is>
          <t>hành khô</t>
        </is>
      </c>
      <c r="E10" s="44" t="n">
        <v>5</v>
      </c>
      <c r="F10" s="380" t="n">
        <v>650</v>
      </c>
      <c r="G10" s="385">
        <f>E10*F10/1000</f>
        <v/>
      </c>
      <c r="H10" s="380" t="n">
        <v>22000</v>
      </c>
      <c r="I10" s="386">
        <f>IFERROR(E10*H10/1000,"")</f>
        <v/>
      </c>
      <c r="J10" s="386">
        <f>I10</f>
        <v/>
      </c>
    </row>
    <row r="11">
      <c r="A11" s="50" t="inlineStr">
        <is>
          <t>Gia vị</t>
        </is>
      </c>
      <c r="B11" s="51" t="n"/>
      <c r="C11" s="51" t="n"/>
      <c r="D11" s="51" t="n"/>
      <c r="E11" s="51" t="n"/>
      <c r="F11" s="51" t="n"/>
      <c r="G11" s="51" t="n"/>
      <c r="H11" s="51" t="n"/>
      <c r="I11" s="52" t="n"/>
      <c r="J11" s="387" t="n">
        <v>800</v>
      </c>
    </row>
    <row r="12">
      <c r="A12" s="40" t="n"/>
      <c r="B12" s="41" t="n"/>
      <c r="C12" s="41" t="n"/>
      <c r="D12" s="41" t="inlineStr">
        <is>
          <t>GAS</t>
        </is>
      </c>
      <c r="E12" s="41" t="n"/>
      <c r="F12" s="41" t="n"/>
      <c r="G12" s="41" t="n"/>
      <c r="H12" s="41" t="n"/>
      <c r="I12" s="42" t="n"/>
      <c r="J12" s="387" t="n">
        <v>1250</v>
      </c>
    </row>
    <row r="13">
      <c r="A13" s="40" t="n"/>
      <c r="B13" s="41" t="n"/>
      <c r="C13" s="41" t="n"/>
      <c r="D13" s="41" t="inlineStr">
        <is>
          <t>Chi phí khay,đũa</t>
        </is>
      </c>
      <c r="E13" s="41" t="n"/>
      <c r="F13" s="41" t="n"/>
      <c r="G13" s="41" t="n"/>
      <c r="H13" s="41" t="n"/>
      <c r="I13" s="42" t="n"/>
      <c r="J13" s="387" t="n">
        <v>1600</v>
      </c>
    </row>
    <row r="14" ht="18" customHeight="1">
      <c r="A14" s="50" t="inlineStr">
        <is>
          <t>Tổng chi phí TĐ 1</t>
        </is>
      </c>
      <c r="B14" s="51" t="n"/>
      <c r="C14" s="51" t="n"/>
      <c r="D14" s="51" t="n"/>
      <c r="E14" s="51" t="n"/>
      <c r="F14" s="51" t="n"/>
      <c r="G14" s="51" t="n"/>
      <c r="H14" s="51" t="n"/>
      <c r="I14" s="52" t="n"/>
      <c r="J14" s="389">
        <f>SUM(J4:J13)</f>
        <v/>
      </c>
    </row>
    <row r="15">
      <c r="A15" s="50" t="inlineStr">
        <is>
          <t>Cost TĐ 1</t>
        </is>
      </c>
      <c r="B15" s="51" t="n"/>
      <c r="C15" s="51" t="n"/>
      <c r="D15" s="51" t="n"/>
      <c r="E15" s="51" t="n"/>
      <c r="F15" s="51" t="n"/>
      <c r="G15" s="51" t="n"/>
      <c r="H15" s="51" t="n"/>
      <c r="I15" s="52" t="n"/>
      <c r="J15" s="25">
        <f>J14/20000</f>
        <v/>
      </c>
    </row>
    <row r="16">
      <c r="A16" s="23" t="n"/>
      <c r="C16" s="23" t="n"/>
      <c r="D16" s="23" t="n"/>
      <c r="E16" s="23" t="n"/>
      <c r="F16" s="23" t="n"/>
      <c r="G16" s="23" t="n"/>
      <c r="H16" s="23" t="n"/>
      <c r="I16" s="23" t="n"/>
      <c r="J16" s="194" t="n"/>
    </row>
    <row r="17">
      <c r="A17" s="23" t="n"/>
      <c r="C17" s="23" t="n"/>
      <c r="D17" s="23" t="n"/>
      <c r="E17" s="23" t="n"/>
      <c r="F17" s="23" t="n"/>
      <c r="G17" s="23" t="n"/>
      <c r="H17" s="23" t="n"/>
      <c r="I17" s="23" t="n"/>
      <c r="J17" s="194" t="n"/>
    </row>
    <row r="18">
      <c r="A18" s="336" t="inlineStr">
        <is>
          <t>Bữa Sáng 20.000Đ SGC</t>
        </is>
      </c>
      <c r="B18" s="358" t="n"/>
      <c r="C18" s="49" t="n"/>
      <c r="D18" s="49" t="n"/>
      <c r="E18" s="49" t="n"/>
      <c r="F18" s="49" t="n"/>
      <c r="G18" s="49" t="inlineStr">
        <is>
          <t>a</t>
        </is>
      </c>
      <c r="H18" s="49" t="n"/>
      <c r="I18" s="49" t="n"/>
      <c r="J18" s="49" t="n"/>
    </row>
    <row r="19" ht="52.2" customHeight="1">
      <c r="A19" s="12" t="inlineStr">
        <is>
          <t>Cơ cấu</t>
        </is>
      </c>
      <c r="B19" s="43" t="inlineStr">
        <is>
          <t>Món ăn</t>
        </is>
      </c>
      <c r="C19" s="12" t="inlineStr">
        <is>
          <t>Mã hàng</t>
        </is>
      </c>
      <c r="D19" s="12" t="inlineStr">
        <is>
          <t>Nguyên liệu</t>
        </is>
      </c>
      <c r="E19" s="12" t="inlineStr">
        <is>
          <t>Định lượng sống</t>
        </is>
      </c>
      <c r="F19" s="384" t="inlineStr">
        <is>
          <t>Số suất</t>
        </is>
      </c>
      <c r="G19" s="12" t="inlineStr">
        <is>
          <t>Gọi hàng</t>
        </is>
      </c>
      <c r="H19" s="384" t="inlineStr">
        <is>
          <t>Đơn giá</t>
        </is>
      </c>
      <c r="I19" s="12" t="inlineStr">
        <is>
          <t>Thành tiền</t>
        </is>
      </c>
      <c r="J19" s="12" t="inlineStr">
        <is>
          <t>Tổng</t>
        </is>
      </c>
    </row>
    <row r="20" ht="18.75" customHeight="1">
      <c r="A20" s="328" t="n"/>
      <c r="B20" s="328" t="inlineStr">
        <is>
          <t>bánh mì kẹp trứng xúc xích</t>
        </is>
      </c>
      <c r="C20" s="328" t="n"/>
      <c r="D20" s="74" t="inlineStr">
        <is>
          <t>bánh mì</t>
        </is>
      </c>
      <c r="E20" s="44" t="n">
        <v>1000</v>
      </c>
      <c r="F20" s="380" t="n">
        <v>1500</v>
      </c>
      <c r="G20" s="385">
        <f>E20*F20/1000</f>
        <v/>
      </c>
      <c r="H20" s="380" t="n">
        <v>3500</v>
      </c>
      <c r="I20" s="386">
        <f>IFERROR(E20*H20/1000,"")</f>
        <v/>
      </c>
      <c r="J20" s="386">
        <f>I20</f>
        <v/>
      </c>
    </row>
    <row r="21" ht="18.75" customHeight="1">
      <c r="A21" s="349" t="n"/>
      <c r="B21" s="349" t="n"/>
      <c r="C21" s="328" t="inlineStr">
        <is>
          <t>NLT0181</t>
        </is>
      </c>
      <c r="D21" s="74" t="inlineStr">
        <is>
          <t>trứng gà cn</t>
        </is>
      </c>
      <c r="E21" s="44" t="n">
        <v>500</v>
      </c>
      <c r="F21" s="380" t="n">
        <v>1500</v>
      </c>
      <c r="G21" s="385">
        <f>E21*F21/1000</f>
        <v/>
      </c>
      <c r="H21" s="380" t="n">
        <v>2300</v>
      </c>
      <c r="I21" s="386">
        <f>IFERROR(E21*H21/1000,"")</f>
        <v/>
      </c>
      <c r="J21" s="386">
        <f>I21</f>
        <v/>
      </c>
    </row>
    <row r="22" ht="18.75" customHeight="1">
      <c r="A22" s="349" t="n"/>
      <c r="B22" s="349" t="n"/>
      <c r="C22" s="328" t="inlineStr">
        <is>
          <t>NLT0108</t>
        </is>
      </c>
      <c r="D22" s="74" t="inlineStr">
        <is>
          <t>Xúc xích Đức Việt 500g/gói (1 gói 10 cái)</t>
        </is>
      </c>
      <c r="E22" s="44" t="n">
        <v>50</v>
      </c>
      <c r="F22" s="380" t="n">
        <v>1500</v>
      </c>
      <c r="G22" s="385">
        <f>E22*F22/1000</f>
        <v/>
      </c>
      <c r="H22" s="380" t="n">
        <v>65000</v>
      </c>
      <c r="I22" s="386">
        <f>IFERROR(E22*H22/1000,"")</f>
        <v/>
      </c>
      <c r="J22" s="386">
        <f>I22</f>
        <v/>
      </c>
    </row>
    <row r="23" ht="18.75" customHeight="1">
      <c r="A23" s="349" t="n"/>
      <c r="B23" s="349" t="n"/>
      <c r="C23" s="328" t="inlineStr">
        <is>
          <t>NLR0060</t>
        </is>
      </c>
      <c r="D23" s="74" t="inlineStr">
        <is>
          <t>dưa chuột</t>
        </is>
      </c>
      <c r="E23" s="44" t="n">
        <v>50</v>
      </c>
      <c r="F23" s="380" t="n">
        <v>1500</v>
      </c>
      <c r="G23" s="385">
        <f>E23*F23/1000</f>
        <v/>
      </c>
      <c r="H23" s="380" t="n">
        <v>15000</v>
      </c>
      <c r="I23" s="386">
        <f>IFERROR(E23*H23/1000,"")</f>
        <v/>
      </c>
      <c r="J23" s="386">
        <f>I23</f>
        <v/>
      </c>
    </row>
    <row r="24" ht="18.75" customHeight="1">
      <c r="A24" s="349" t="n"/>
      <c r="B24" s="349" t="n"/>
      <c r="C24" s="328" t="inlineStr">
        <is>
          <t>NLR0153</t>
        </is>
      </c>
      <c r="D24" s="74" t="inlineStr">
        <is>
          <t>rau mùi ta</t>
        </is>
      </c>
      <c r="E24" s="44" t="n">
        <v>2</v>
      </c>
      <c r="F24" s="380" t="n">
        <v>1500</v>
      </c>
      <c r="G24" s="385">
        <f>E24*F24/1000</f>
        <v/>
      </c>
      <c r="H24" s="380" t="n">
        <v>15000</v>
      </c>
      <c r="I24" s="386">
        <f>IFERROR(E24*H24/1000,"")</f>
        <v/>
      </c>
      <c r="J24" s="386">
        <f>I24</f>
        <v/>
      </c>
    </row>
    <row r="25">
      <c r="A25" s="50" t="inlineStr">
        <is>
          <t>Gia vị</t>
        </is>
      </c>
      <c r="B25" s="51" t="n"/>
      <c r="C25" s="51" t="n"/>
      <c r="D25" s="51" t="n"/>
      <c r="E25" s="51" t="n"/>
      <c r="F25" s="51" t="n"/>
      <c r="G25" s="51" t="n"/>
      <c r="H25" s="51" t="n"/>
      <c r="I25" s="52" t="n"/>
      <c r="J25" s="387" t="n">
        <v>800</v>
      </c>
    </row>
    <row r="26">
      <c r="A26" s="40" t="n"/>
      <c r="B26" s="41" t="n"/>
      <c r="C26" s="41" t="n"/>
      <c r="D26" s="41" t="inlineStr">
        <is>
          <t>GAS</t>
        </is>
      </c>
      <c r="E26" s="41" t="n"/>
      <c r="F26" s="41" t="n"/>
      <c r="G26" s="41" t="n"/>
      <c r="H26" s="41" t="n"/>
      <c r="I26" s="42" t="n"/>
      <c r="J26" s="387" t="n">
        <v>1250</v>
      </c>
    </row>
    <row r="27">
      <c r="A27" s="40" t="n"/>
      <c r="B27" s="41" t="n"/>
      <c r="C27" s="41" t="n"/>
      <c r="D27" s="41" t="inlineStr">
        <is>
          <t>Chi phí khay,đũa</t>
        </is>
      </c>
      <c r="E27" s="41" t="n"/>
      <c r="F27" s="41" t="n"/>
      <c r="G27" s="41" t="n"/>
      <c r="H27" s="41" t="n"/>
      <c r="I27" s="42" t="n"/>
      <c r="J27" s="387" t="n">
        <v>1600</v>
      </c>
    </row>
    <row r="28" ht="18" customHeight="1">
      <c r="A28" s="50" t="inlineStr">
        <is>
          <t>Tổng chi phí TĐ 1</t>
        </is>
      </c>
      <c r="B28" s="51" t="n"/>
      <c r="C28" s="51" t="n"/>
      <c r="D28" s="51" t="n"/>
      <c r="E28" s="51" t="n"/>
      <c r="F28" s="51" t="n"/>
      <c r="G28" s="51" t="n"/>
      <c r="H28" s="51" t="n"/>
      <c r="I28" s="52" t="n"/>
      <c r="J28" s="389">
        <f>SUM(J20:J27)</f>
        <v/>
      </c>
    </row>
    <row r="29">
      <c r="A29" s="50" t="inlineStr">
        <is>
          <t>Cost TĐ 1</t>
        </is>
      </c>
      <c r="B29" s="51" t="n"/>
      <c r="C29" s="51" t="n"/>
      <c r="D29" s="51" t="n"/>
      <c r="E29" s="51" t="n"/>
      <c r="F29" s="51" t="n"/>
      <c r="H29" s="51" t="n"/>
      <c r="I29" s="52" t="n"/>
      <c r="J29" s="25">
        <f>J28/20000</f>
        <v/>
      </c>
    </row>
    <row r="30">
      <c r="A30" s="23" t="n"/>
      <c r="C30" s="23" t="n"/>
      <c r="D30" s="23" t="n"/>
      <c r="E30" s="23" t="n"/>
      <c r="F30" s="23" t="n"/>
      <c r="G30" s="23" t="n"/>
      <c r="H30" s="23" t="n"/>
      <c r="I30" s="23" t="n"/>
      <c r="J30" s="194" t="n"/>
    </row>
    <row r="31">
      <c r="A31" s="49" t="inlineStr">
        <is>
          <t>CHIẾT TÍNH THỰC ĐƠN CA Trưa 40.000đ</t>
        </is>
      </c>
      <c r="B31" s="49" t="n"/>
      <c r="C31" s="49" t="n"/>
      <c r="D31" s="49" t="n"/>
      <c r="E31" s="49" t="n"/>
      <c r="F31" s="49" t="n"/>
      <c r="G31" s="49" t="n"/>
      <c r="H31" s="49" t="n"/>
      <c r="I31" s="49" t="n"/>
      <c r="J31" s="49" t="n"/>
    </row>
    <row r="32" ht="45" customFormat="1" customHeight="1" s="14">
      <c r="A32" s="12" t="inlineStr">
        <is>
          <t>Cơ cấu</t>
        </is>
      </c>
      <c r="B32" s="12" t="inlineStr">
        <is>
          <t>Món ăn</t>
        </is>
      </c>
      <c r="C32" s="12" t="inlineStr">
        <is>
          <t>Mã hàng</t>
        </is>
      </c>
      <c r="D32" s="12" t="inlineStr">
        <is>
          <t>Nguyên liệu</t>
        </is>
      </c>
      <c r="E32" s="12" t="inlineStr">
        <is>
          <t>Định lượng sống</t>
        </is>
      </c>
      <c r="F32" s="384" t="inlineStr">
        <is>
          <t>Số suất</t>
        </is>
      </c>
      <c r="G32" s="12" t="inlineStr">
        <is>
          <t>Gọi hàng</t>
        </is>
      </c>
      <c r="H32" s="384" t="inlineStr">
        <is>
          <t>Đơn giá</t>
        </is>
      </c>
      <c r="I32" s="12" t="inlineStr">
        <is>
          <t>Thành tiền</t>
        </is>
      </c>
      <c r="J32" s="12" t="inlineStr">
        <is>
          <t>Tổng</t>
        </is>
      </c>
    </row>
    <row r="33" ht="24.6" customHeight="1">
      <c r="A33" s="189" t="n"/>
      <c r="B33" s="328" t="inlineStr">
        <is>
          <t>bò kho dưa</t>
        </is>
      </c>
      <c r="C33" s="330" t="inlineStr">
        <is>
          <t>NLT0435</t>
        </is>
      </c>
      <c r="D33" s="68" t="inlineStr">
        <is>
          <t>Thịt dẻ sườn trâu 123</t>
        </is>
      </c>
      <c r="E33" s="7" t="n">
        <v>70</v>
      </c>
      <c r="F33" s="380" t="n">
        <v>2050</v>
      </c>
      <c r="G33" s="385">
        <f>E33*F33/1000</f>
        <v/>
      </c>
      <c r="H33" s="380" t="n">
        <v>120000</v>
      </c>
      <c r="I33" s="386">
        <f>IFERROR(E33*H33/1000,"")</f>
        <v/>
      </c>
      <c r="J33" s="386">
        <f>I33</f>
        <v/>
      </c>
      <c r="K33" s="14" t="n"/>
      <c r="L33" s="380" t="n"/>
    </row>
    <row r="34" ht="24.6" customHeight="1">
      <c r="A34" s="190" t="n"/>
      <c r="B34" s="349" t="n"/>
      <c r="C34" s="330" t="inlineStr">
        <is>
          <t>NLR0025</t>
        </is>
      </c>
      <c r="D34" s="78" t="inlineStr">
        <is>
          <t>cải bẹ</t>
        </is>
      </c>
      <c r="E34" s="7" t="n">
        <v>50</v>
      </c>
      <c r="F34" s="380" t="n">
        <v>2050</v>
      </c>
      <c r="G34" s="385">
        <f>E34*F34/1000</f>
        <v/>
      </c>
      <c r="H34" s="380" t="n">
        <v>9000</v>
      </c>
      <c r="I34" s="386">
        <f>IFERROR(E34*H34/1000,"")</f>
        <v/>
      </c>
      <c r="J34" s="386">
        <f>I34</f>
        <v/>
      </c>
      <c r="K34" s="14" t="n"/>
      <c r="L34" s="381" t="n"/>
    </row>
    <row r="35" ht="24.6" customHeight="1">
      <c r="A35" s="330" t="n"/>
      <c r="B35" s="349" t="n"/>
      <c r="C35" s="330" t="inlineStr">
        <is>
          <t>NLR0268</t>
        </is>
      </c>
      <c r="D35" s="68" t="inlineStr">
        <is>
          <t>cà chua to</t>
        </is>
      </c>
      <c r="E35" s="4" t="n">
        <v>3</v>
      </c>
      <c r="F35" s="380" t="n">
        <v>2050</v>
      </c>
      <c r="G35" s="385">
        <f>E35*F35/1000</f>
        <v/>
      </c>
      <c r="H35" s="380" t="n">
        <v>22000</v>
      </c>
      <c r="I35" s="386">
        <f>IFERROR(E35*H35/1000,"")</f>
        <v/>
      </c>
      <c r="J35" s="386">
        <f>I35</f>
        <v/>
      </c>
      <c r="K35" s="14" t="n"/>
      <c r="L35" s="381" t="n"/>
    </row>
    <row r="36" ht="24.6" customHeight="1">
      <c r="A36" s="366" t="n"/>
      <c r="B36" s="330" t="inlineStr">
        <is>
          <t>ức gà chiên xù</t>
        </is>
      </c>
      <c r="C36" s="330" t="inlineStr">
        <is>
          <t>NLT0107</t>
        </is>
      </c>
      <c r="D36" s="68" t="inlineStr">
        <is>
          <t>Ức gà không xương</t>
        </is>
      </c>
      <c r="E36" s="4" t="n">
        <v>65</v>
      </c>
      <c r="F36" s="380" t="n">
        <v>2050</v>
      </c>
      <c r="G36" s="385">
        <f>E36*F36/1000</f>
        <v/>
      </c>
      <c r="H36" s="380" t="n">
        <v>57000</v>
      </c>
      <c r="I36" s="386">
        <f>IFERROR(E36*H36/1000,"")</f>
        <v/>
      </c>
      <c r="J36" s="386">
        <f>I36</f>
        <v/>
      </c>
      <c r="K36" s="14" t="n"/>
      <c r="L36" s="381" t="n"/>
    </row>
    <row r="37" ht="24.6" customHeight="1">
      <c r="A37" s="190" t="n"/>
      <c r="B37" s="328" t="inlineStr">
        <is>
          <t>lạc chao</t>
        </is>
      </c>
      <c r="C37" s="330" t="inlineStr">
        <is>
          <t>NLT0020</t>
        </is>
      </c>
      <c r="D37" s="68" t="inlineStr">
        <is>
          <t>lạc nhân</t>
        </is>
      </c>
      <c r="E37" s="7" t="n">
        <v>40</v>
      </c>
      <c r="F37" s="380" t="n">
        <v>2050</v>
      </c>
      <c r="G37" s="385">
        <f>E37*F37/1000</f>
        <v/>
      </c>
      <c r="H37" s="380" t="n">
        <v>50000</v>
      </c>
      <c r="I37" s="386">
        <f>IFERROR(E37*H37/1000,"")</f>
        <v/>
      </c>
      <c r="J37" s="386">
        <f>I37</f>
        <v/>
      </c>
      <c r="K37" s="14" t="n"/>
      <c r="L37" s="381" t="n"/>
    </row>
    <row r="38" ht="24.6" customHeight="1">
      <c r="A38" s="190" t="n"/>
      <c r="B38" s="328" t="inlineStr">
        <is>
          <t>su su cà rốt luộc</t>
        </is>
      </c>
      <c r="C38" s="330" t="inlineStr">
        <is>
          <t>NLR0165</t>
        </is>
      </c>
      <c r="D38" s="78" t="inlineStr">
        <is>
          <t>su su</t>
        </is>
      </c>
      <c r="E38" s="7" t="n">
        <v>110</v>
      </c>
      <c r="F38" s="380" t="n">
        <v>2050</v>
      </c>
      <c r="G38" s="385">
        <f>E38*F38/1000</f>
        <v/>
      </c>
      <c r="H38" s="380" t="n">
        <v>9000</v>
      </c>
      <c r="I38" s="386">
        <f>IFERROR(E38*H38/1000,"")</f>
        <v/>
      </c>
      <c r="J38" s="386">
        <f>I38</f>
        <v/>
      </c>
      <c r="K38" s="14" t="n"/>
    </row>
    <row r="39" ht="24.6" customHeight="1">
      <c r="A39" s="190" t="n"/>
      <c r="B39" s="349" t="n"/>
      <c r="C39" s="330" t="inlineStr">
        <is>
          <t>NLR0018</t>
        </is>
      </c>
      <c r="D39" s="78" t="inlineStr">
        <is>
          <t>cà rốt</t>
        </is>
      </c>
      <c r="E39" s="7" t="n">
        <v>10</v>
      </c>
      <c r="F39" s="380" t="n">
        <v>2050</v>
      </c>
      <c r="G39" s="385">
        <f>E39*F39/1000</f>
        <v/>
      </c>
      <c r="H39" s="380" t="n">
        <v>11000</v>
      </c>
      <c r="I39" s="386">
        <f>IFERROR(E39*H39/1000,"")</f>
        <v/>
      </c>
      <c r="J39" s="386">
        <f>I39</f>
        <v/>
      </c>
      <c r="K39" s="14" t="n"/>
    </row>
    <row r="40" ht="24.6" customHeight="1">
      <c r="A40" s="190" t="n"/>
      <c r="B40" s="38" t="inlineStr">
        <is>
          <t>cơm trắng</t>
        </is>
      </c>
      <c r="C40" s="330" t="inlineStr">
        <is>
          <t>NLG0013</t>
        </is>
      </c>
      <c r="D40" s="85" t="inlineStr">
        <is>
          <t>gạo bắc hương</t>
        </is>
      </c>
      <c r="E40" s="7" t="n">
        <v>180</v>
      </c>
      <c r="F40" s="380" t="n">
        <v>2050</v>
      </c>
      <c r="G40" s="385">
        <f>E40*F40/1000</f>
        <v/>
      </c>
      <c r="H40" s="380" t="n">
        <v>13800</v>
      </c>
      <c r="I40" s="386">
        <f>IFERROR(E40*H40/1000,"")</f>
        <v/>
      </c>
      <c r="J40" s="386">
        <f>I40</f>
        <v/>
      </c>
      <c r="K40" s="14" t="n"/>
    </row>
    <row r="41" ht="25.8" customHeight="1">
      <c r="A41" s="191" t="n"/>
      <c r="B41" s="38" t="inlineStr">
        <is>
          <t>canh cải ngọt</t>
        </is>
      </c>
      <c r="C41" s="330" t="inlineStr">
        <is>
          <t>NLR0032</t>
        </is>
      </c>
      <c r="D41" s="130" t="inlineStr">
        <is>
          <t>cải ngọt cắt gốc</t>
        </is>
      </c>
      <c r="E41" s="7" t="n">
        <v>15</v>
      </c>
      <c r="F41" s="380" t="n">
        <v>2050</v>
      </c>
      <c r="G41" s="385">
        <f>E41*F41/1000</f>
        <v/>
      </c>
      <c r="H41" s="380" t="n">
        <v>11000</v>
      </c>
      <c r="I41" s="386">
        <f>IFERROR(E41*H41/1000,"")</f>
        <v/>
      </c>
      <c r="J41" s="386">
        <f>I41</f>
        <v/>
      </c>
      <c r="K41" s="14" t="n"/>
    </row>
    <row r="42" ht="33.6" customHeight="1">
      <c r="A42" s="37" t="n"/>
      <c r="B42" s="330" t="inlineStr">
        <is>
          <t>dưa hấu</t>
        </is>
      </c>
      <c r="C42" s="330" t="inlineStr">
        <is>
          <t>NLQ0013</t>
        </is>
      </c>
      <c r="D42" s="68" t="inlineStr">
        <is>
          <t>Dưa hấu 1,8- 3kg/quả</t>
        </is>
      </c>
      <c r="E42" s="4" t="n">
        <v>110</v>
      </c>
      <c r="F42" s="380" t="n">
        <v>2050</v>
      </c>
      <c r="G42" s="385">
        <f>E42*F42/1000</f>
        <v/>
      </c>
      <c r="H42" s="380" t="n">
        <v>10000</v>
      </c>
      <c r="I42" s="386">
        <f>IFERROR(E42*H42/1000,"")</f>
        <v/>
      </c>
      <c r="J42" s="386">
        <f>I42</f>
        <v/>
      </c>
      <c r="K42" s="14" t="n"/>
    </row>
    <row r="43" ht="24.6" customHeight="1">
      <c r="A43" s="50" t="inlineStr">
        <is>
          <t>Gia vị</t>
        </is>
      </c>
      <c r="B43" s="51" t="n"/>
      <c r="C43" s="51" t="n"/>
      <c r="D43" s="51" t="n"/>
      <c r="E43" s="51" t="n"/>
      <c r="F43" s="51" t="n"/>
      <c r="G43" s="51" t="n"/>
      <c r="H43" s="51" t="n"/>
      <c r="I43" s="52" t="n"/>
      <c r="J43" s="387" t="n">
        <v>1600</v>
      </c>
      <c r="N43" s="368" t="n"/>
    </row>
    <row r="44" ht="24.6" customHeight="1">
      <c r="A44" s="40" t="n"/>
      <c r="B44" s="41" t="n"/>
      <c r="C44" s="41" t="n"/>
      <c r="D44" s="41" t="inlineStr">
        <is>
          <t>Gas</t>
        </is>
      </c>
      <c r="E44" s="41" t="n"/>
      <c r="F44" s="41" t="n"/>
      <c r="G44" s="41" t="n"/>
      <c r="H44" s="41" t="n"/>
      <c r="I44" s="42" t="n"/>
      <c r="J44" s="387" t="n">
        <v>1250</v>
      </c>
      <c r="N44" s="368" t="n"/>
    </row>
    <row r="45" ht="24.6" customHeight="1">
      <c r="A45" s="40" t="n"/>
      <c r="B45" s="41" t="n"/>
      <c r="C45" s="41" t="n"/>
      <c r="D45" s="41" t="inlineStr">
        <is>
          <t>Chi phí đũa thìa + điện nước</t>
        </is>
      </c>
      <c r="E45" s="41" t="n"/>
      <c r="F45" s="41" t="n"/>
      <c r="G45" s="41" t="n"/>
      <c r="H45" s="41" t="n"/>
      <c r="I45" s="42" t="n"/>
      <c r="J45" s="387" t="n">
        <v>2500</v>
      </c>
      <c r="N45" s="368" t="n"/>
    </row>
    <row r="46" ht="24.6" customHeight="1">
      <c r="A46" s="50" t="inlineStr">
        <is>
          <t>Tổng chi phí TĐ 1</t>
        </is>
      </c>
      <c r="B46" s="51" t="n"/>
      <c r="C46" s="51" t="n"/>
      <c r="D46" s="51" t="n"/>
      <c r="E46" s="51" t="n"/>
      <c r="F46" s="51" t="n"/>
      <c r="G46" s="51" t="n"/>
      <c r="H46" s="51" t="n"/>
      <c r="I46" s="52" t="n"/>
      <c r="J46" s="389">
        <f>SUM(J33:J45)</f>
        <v/>
      </c>
      <c r="K46" s="1" t="inlineStr">
        <is>
          <t> </t>
        </is>
      </c>
    </row>
    <row r="47" ht="24.6" customHeight="1">
      <c r="A47" s="50" t="inlineStr">
        <is>
          <t>Cost TĐ 1</t>
        </is>
      </c>
      <c r="B47" s="51" t="n"/>
      <c r="C47" s="51" t="n"/>
      <c r="D47" s="51" t="n"/>
      <c r="E47" s="51" t="n"/>
      <c r="F47" s="51" t="n"/>
      <c r="G47" s="51" t="n"/>
      <c r="H47" s="51" t="n"/>
      <c r="I47" s="52" t="n"/>
      <c r="J47" s="25">
        <f>J46/40000</f>
        <v/>
      </c>
    </row>
    <row r="48">
      <c r="A48" s="28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9" t="n"/>
    </row>
    <row r="49">
      <c r="A49" s="49" t="inlineStr">
        <is>
          <t>THỰC ĐƠN CA Chiều 40.000Đ</t>
        </is>
      </c>
      <c r="B49" s="49" t="n"/>
      <c r="C49" s="49" t="n"/>
      <c r="D49" s="49" t="n"/>
      <c r="E49" s="49" t="n"/>
      <c r="F49" s="49" t="n"/>
      <c r="G49" s="49" t="n"/>
      <c r="H49" s="49" t="n"/>
      <c r="I49" s="49" t="n"/>
      <c r="J49" s="49" t="n"/>
    </row>
    <row r="50" ht="52.2" customFormat="1" customHeight="1" s="14">
      <c r="A50" s="12" t="inlineStr">
        <is>
          <t>Cơ cấu</t>
        </is>
      </c>
      <c r="B50" s="12" t="inlineStr">
        <is>
          <t>Món ăn</t>
        </is>
      </c>
      <c r="C50" s="12" t="inlineStr">
        <is>
          <t>Mã hàng</t>
        </is>
      </c>
      <c r="D50" s="12" t="inlineStr">
        <is>
          <t>Nguyên liệu</t>
        </is>
      </c>
      <c r="E50" s="12" t="inlineStr">
        <is>
          <t>Định lượng sống</t>
        </is>
      </c>
      <c r="F50" s="384" t="inlineStr">
        <is>
          <t>Số suất</t>
        </is>
      </c>
      <c r="G50" s="12" t="inlineStr">
        <is>
          <t>Gọi hàng</t>
        </is>
      </c>
      <c r="H50" s="384" t="inlineStr">
        <is>
          <t>Đơn giá</t>
        </is>
      </c>
      <c r="I50" s="12" t="inlineStr">
        <is>
          <t>Thành tiền</t>
        </is>
      </c>
      <c r="J50" s="12" t="inlineStr">
        <is>
          <t>Tổng</t>
        </is>
      </c>
      <c r="L50" s="16" t="n"/>
      <c r="M50" s="369" t="n"/>
      <c r="Q50" s="370" t="n"/>
    </row>
    <row r="51" ht="22.8" customHeight="1">
      <c r="A51" s="390" t="n"/>
      <c r="B51" s="390" t="inlineStr">
        <is>
          <t>sườn chua ngọt</t>
        </is>
      </c>
      <c r="C51" s="328" t="inlineStr">
        <is>
          <t>NLT0445</t>
        </is>
      </c>
      <c r="D51" s="74" t="inlineStr">
        <is>
          <t>Sườn cánh buồm ĐL</t>
        </is>
      </c>
      <c r="E51" s="4" t="n">
        <v>110</v>
      </c>
      <c r="F51" s="380" t="n">
        <v>2100</v>
      </c>
      <c r="G51" s="385">
        <f>E51*F51/1000</f>
        <v/>
      </c>
      <c r="H51" s="380" t="n">
        <v>83000</v>
      </c>
      <c r="I51" s="386">
        <f>IFERROR(E51*H51/1000,"")</f>
        <v/>
      </c>
      <c r="J51" s="386">
        <f>I51</f>
        <v/>
      </c>
    </row>
    <row r="52" ht="22.8" customHeight="1">
      <c r="A52" s="349" t="n"/>
      <c r="B52" s="346" t="n"/>
      <c r="C52" s="328" t="inlineStr">
        <is>
          <t>NLR0083</t>
        </is>
      </c>
      <c r="D52" s="128" t="inlineStr">
        <is>
          <t>hành tây</t>
        </is>
      </c>
      <c r="E52" s="4" t="n">
        <v>20</v>
      </c>
      <c r="F52" s="380" t="n">
        <v>2100</v>
      </c>
      <c r="G52" s="385">
        <f>E52*F52/1000</f>
        <v/>
      </c>
      <c r="H52" s="380" t="n">
        <v>9000</v>
      </c>
      <c r="I52" s="386">
        <f>IFERROR(E52*H52/1000,"")</f>
        <v/>
      </c>
      <c r="J52" s="386">
        <f>I52</f>
        <v/>
      </c>
    </row>
    <row r="53" ht="24.6" customHeight="1">
      <c r="A53" s="349" t="n"/>
      <c r="B53" s="330" t="inlineStr">
        <is>
          <t>trứng xào thịt băm</t>
        </is>
      </c>
      <c r="C53" s="328" t="inlineStr">
        <is>
          <t>NLT0181</t>
        </is>
      </c>
      <c r="D53" s="128" t="inlineStr">
        <is>
          <t>trứng gà cn</t>
        </is>
      </c>
      <c r="E53" s="4" t="n">
        <v>900</v>
      </c>
      <c r="F53" s="380" t="n">
        <v>2100</v>
      </c>
      <c r="G53" s="385">
        <f>E53*F53/1000</f>
        <v/>
      </c>
      <c r="H53" s="380" t="n">
        <v>2300</v>
      </c>
      <c r="I53" s="386">
        <f>IFERROR(E53*H53/1000,"")</f>
        <v/>
      </c>
      <c r="J53" s="386">
        <f>I53</f>
        <v/>
      </c>
    </row>
    <row r="54" ht="22.8" customHeight="1">
      <c r="A54" s="349" t="n"/>
      <c r="B54" s="366" t="n"/>
      <c r="C54" s="328" t="inlineStr">
        <is>
          <t>NLT0076</t>
        </is>
      </c>
      <c r="D54" s="128" t="inlineStr">
        <is>
          <t>thịt lợn mông sấn</t>
        </is>
      </c>
      <c r="E54" s="4" t="n">
        <v>25</v>
      </c>
      <c r="F54" s="380" t="n">
        <v>2100</v>
      </c>
      <c r="G54" s="385">
        <f>E54*F54/1000</f>
        <v/>
      </c>
      <c r="H54" s="380" t="n">
        <v>101000</v>
      </c>
      <c r="I54" s="386">
        <f>IFERROR(E54*H54/1000,"")</f>
        <v/>
      </c>
      <c r="J54" s="386">
        <f>I54</f>
        <v/>
      </c>
    </row>
    <row r="55" ht="24" customHeight="1">
      <c r="A55" s="349" t="n"/>
      <c r="B55" s="330" t="inlineStr">
        <is>
          <t>cá cơm chua ngọt</t>
        </is>
      </c>
      <c r="C55" s="328" t="inlineStr">
        <is>
          <t>NLS0111</t>
        </is>
      </c>
      <c r="D55" s="128" t="inlineStr">
        <is>
          <t>cá cơm khô</t>
        </is>
      </c>
      <c r="E55" s="4" t="n">
        <v>22</v>
      </c>
      <c r="F55" s="380" t="n">
        <v>2100</v>
      </c>
      <c r="G55" s="385">
        <f>E55*F55/1000</f>
        <v/>
      </c>
      <c r="H55" s="380" t="n">
        <v>125000</v>
      </c>
      <c r="I55" s="386">
        <f>IFERROR(E55*H55/1000,"")</f>
        <v/>
      </c>
      <c r="J55" s="386">
        <f>I55</f>
        <v/>
      </c>
    </row>
    <row r="56" ht="25.8" customHeight="1">
      <c r="A56" s="349" t="n"/>
      <c r="B56" s="328" t="inlineStr">
        <is>
          <t>bắp cải luộc</t>
        </is>
      </c>
      <c r="C56" s="328" t="inlineStr">
        <is>
          <t>NLR0001</t>
        </is>
      </c>
      <c r="D56" s="78" t="inlineStr">
        <is>
          <t>bắp cải trắng</t>
        </is>
      </c>
      <c r="E56" s="4" t="n">
        <v>120</v>
      </c>
      <c r="F56" s="380" t="n">
        <v>2100</v>
      </c>
      <c r="G56" s="385">
        <f>E56*F56/1000</f>
        <v/>
      </c>
      <c r="H56" s="380" t="n">
        <v>9000</v>
      </c>
      <c r="I56" s="386">
        <f>IFERROR(E56*H56/1000,"")</f>
        <v/>
      </c>
      <c r="J56" s="386">
        <f>I56</f>
        <v/>
      </c>
    </row>
    <row r="57" ht="25.8" customHeight="1">
      <c r="A57" s="349" t="n"/>
      <c r="B57" s="330" t="inlineStr">
        <is>
          <t>canh bầu xanh</t>
        </is>
      </c>
      <c r="C57" s="328" t="inlineStr">
        <is>
          <t>NLR0003</t>
        </is>
      </c>
      <c r="D57" s="74" t="inlineStr">
        <is>
          <t>bầu quả</t>
        </is>
      </c>
      <c r="E57" s="7" t="n">
        <v>15</v>
      </c>
      <c r="F57" s="380" t="n">
        <v>2100</v>
      </c>
      <c r="G57" s="385">
        <f>E57*F57/1000</f>
        <v/>
      </c>
      <c r="H57" s="380" t="n">
        <v>18000</v>
      </c>
      <c r="I57" s="386">
        <f>IFERROR(E57*H57/1000,"")</f>
        <v/>
      </c>
      <c r="J57" s="386">
        <f>I57</f>
        <v/>
      </c>
    </row>
    <row r="58" ht="25.8" customHeight="1">
      <c r="A58" s="349" t="n"/>
      <c r="B58" s="333" t="inlineStr">
        <is>
          <t>cơm trắng</t>
        </is>
      </c>
      <c r="C58" s="328" t="inlineStr">
        <is>
          <t>NLG0013</t>
        </is>
      </c>
      <c r="D58" s="45" t="inlineStr">
        <is>
          <t>Gạo bắc hương</t>
        </is>
      </c>
      <c r="E58" s="4" t="n">
        <v>180</v>
      </c>
      <c r="F58" s="380" t="n">
        <v>2100</v>
      </c>
      <c r="G58" s="385">
        <f>E58*F58/1000</f>
        <v/>
      </c>
      <c r="H58" s="380" t="n">
        <v>13800</v>
      </c>
      <c r="I58" s="386">
        <f>IFERROR(E58*H58/1000,"")</f>
        <v/>
      </c>
      <c r="J58" s="386">
        <f>I58</f>
        <v/>
      </c>
    </row>
    <row r="59" ht="25.8" customHeight="1">
      <c r="A59" s="346" t="n"/>
      <c r="B59" s="330" t="inlineStr">
        <is>
          <t>cam</t>
        </is>
      </c>
      <c r="C59" s="328" t="inlineStr">
        <is>
          <t>NLQ0006</t>
        </is>
      </c>
      <c r="D59" s="128" t="inlineStr">
        <is>
          <t>quả cam</t>
        </is>
      </c>
      <c r="E59" s="4" t="n">
        <v>110</v>
      </c>
      <c r="F59" s="380" t="n">
        <v>2100</v>
      </c>
      <c r="G59" s="385">
        <f>E59*F59/1000</f>
        <v/>
      </c>
      <c r="H59" s="380" t="n">
        <v>18000</v>
      </c>
      <c r="I59" s="386">
        <f>IFERROR(E59*H59/1000,"")</f>
        <v/>
      </c>
      <c r="J59" s="386">
        <f>I59</f>
        <v/>
      </c>
      <c r="L59" s="2" t="n"/>
      <c r="M59" s="2" t="n"/>
    </row>
    <row r="60" ht="25.8" customHeight="1">
      <c r="A60" s="50" t="inlineStr">
        <is>
          <t>Gia vị</t>
        </is>
      </c>
      <c r="B60" s="51" t="n"/>
      <c r="C60" s="51" t="n"/>
      <c r="D60" s="51" t="n"/>
      <c r="E60" s="51" t="n"/>
      <c r="F60" s="380" t="n"/>
      <c r="G60" s="51" t="n"/>
      <c r="H60" s="51" t="n"/>
      <c r="I60" s="52" t="n"/>
      <c r="J60" s="387" t="n">
        <v>1600</v>
      </c>
    </row>
    <row r="61" ht="25.8" customHeight="1">
      <c r="A61" s="40" t="n"/>
      <c r="B61" s="41" t="n"/>
      <c r="C61" s="41" t="n"/>
      <c r="D61" s="41" t="inlineStr">
        <is>
          <t>Gas</t>
        </is>
      </c>
      <c r="E61" s="41" t="n"/>
      <c r="F61" s="380" t="n"/>
      <c r="G61" s="41" t="n"/>
      <c r="H61" s="41" t="n"/>
      <c r="I61" s="42" t="n"/>
      <c r="J61" s="387" t="n">
        <v>2500</v>
      </c>
    </row>
    <row r="62" ht="25.8" customHeight="1">
      <c r="A62" s="40" t="n"/>
      <c r="B62" s="41" t="n"/>
      <c r="C62" s="41" t="n"/>
      <c r="D62" s="41" t="inlineStr">
        <is>
          <t>Chi Phí khay ,đũa</t>
        </is>
      </c>
      <c r="E62" s="41" t="n"/>
      <c r="F62" s="380" t="n"/>
      <c r="G62" s="41" t="n"/>
      <c r="H62" s="41" t="n"/>
      <c r="I62" s="42" t="n"/>
      <c r="J62" s="387" t="n">
        <v>2500</v>
      </c>
    </row>
    <row r="63" ht="25.8" customHeight="1">
      <c r="A63" s="50" t="inlineStr">
        <is>
          <t>Tổng chi phí TĐ 1</t>
        </is>
      </c>
      <c r="B63" s="51" t="n"/>
      <c r="C63" s="51" t="n"/>
      <c r="D63" s="51" t="n"/>
      <c r="E63" s="51" t="n"/>
      <c r="F63" s="51" t="n"/>
      <c r="G63" s="51" t="n"/>
      <c r="H63" s="51" t="n"/>
      <c r="I63" s="52" t="n"/>
      <c r="J63" s="389">
        <f>SUM(J51:J62)</f>
        <v/>
      </c>
    </row>
    <row r="64" ht="25.8" customHeight="1">
      <c r="A64" s="50" t="inlineStr">
        <is>
          <t>Cost TĐ 1</t>
        </is>
      </c>
      <c r="B64" s="51" t="n"/>
      <c r="C64" s="51" t="n"/>
      <c r="D64" s="51" t="n"/>
      <c r="E64" s="51" t="n"/>
      <c r="F64" s="51" t="n"/>
      <c r="G64" s="51" t="n"/>
      <c r="H64" s="51" t="n"/>
      <c r="I64" s="52" t="n"/>
      <c r="J64" s="25">
        <f>J63/40000</f>
        <v/>
      </c>
    </row>
    <row r="65">
      <c r="A65" s="22" t="n"/>
      <c r="B65" s="22" t="n"/>
      <c r="C65" s="27" t="n"/>
      <c r="D65" s="10" t="n"/>
      <c r="E65" s="10" t="n"/>
      <c r="F65" s="10" t="n"/>
      <c r="G65" s="10" t="n"/>
      <c r="H65" s="10" t="n"/>
      <c r="I65" s="10" t="n"/>
      <c r="J65" s="10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</row>
    <row r="67">
      <c r="A67" s="48" t="inlineStr">
        <is>
          <t>CA ĐÊM 40K</t>
        </is>
      </c>
      <c r="B67" s="1" t="n"/>
      <c r="C67" s="1" t="n"/>
      <c r="D67" s="1" t="n"/>
      <c r="E67" s="1" t="n"/>
      <c r="F67" s="1" t="n"/>
      <c r="G67" s="1" t="n"/>
      <c r="H67" s="1" t="n"/>
      <c r="I67" s="1" t="n"/>
      <c r="L67" s="371">
        <f>(J63+J46+J14+J81)/140000</f>
        <v/>
      </c>
    </row>
    <row r="68" ht="52.2" customHeight="1">
      <c r="A68" s="12" t="inlineStr">
        <is>
          <t>Cơ cấu</t>
        </is>
      </c>
      <c r="B68" s="12" t="inlineStr">
        <is>
          <t>Món ăn</t>
        </is>
      </c>
      <c r="C68" s="12" t="inlineStr">
        <is>
          <t>Mã hàng</t>
        </is>
      </c>
      <c r="D68" s="12" t="inlineStr">
        <is>
          <t>Nguyên liệu</t>
        </is>
      </c>
      <c r="E68" s="12" t="inlineStr">
        <is>
          <t>Định lượng sống</t>
        </is>
      </c>
      <c r="F68" s="384" t="inlineStr">
        <is>
          <t>Số suất</t>
        </is>
      </c>
      <c r="G68" s="12" t="inlineStr">
        <is>
          <t>Gọi hàng</t>
        </is>
      </c>
      <c r="H68" s="384" t="inlineStr">
        <is>
          <t>Đơn giá</t>
        </is>
      </c>
      <c r="I68" s="12" t="inlineStr">
        <is>
          <t>Thành tiền</t>
        </is>
      </c>
      <c r="J68" s="12" t="inlineStr">
        <is>
          <t>Tổng</t>
        </is>
      </c>
    </row>
    <row r="69">
      <c r="A69" s="328" t="n"/>
      <c r="B69" s="330" t="inlineStr">
        <is>
          <t>bún riêu ốc</t>
        </is>
      </c>
      <c r="C69" s="328" t="inlineStr">
        <is>
          <t>NLG0001</t>
        </is>
      </c>
      <c r="D69" s="74" t="inlineStr">
        <is>
          <t>bún</t>
        </is>
      </c>
      <c r="E69" s="4" t="n">
        <v>240</v>
      </c>
      <c r="F69" s="380" t="n">
        <v>860</v>
      </c>
      <c r="G69" s="385">
        <f>E69*F69/1000</f>
        <v/>
      </c>
      <c r="H69" s="380" t="n">
        <v>17000</v>
      </c>
      <c r="I69" s="386">
        <f>IFERROR(E69*H69/1000,"")</f>
        <v/>
      </c>
      <c r="J69" s="386">
        <f>I69</f>
        <v/>
      </c>
    </row>
    <row r="70">
      <c r="A70" s="349" t="n"/>
      <c r="B70" s="382" t="n"/>
      <c r="C70" s="328" t="inlineStr">
        <is>
          <t>NLS0078</t>
        </is>
      </c>
      <c r="D70" s="74" t="inlineStr">
        <is>
          <t>Cua xay đông lạnh</t>
        </is>
      </c>
      <c r="E70" s="4" t="n">
        <v>10</v>
      </c>
      <c r="F70" s="380" t="n">
        <v>860</v>
      </c>
      <c r="G70" s="385">
        <f>E70*F70/1000</f>
        <v/>
      </c>
      <c r="H70" s="380" t="n">
        <v>64000</v>
      </c>
      <c r="I70" s="386">
        <f>IFERROR(E70*H70/1000,"")</f>
        <v/>
      </c>
      <c r="J70" s="386">
        <f>I70</f>
        <v/>
      </c>
    </row>
    <row r="71">
      <c r="A71" s="349" t="n"/>
      <c r="B71" s="382" t="n"/>
      <c r="C71" s="328" t="n"/>
      <c r="D71" s="68" t="inlineStr">
        <is>
          <t>nhân ốc bươu</t>
        </is>
      </c>
      <c r="E71" s="4" t="n">
        <v>120</v>
      </c>
      <c r="F71" s="380" t="n">
        <v>860</v>
      </c>
      <c r="G71" s="385">
        <f>E71*F71/1000</f>
        <v/>
      </c>
      <c r="H71" s="380" t="n">
        <v>55000</v>
      </c>
      <c r="I71" s="386">
        <f>IFERROR(E71*H71/1000,"")</f>
        <v/>
      </c>
      <c r="J71" s="386">
        <f>I71</f>
        <v/>
      </c>
    </row>
    <row r="72">
      <c r="A72" s="349" t="n"/>
      <c r="B72" s="382" t="n"/>
      <c r="C72" s="328" t="inlineStr">
        <is>
          <t>NLR0162</t>
        </is>
      </c>
      <c r="D72" s="68" t="inlineStr">
        <is>
          <t>rau xà lách</t>
        </is>
      </c>
      <c r="E72" s="4" t="n">
        <v>10</v>
      </c>
      <c r="F72" s="380" t="n">
        <v>860</v>
      </c>
      <c r="G72" s="385">
        <f>E72*F72/1000</f>
        <v/>
      </c>
      <c r="H72" s="380" t="n">
        <v>16000</v>
      </c>
      <c r="I72" s="386">
        <f>IFERROR(E72*H72/1000,"")</f>
        <v/>
      </c>
      <c r="J72" s="386">
        <f>I72</f>
        <v/>
      </c>
    </row>
    <row r="73">
      <c r="A73" s="349" t="n"/>
      <c r="B73" s="382" t="n"/>
      <c r="C73" s="328" t="inlineStr">
        <is>
          <t>NLR0170</t>
        </is>
      </c>
      <c r="D73" s="81" t="inlineStr">
        <is>
          <t>tía tô</t>
        </is>
      </c>
      <c r="E73" s="4" t="n">
        <v>3</v>
      </c>
      <c r="F73" s="380" t="n">
        <v>860</v>
      </c>
      <c r="G73" s="385">
        <f>E73*F73/1000</f>
        <v/>
      </c>
      <c r="H73" s="380" t="n">
        <v>25000</v>
      </c>
      <c r="I73" s="386">
        <f>IFERROR(E73*H73/1000,"")</f>
        <v/>
      </c>
      <c r="J73" s="386">
        <f>I73</f>
        <v/>
      </c>
    </row>
    <row r="74">
      <c r="A74" s="349" t="n"/>
      <c r="B74" s="382" t="n"/>
      <c r="C74" s="328" t="inlineStr">
        <is>
          <t>NLR0032</t>
        </is>
      </c>
      <c r="D74" s="81" t="inlineStr">
        <is>
          <t>cải ngọt cắt gốc</t>
        </is>
      </c>
      <c r="E74" s="4" t="n">
        <v>30</v>
      </c>
      <c r="F74" s="380" t="n">
        <v>860</v>
      </c>
      <c r="G74" s="385">
        <f>E74*F74/1000</f>
        <v/>
      </c>
      <c r="H74" s="380" t="n">
        <v>11000</v>
      </c>
      <c r="I74" s="386">
        <f>IFERROR(E74*H74/1000,"")</f>
        <v/>
      </c>
      <c r="J74" s="386">
        <f>I74</f>
        <v/>
      </c>
    </row>
    <row r="75">
      <c r="A75" s="349" t="n"/>
      <c r="B75" s="382" t="n"/>
      <c r="C75" s="328" t="inlineStr">
        <is>
          <t>NLR0268</t>
        </is>
      </c>
      <c r="D75" s="81" t="inlineStr">
        <is>
          <t>cà chua to</t>
        </is>
      </c>
      <c r="E75" s="4" t="n">
        <v>10</v>
      </c>
      <c r="F75" s="380" t="n">
        <v>860</v>
      </c>
      <c r="G75" s="385">
        <f>E75*F75/1000</f>
        <v/>
      </c>
      <c r="H75" s="380" t="n">
        <v>22000</v>
      </c>
      <c r="I75" s="386">
        <f>IFERROR(E75*H75/1000,"")</f>
        <v/>
      </c>
      <c r="J75" s="386">
        <f>I75</f>
        <v/>
      </c>
    </row>
    <row r="76">
      <c r="A76" s="349" t="n"/>
      <c r="B76" s="366" t="n"/>
      <c r="C76" s="328" t="inlineStr">
        <is>
          <t>NLT0112</t>
        </is>
      </c>
      <c r="D76" s="81" t="inlineStr">
        <is>
          <t>xương ống</t>
        </is>
      </c>
      <c r="E76" s="4" t="n">
        <v>15</v>
      </c>
      <c r="F76" s="380" t="n">
        <v>860</v>
      </c>
      <c r="G76" s="385">
        <f>E76*F76/1000</f>
        <v/>
      </c>
      <c r="H76" s="380" t="n">
        <v>48000</v>
      </c>
      <c r="I76" s="386">
        <f>IFERROR(E76*H76/1000,"")</f>
        <v/>
      </c>
      <c r="J76" s="386">
        <f>I76</f>
        <v/>
      </c>
    </row>
    <row r="77">
      <c r="A77" s="349" t="n"/>
      <c r="B77" s="330" t="inlineStr">
        <is>
          <t>sữa fami</t>
        </is>
      </c>
      <c r="C77" s="328" t="inlineStr">
        <is>
          <t>HHS0051</t>
        </is>
      </c>
      <c r="D77" s="74" t="inlineStr">
        <is>
          <t>sữa fami bịch</t>
        </is>
      </c>
      <c r="E77" s="4" t="n">
        <v>1000</v>
      </c>
      <c r="F77" s="380" t="n">
        <v>860</v>
      </c>
      <c r="G77" s="385">
        <f>E77*F77/1000</f>
        <v/>
      </c>
      <c r="H77" s="380" t="n">
        <v>3400</v>
      </c>
      <c r="I77" s="386">
        <f>IFERROR(E77*H77/1000,"")</f>
        <v/>
      </c>
      <c r="J77" s="386">
        <f>I77</f>
        <v/>
      </c>
    </row>
    <row r="78">
      <c r="A78" s="50" t="inlineStr">
        <is>
          <t>Gia vị</t>
        </is>
      </c>
      <c r="B78" s="51" t="n"/>
      <c r="C78" s="51" t="n"/>
      <c r="D78" s="51" t="n"/>
      <c r="E78" s="51" t="n"/>
      <c r="F78" s="51" t="n"/>
      <c r="G78" s="51" t="n"/>
      <c r="H78" s="51" t="n"/>
      <c r="I78" s="52" t="n"/>
      <c r="J78" s="387" t="n">
        <v>1600</v>
      </c>
    </row>
    <row r="79">
      <c r="A79" s="40" t="n"/>
      <c r="B79" s="41" t="n"/>
      <c r="C79" s="41" t="n"/>
      <c r="D79" s="41" t="inlineStr">
        <is>
          <t>Gas</t>
        </is>
      </c>
      <c r="E79" s="41" t="n"/>
      <c r="F79" s="41" t="n"/>
      <c r="G79" s="41" t="n"/>
      <c r="H79" s="41" t="n"/>
      <c r="I79" s="42" t="n"/>
      <c r="J79" s="387" t="n">
        <v>2500</v>
      </c>
    </row>
    <row r="80">
      <c r="A80" s="40" t="n"/>
      <c r="B80" s="41" t="n"/>
      <c r="C80" s="41" t="n"/>
      <c r="D80" s="41" t="inlineStr">
        <is>
          <t>Chi Phí khay ,đũa</t>
        </is>
      </c>
      <c r="E80" s="41" t="n"/>
      <c r="F80" s="41" t="n"/>
      <c r="G80" s="41" t="n"/>
      <c r="H80" s="41" t="n"/>
      <c r="I80" s="42" t="n"/>
      <c r="J80" s="387" t="n">
        <v>2500</v>
      </c>
    </row>
    <row r="81" ht="34.8" customHeight="1">
      <c r="A81" s="50" t="inlineStr">
        <is>
          <t>Tổng chi phí TĐ 1</t>
        </is>
      </c>
      <c r="B81" s="51" t="n"/>
      <c r="C81" s="51" t="n"/>
      <c r="D81" s="51" t="n"/>
      <c r="E81" s="51" t="n"/>
      <c r="F81" s="51" t="n"/>
      <c r="G81" s="51" t="n"/>
      <c r="H81" s="51" t="n"/>
      <c r="I81" s="52" t="n"/>
      <c r="J81" s="389">
        <f>SUM(J69:J80)</f>
        <v/>
      </c>
    </row>
    <row r="82">
      <c r="A82" s="50" t="inlineStr">
        <is>
          <t>Cost TĐ 1</t>
        </is>
      </c>
      <c r="B82" s="51" t="n"/>
      <c r="C82" s="51" t="n"/>
      <c r="D82" s="51" t="n"/>
      <c r="E82" s="51" t="n"/>
      <c r="F82" s="51" t="n"/>
      <c r="G82" s="51" t="n"/>
      <c r="H82" s="51" t="n"/>
      <c r="I82" s="52" t="n"/>
      <c r="J82" s="57">
        <f>J81/40000</f>
        <v/>
      </c>
    </row>
    <row r="83">
      <c r="A83" s="22" t="n"/>
      <c r="B83" s="22" t="n"/>
      <c r="C83" s="27" t="n"/>
      <c r="D83" s="10" t="n"/>
      <c r="E83" s="10" t="n"/>
      <c r="F83" s="10" t="n"/>
      <c r="G83" s="10" t="n"/>
      <c r="H83" s="10" t="n"/>
      <c r="I83" s="10" t="n"/>
      <c r="J83" s="10" t="n"/>
    </row>
    <row r="84"/>
    <row r="85"/>
    <row r="86">
      <c r="A86" s="48" t="inlineStr">
        <is>
          <t>CA ĐÊM 30K</t>
        </is>
      </c>
      <c r="B86" s="1" t="n"/>
      <c r="C86" s="1" t="n"/>
      <c r="D86" s="1" t="n"/>
      <c r="E86" s="1" t="n"/>
      <c r="F86" s="1" t="n"/>
      <c r="G86" s="1" t="n"/>
      <c r="H86" s="1" t="n"/>
      <c r="I86" s="1" t="n"/>
      <c r="L86" s="371">
        <f>(J82+J64+J46+#REF!)/140000</f>
        <v/>
      </c>
    </row>
    <row r="87" ht="52.2" customHeight="1">
      <c r="A87" s="12" t="inlineStr">
        <is>
          <t>Cơ cấu</t>
        </is>
      </c>
      <c r="B87" s="12" t="inlineStr">
        <is>
          <t>Món ăn</t>
        </is>
      </c>
      <c r="C87" s="12" t="inlineStr">
        <is>
          <t>Mã hàng</t>
        </is>
      </c>
      <c r="D87" s="12" t="inlineStr">
        <is>
          <t>Nguyên liệu</t>
        </is>
      </c>
      <c r="E87" s="12" t="inlineStr">
        <is>
          <t>Định lượng sống</t>
        </is>
      </c>
      <c r="F87" s="384" t="inlineStr">
        <is>
          <t>Số suất</t>
        </is>
      </c>
      <c r="G87" s="12" t="inlineStr">
        <is>
          <t>Gọi hàng</t>
        </is>
      </c>
      <c r="H87" s="384" t="inlineStr">
        <is>
          <t>Đơn giá</t>
        </is>
      </c>
      <c r="I87" s="12" t="inlineStr">
        <is>
          <t>Thành tiền</t>
        </is>
      </c>
      <c r="J87" s="12" t="inlineStr">
        <is>
          <t>Tổng</t>
        </is>
      </c>
    </row>
    <row r="88">
      <c r="A88" s="328" t="n"/>
      <c r="B88" s="390" t="inlineStr">
        <is>
          <t>bún riêu ốc + giò</t>
        </is>
      </c>
      <c r="C88" s="328" t="inlineStr">
        <is>
          <t>NLG0001</t>
        </is>
      </c>
      <c r="D88" s="74" t="inlineStr">
        <is>
          <t>bún</t>
        </is>
      </c>
      <c r="E88" s="4" t="n">
        <v>240</v>
      </c>
      <c r="F88" s="380" t="n">
        <v>650</v>
      </c>
      <c r="G88" s="385">
        <f>E88*F88/1000</f>
        <v/>
      </c>
      <c r="H88" s="380" t="n">
        <v>17000</v>
      </c>
      <c r="I88" s="386">
        <f>IFERROR(E88*H88/1000,"")</f>
        <v/>
      </c>
      <c r="J88" s="386">
        <f>I88</f>
        <v/>
      </c>
    </row>
    <row r="89">
      <c r="A89" s="349" t="n"/>
      <c r="B89" s="349" t="n"/>
      <c r="C89" s="328" t="inlineStr">
        <is>
          <t>NLS0078</t>
        </is>
      </c>
      <c r="D89" s="74" t="inlineStr">
        <is>
          <t>Cua xay đông lạnh</t>
        </is>
      </c>
      <c r="E89" s="4" t="n">
        <v>10</v>
      </c>
      <c r="F89" s="380" t="n">
        <v>650</v>
      </c>
      <c r="G89" s="385">
        <f>E89*F89/1000</f>
        <v/>
      </c>
      <c r="H89" s="380" t="n">
        <v>64000</v>
      </c>
      <c r="I89" s="386">
        <f>IFERROR(E89*H89/1000,"")</f>
        <v/>
      </c>
      <c r="J89" s="386">
        <f>I89</f>
        <v/>
      </c>
    </row>
    <row r="90">
      <c r="A90" s="349" t="n"/>
      <c r="B90" s="349" t="n"/>
      <c r="C90" s="328" t="n"/>
      <c r="D90" s="68" t="inlineStr">
        <is>
          <t>ruột ốc bươu</t>
        </is>
      </c>
      <c r="E90" s="4" t="n">
        <v>90</v>
      </c>
      <c r="F90" s="380" t="n">
        <v>650</v>
      </c>
      <c r="G90" s="385">
        <f>E90*F90/1000</f>
        <v/>
      </c>
      <c r="H90" s="380" t="n">
        <v>55000</v>
      </c>
      <c r="I90" s="386">
        <f>IFERROR(E90*H90/1000,"")</f>
        <v/>
      </c>
      <c r="J90" s="386">
        <f>I90</f>
        <v/>
      </c>
    </row>
    <row r="91">
      <c r="A91" s="349" t="n"/>
      <c r="B91" s="349" t="n"/>
      <c r="C91" s="328" t="inlineStr">
        <is>
          <t>NLR0162</t>
        </is>
      </c>
      <c r="D91" s="68" t="inlineStr">
        <is>
          <t>rau xà lách</t>
        </is>
      </c>
      <c r="E91" s="4" t="n">
        <v>10</v>
      </c>
      <c r="F91" s="380" t="n">
        <v>650</v>
      </c>
      <c r="G91" s="385">
        <f>E91*F91/1000</f>
        <v/>
      </c>
      <c r="H91" s="380" t="n">
        <v>16000</v>
      </c>
      <c r="I91" s="386">
        <f>IFERROR(E91*H91/1000,"")</f>
        <v/>
      </c>
      <c r="J91" s="386">
        <f>I91</f>
        <v/>
      </c>
    </row>
    <row r="92">
      <c r="A92" s="349" t="n"/>
      <c r="B92" s="349" t="n"/>
      <c r="C92" s="328" t="inlineStr">
        <is>
          <t>NLR0170</t>
        </is>
      </c>
      <c r="D92" s="81" t="inlineStr">
        <is>
          <t>tía tô</t>
        </is>
      </c>
      <c r="E92" s="4" t="n">
        <v>3</v>
      </c>
      <c r="F92" s="380" t="n">
        <v>650</v>
      </c>
      <c r="G92" s="385">
        <f>E92*F92/1000</f>
        <v/>
      </c>
      <c r="H92" s="380" t="n">
        <v>25000</v>
      </c>
      <c r="I92" s="386">
        <f>IFERROR(E92*H92/1000,"")</f>
        <v/>
      </c>
      <c r="J92" s="386">
        <f>I92</f>
        <v/>
      </c>
    </row>
    <row r="93">
      <c r="A93" s="349" t="n"/>
      <c r="B93" s="349" t="n"/>
      <c r="C93" s="328" t="inlineStr">
        <is>
          <t>NLR0032</t>
        </is>
      </c>
      <c r="D93" s="81" t="inlineStr">
        <is>
          <t>cải ngọt cắt gốc</t>
        </is>
      </c>
      <c r="E93" s="4" t="n">
        <v>30</v>
      </c>
      <c r="F93" s="380" t="n">
        <v>650</v>
      </c>
      <c r="G93" s="385">
        <f>E93*F93/1000</f>
        <v/>
      </c>
      <c r="H93" s="380" t="n">
        <v>11000</v>
      </c>
      <c r="I93" s="386">
        <f>IFERROR(E93*H93/1000,"")</f>
        <v/>
      </c>
      <c r="J93" s="386">
        <f>I93</f>
        <v/>
      </c>
    </row>
    <row r="94">
      <c r="A94" s="349" t="n"/>
      <c r="B94" s="349" t="n"/>
      <c r="C94" s="328" t="inlineStr">
        <is>
          <t>NLR0268</t>
        </is>
      </c>
      <c r="D94" s="81" t="inlineStr">
        <is>
          <t>cà chua to</t>
        </is>
      </c>
      <c r="E94" s="4" t="n">
        <v>10</v>
      </c>
      <c r="F94" s="380" t="n">
        <v>650</v>
      </c>
      <c r="G94" s="385">
        <f>E94*F94/1000</f>
        <v/>
      </c>
      <c r="H94" s="380" t="n">
        <v>22000</v>
      </c>
      <c r="I94" s="386">
        <f>IFERROR(E94*H94/1000,"")</f>
        <v/>
      </c>
      <c r="J94" s="386">
        <f>I94</f>
        <v/>
      </c>
    </row>
    <row r="95">
      <c r="A95" s="349" t="n"/>
      <c r="B95" s="349" t="n"/>
      <c r="C95" s="328" t="inlineStr">
        <is>
          <t>NLT0112</t>
        </is>
      </c>
      <c r="D95" s="81" t="inlineStr">
        <is>
          <t>xương ống</t>
        </is>
      </c>
      <c r="E95" s="4" t="n">
        <v>15</v>
      </c>
      <c r="F95" s="380" t="n">
        <v>650</v>
      </c>
      <c r="G95" s="385">
        <f>E95*F95/1000</f>
        <v/>
      </c>
      <c r="H95" s="380" t="n">
        <v>48000</v>
      </c>
      <c r="I95" s="386">
        <f>IFERROR(E95*H95/1000,"")</f>
        <v/>
      </c>
      <c r="J95" s="386">
        <f>I95</f>
        <v/>
      </c>
    </row>
    <row r="96">
      <c r="A96" s="349" t="n"/>
      <c r="B96" s="346" t="n"/>
      <c r="C96" s="328" t="inlineStr">
        <is>
          <t>NLT0017</t>
        </is>
      </c>
      <c r="D96" s="74" t="inlineStr">
        <is>
          <t>giò lụa</t>
        </is>
      </c>
      <c r="E96" s="4" t="n">
        <v>15</v>
      </c>
      <c r="F96" s="380" t="n">
        <v>650</v>
      </c>
      <c r="G96" s="385">
        <f>E96*F96/1000</f>
        <v/>
      </c>
      <c r="H96" s="380" t="n">
        <v>85000</v>
      </c>
      <c r="I96" s="386">
        <f>IFERROR(E96*H96/1000,"")</f>
        <v/>
      </c>
      <c r="J96" s="386">
        <f>I96</f>
        <v/>
      </c>
    </row>
    <row r="97">
      <c r="A97" s="50" t="inlineStr">
        <is>
          <t>Gia vị</t>
        </is>
      </c>
      <c r="B97" s="51" t="n"/>
      <c r="C97" s="51" t="n"/>
      <c r="D97" s="51" t="n"/>
      <c r="E97" s="51" t="n"/>
      <c r="F97" s="51" t="n"/>
      <c r="G97" s="51" t="n"/>
      <c r="H97" s="51" t="n"/>
      <c r="I97" s="52" t="n"/>
      <c r="J97" s="387" t="n">
        <v>1600</v>
      </c>
    </row>
    <row r="98">
      <c r="A98" s="40" t="n"/>
      <c r="B98" s="41" t="n"/>
      <c r="C98" s="41" t="n"/>
      <c r="D98" s="41" t="inlineStr">
        <is>
          <t>Gas</t>
        </is>
      </c>
      <c r="E98" s="41" t="n"/>
      <c r="F98" s="41" t="n"/>
      <c r="G98" s="41" t="n"/>
      <c r="H98" s="41" t="n"/>
      <c r="I98" s="42" t="n"/>
      <c r="J98" s="387" t="n">
        <v>2500</v>
      </c>
    </row>
    <row r="99">
      <c r="A99" s="40" t="n"/>
      <c r="B99" s="41" t="n"/>
      <c r="C99" s="41" t="n"/>
      <c r="D99" s="41" t="inlineStr">
        <is>
          <t>Chi Phí khay ,đũa</t>
        </is>
      </c>
      <c r="E99" s="41" t="n"/>
      <c r="F99" s="41" t="n"/>
      <c r="G99" s="41" t="n"/>
      <c r="H99" s="41" t="n"/>
      <c r="I99" s="42" t="n"/>
      <c r="J99" s="387" t="n">
        <v>2500</v>
      </c>
    </row>
    <row r="100" ht="34.8" customHeight="1">
      <c r="A100" s="50" t="inlineStr">
        <is>
          <t>Tổng chi phí TĐ 1</t>
        </is>
      </c>
      <c r="B100" s="51" t="n"/>
      <c r="C100" s="51" t="n"/>
      <c r="D100" s="51" t="n"/>
      <c r="E100" s="51" t="n"/>
      <c r="F100" s="51" t="n"/>
      <c r="G100" s="51" t="n"/>
      <c r="H100" s="51" t="n"/>
      <c r="I100" s="52" t="n"/>
      <c r="J100" s="389">
        <f>SUM(J88:J99)</f>
        <v/>
      </c>
    </row>
    <row r="101">
      <c r="A101" s="50" t="inlineStr">
        <is>
          <t>Cost TĐ 1</t>
        </is>
      </c>
      <c r="B101" s="51" t="n"/>
      <c r="C101" s="51" t="n"/>
      <c r="D101" s="51" t="n"/>
      <c r="E101" s="51" t="n"/>
      <c r="F101" s="51" t="n"/>
      <c r="G101" s="51" t="n"/>
      <c r="H101" s="51" t="n"/>
      <c r="I101" s="52" t="n"/>
      <c r="J101" s="57">
        <f>J100/30000</f>
        <v/>
      </c>
    </row>
    <row r="102">
      <c r="A102" s="22" t="n"/>
      <c r="B102" s="22" t="n"/>
      <c r="C102" s="27" t="n"/>
      <c r="D102" s="10" t="n"/>
      <c r="E102" s="10" t="n"/>
      <c r="F102" s="10" t="n"/>
      <c r="G102" s="10" t="n"/>
      <c r="H102" s="10" t="n"/>
      <c r="I102" s="10" t="n"/>
      <c r="J102" s="10" t="n"/>
    </row>
  </sheetData>
  <mergeCells count="16">
    <mergeCell ref="A35:A36"/>
    <mergeCell ref="A2:B2"/>
    <mergeCell ref="B69:B76"/>
    <mergeCell ref="B51:B52"/>
    <mergeCell ref="A4:A10"/>
    <mergeCell ref="A88:A96"/>
    <mergeCell ref="A51:A59"/>
    <mergeCell ref="B88:B96"/>
    <mergeCell ref="B20:B24"/>
    <mergeCell ref="B33:B35"/>
    <mergeCell ref="A20:A24"/>
    <mergeCell ref="B4:B10"/>
    <mergeCell ref="A69:A77"/>
    <mergeCell ref="A18:B18"/>
    <mergeCell ref="B38:B39"/>
    <mergeCell ref="B53:B54"/>
  </mergeCells>
  <pageMargins left="0.7" right="0.7" top="0.75" bottom="0.75" header="0.3" footer="0.3"/>
  <pageSetup orientation="portrait" paperSize="9" scale="53" verticalDpi="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89"/>
  <sheetViews>
    <sheetView tabSelected="1" topLeftCell="A67" zoomScale="90" zoomScaleNormal="90" workbookViewId="0">
      <selection activeCell="F76" sqref="F76:F84"/>
    </sheetView>
  </sheetViews>
  <sheetFormatPr baseColWidth="8" defaultColWidth="8.88671875" defaultRowHeight="18"/>
  <cols>
    <col width="20.109375" bestFit="1" customWidth="1" style="14" min="1" max="1"/>
    <col width="25.88671875" bestFit="1" customWidth="1" style="23" min="2" max="2"/>
    <col width="23.6640625" customWidth="1" style="14" min="3" max="3"/>
    <col width="38.44140625" bestFit="1" customWidth="1" style="8" min="4" max="4"/>
    <col width="12.88671875" customWidth="1" style="8" min="5" max="5"/>
    <col width="11.5546875" customWidth="1" style="357" min="6" max="6"/>
    <col width="12.44140625" customWidth="1" style="8" min="7" max="7"/>
    <col width="11.5546875" customWidth="1" style="357" min="8" max="8"/>
    <col width="12.44140625" customWidth="1" style="8" min="9" max="9"/>
    <col width="13.44140625" customWidth="1" style="1" min="10" max="10"/>
    <col width="7.88671875" customWidth="1" style="1" min="11" max="11"/>
    <col width="22.5546875" customWidth="1" style="1" min="12" max="12"/>
    <col width="4.88671875" bestFit="1" customWidth="1" style="1" min="13" max="13"/>
    <col width="8.88671875" customWidth="1" style="1" min="14" max="14"/>
    <col width="46.5546875" bestFit="1" customWidth="1" style="1" min="15" max="15"/>
    <col width="8.88671875" customWidth="1" style="1" min="16" max="16384"/>
  </cols>
  <sheetData>
    <row r="1"/>
    <row r="2">
      <c r="A2" s="49" t="inlineStr">
        <is>
          <t>Bữa Sáng 20.000Đ</t>
        </is>
      </c>
      <c r="B2" s="49" t="n"/>
      <c r="C2" s="49" t="n"/>
      <c r="D2" s="49" t="n"/>
      <c r="E2" s="49" t="n"/>
      <c r="F2" s="49" t="n"/>
      <c r="G2" s="49" t="inlineStr">
        <is>
          <t>a</t>
        </is>
      </c>
      <c r="H2" s="49" t="n"/>
      <c r="I2" s="49" t="n"/>
      <c r="J2" s="49" t="n"/>
    </row>
    <row r="3" ht="52.2" customHeight="1">
      <c r="A3" s="12" t="inlineStr">
        <is>
          <t>Cơ cấu</t>
        </is>
      </c>
      <c r="B3" s="43" t="inlineStr">
        <is>
          <t>Món ăn</t>
        </is>
      </c>
      <c r="C3" s="12" t="inlineStr">
        <is>
          <t>Mã hàng</t>
        </is>
      </c>
      <c r="D3" s="12" t="inlineStr">
        <is>
          <t>Nguyên liệu</t>
        </is>
      </c>
      <c r="E3" s="12" t="inlineStr">
        <is>
          <t>Định lượng sống</t>
        </is>
      </c>
      <c r="F3" s="384" t="inlineStr">
        <is>
          <t>Số suất</t>
        </is>
      </c>
      <c r="G3" s="12" t="inlineStr">
        <is>
          <t>Gọi hàng</t>
        </is>
      </c>
      <c r="H3" s="384" t="inlineStr">
        <is>
          <t>Đơn giá</t>
        </is>
      </c>
      <c r="I3" s="12" t="inlineStr">
        <is>
          <t>Thành tiền</t>
        </is>
      </c>
      <c r="J3" s="12" t="inlineStr">
        <is>
          <t>Tổng</t>
        </is>
      </c>
    </row>
    <row r="4" ht="18.75" customHeight="1">
      <c r="A4" s="328" t="n"/>
      <c r="B4" s="328" t="inlineStr">
        <is>
          <t>bánh chưng + sữa fami</t>
        </is>
      </c>
      <c r="C4" s="328" t="inlineStr">
        <is>
          <t>NLG0011</t>
        </is>
      </c>
      <c r="D4" s="128" t="inlineStr">
        <is>
          <t>bánh chưng</t>
        </is>
      </c>
      <c r="E4" s="44" t="n">
        <v>1000</v>
      </c>
      <c r="F4" s="380" t="n">
        <v>2000</v>
      </c>
      <c r="G4" s="385">
        <f>E4*F4/1000</f>
        <v/>
      </c>
      <c r="H4" s="380" t="n">
        <v>10000</v>
      </c>
      <c r="I4" s="386">
        <f>IFERROR(E4*H4/1000,"")</f>
        <v/>
      </c>
      <c r="J4" s="386">
        <f>I4</f>
        <v/>
      </c>
    </row>
    <row r="5" ht="18.75" customHeight="1">
      <c r="A5" s="349" t="n"/>
      <c r="B5" s="349" t="n"/>
      <c r="C5" s="328" t="inlineStr">
        <is>
          <t>HHS0051</t>
        </is>
      </c>
      <c r="D5" s="128" t="inlineStr">
        <is>
          <t>sữa fami bịch</t>
        </is>
      </c>
      <c r="E5" s="39" t="n">
        <v>1000</v>
      </c>
      <c r="F5" s="380" t="n">
        <v>2000</v>
      </c>
      <c r="G5" s="385">
        <f>E5*F5/1000</f>
        <v/>
      </c>
      <c r="H5" s="380" t="n">
        <v>3400</v>
      </c>
      <c r="I5" s="386">
        <f>IFERROR(E5*H5/1000,"")</f>
        <v/>
      </c>
      <c r="J5" s="386">
        <f>I5</f>
        <v/>
      </c>
    </row>
    <row r="6">
      <c r="A6" s="50" t="inlineStr">
        <is>
          <t>Gia vị</t>
        </is>
      </c>
      <c r="B6" s="51" t="n"/>
      <c r="C6" s="51" t="n"/>
      <c r="D6" s="51" t="n"/>
      <c r="E6" s="51" t="n"/>
      <c r="F6" s="51" t="n"/>
      <c r="G6" s="51" t="n"/>
      <c r="H6" s="51" t="n"/>
      <c r="I6" s="52" t="n"/>
      <c r="J6" s="387" t="n">
        <v>0</v>
      </c>
    </row>
    <row r="7">
      <c r="A7" s="40" t="n"/>
      <c r="B7" s="41" t="n"/>
      <c r="C7" s="41" t="n"/>
      <c r="D7" s="41" t="inlineStr">
        <is>
          <t>GAS</t>
        </is>
      </c>
      <c r="E7" s="41" t="n"/>
      <c r="F7" s="41" t="n"/>
      <c r="G7" s="41" t="n"/>
      <c r="H7" s="41" t="n"/>
      <c r="I7" s="42" t="n"/>
      <c r="J7" s="387" t="n">
        <v>0</v>
      </c>
    </row>
    <row r="8">
      <c r="A8" s="40" t="n"/>
      <c r="B8" s="41" t="n"/>
      <c r="C8" s="41" t="n"/>
      <c r="D8" s="41" t="inlineStr">
        <is>
          <t>Chi phí khay,đũa</t>
        </is>
      </c>
      <c r="E8" s="41" t="n"/>
      <c r="F8" s="41" t="n"/>
      <c r="G8" s="41" t="n"/>
      <c r="H8" s="41" t="n"/>
      <c r="I8" s="42" t="n"/>
      <c r="J8" s="387" t="n">
        <v>1000</v>
      </c>
    </row>
    <row r="9" ht="18" customHeight="1">
      <c r="A9" s="50" t="inlineStr">
        <is>
          <t>Tổng chi phí TĐ 1</t>
        </is>
      </c>
      <c r="B9" s="51" t="n"/>
      <c r="C9" s="51" t="n"/>
      <c r="D9" s="51" t="n"/>
      <c r="E9" s="51" t="n"/>
      <c r="F9" s="51" t="n"/>
      <c r="G9" s="51" t="n"/>
      <c r="H9" s="51" t="n"/>
      <c r="I9" s="52" t="n"/>
      <c r="J9" s="389">
        <f>SUM(J4:J8)</f>
        <v/>
      </c>
    </row>
    <row r="10">
      <c r="A10" s="50" t="inlineStr">
        <is>
          <t>Cost TĐ 1</t>
        </is>
      </c>
      <c r="B10" s="51" t="n"/>
      <c r="C10" s="51" t="n"/>
      <c r="D10" s="51" t="n"/>
      <c r="E10" s="51" t="n"/>
      <c r="F10" s="51" t="n"/>
      <c r="G10" s="51" t="n"/>
      <c r="H10" s="51" t="n"/>
      <c r="I10" s="52" t="n"/>
      <c r="J10" s="25">
        <f>J9/20000</f>
        <v/>
      </c>
    </row>
    <row r="11"/>
    <row r="12">
      <c r="A12" s="49" t="inlineStr">
        <is>
          <t>CHIẾT TÍNH THỰC ĐƠN CA Trưa 40.000đ</t>
        </is>
      </c>
      <c r="B12" s="49" t="n"/>
      <c r="C12" s="49" t="n"/>
      <c r="D12" s="49" t="n"/>
      <c r="E12" s="49" t="n"/>
      <c r="F12" s="49" t="n"/>
      <c r="G12" s="49" t="n"/>
      <c r="H12" s="49" t="n"/>
      <c r="I12" s="49" t="n"/>
      <c r="J12" s="49" t="n"/>
    </row>
    <row r="13" ht="52.2" customFormat="1" customHeight="1" s="14">
      <c r="A13" s="12" t="inlineStr">
        <is>
          <t>Cơ cấu</t>
        </is>
      </c>
      <c r="B13" s="12" t="inlineStr">
        <is>
          <t>Món ăn</t>
        </is>
      </c>
      <c r="C13" s="12" t="inlineStr">
        <is>
          <t>Mã hàng</t>
        </is>
      </c>
      <c r="D13" s="12" t="inlineStr">
        <is>
          <t>Nguyên liệu</t>
        </is>
      </c>
      <c r="E13" s="12" t="inlineStr">
        <is>
          <t>Định lượng sống</t>
        </is>
      </c>
      <c r="F13" s="384" t="inlineStr">
        <is>
          <t>Số suất</t>
        </is>
      </c>
      <c r="G13" s="12" t="inlineStr">
        <is>
          <t>Gọi hàng</t>
        </is>
      </c>
      <c r="H13" s="384" t="inlineStr">
        <is>
          <t>Đơn giá</t>
        </is>
      </c>
      <c r="I13" s="12" t="inlineStr">
        <is>
          <t>Thành tiền</t>
        </is>
      </c>
      <c r="J13" s="12" t="inlineStr">
        <is>
          <t>Tổng</t>
        </is>
      </c>
    </row>
    <row r="14" ht="25.8" customHeight="1">
      <c r="A14" s="189" t="n"/>
      <c r="B14" s="390" t="inlineStr">
        <is>
          <t>tôm rim me</t>
        </is>
      </c>
      <c r="C14" s="330" t="inlineStr">
        <is>
          <t>NLS0081</t>
        </is>
      </c>
      <c r="D14" s="68" t="inlineStr">
        <is>
          <t>Tôm dảo tươi 100-120</t>
        </is>
      </c>
      <c r="E14" s="7" t="n">
        <v>50</v>
      </c>
      <c r="F14" s="380" t="n">
        <v>1800</v>
      </c>
      <c r="G14" s="385">
        <f>E14*F14/1000</f>
        <v/>
      </c>
      <c r="H14" s="380" t="n">
        <v>147000</v>
      </c>
      <c r="I14" s="386">
        <f>IFERROR(E14*H14/1000,"")</f>
        <v/>
      </c>
      <c r="J14" s="386">
        <f>I14</f>
        <v/>
      </c>
      <c r="K14" s="14" t="n"/>
      <c r="L14" s="380" t="n"/>
    </row>
    <row r="15" ht="25.8" customHeight="1">
      <c r="A15" s="190" t="n"/>
      <c r="B15" s="346" t="n"/>
      <c r="C15" s="330" t="inlineStr">
        <is>
          <t>NPG0094</t>
        </is>
      </c>
      <c r="D15" s="130" t="inlineStr">
        <is>
          <t>me khô</t>
        </is>
      </c>
      <c r="E15" s="7" t="n">
        <v>1</v>
      </c>
      <c r="F15" s="380" t="n">
        <v>1800</v>
      </c>
      <c r="G15" s="385">
        <f>E15*F15/1000</f>
        <v/>
      </c>
      <c r="H15" s="380" t="n">
        <v>30000</v>
      </c>
      <c r="I15" s="386">
        <f>IFERROR(E15*H15/1000,"")</f>
        <v/>
      </c>
      <c r="J15" s="386">
        <f>I15</f>
        <v/>
      </c>
      <c r="K15" s="14" t="n"/>
      <c r="L15" s="381" t="n"/>
    </row>
    <row r="16" ht="25.8" customHeight="1">
      <c r="A16" s="329" t="n"/>
      <c r="B16" s="390" t="inlineStr">
        <is>
          <t>thịt xào hành tây</t>
        </is>
      </c>
      <c r="C16" s="330" t="n"/>
      <c r="D16" s="128" t="inlineStr">
        <is>
          <t>thịt lợn mông sấn</t>
        </is>
      </c>
      <c r="E16" s="7" t="n">
        <v>70</v>
      </c>
      <c r="F16" s="380" t="n">
        <v>1800</v>
      </c>
      <c r="G16" s="385">
        <f>E16*F16/1000</f>
        <v/>
      </c>
      <c r="H16" s="380" t="n">
        <v>60000</v>
      </c>
      <c r="I16" s="386">
        <f>IFERROR(E16*H16/1000,"")</f>
        <v/>
      </c>
      <c r="J16" s="386">
        <f>I16</f>
        <v/>
      </c>
      <c r="K16" s="14" t="n"/>
      <c r="L16" s="381" t="n"/>
    </row>
    <row r="17" ht="25.8" customHeight="1">
      <c r="A17" s="349" t="n"/>
      <c r="B17" s="349" t="n"/>
      <c r="C17" s="330" t="inlineStr">
        <is>
          <t>NLR0083</t>
        </is>
      </c>
      <c r="D17" s="128" t="inlineStr">
        <is>
          <t>hành tây</t>
        </is>
      </c>
      <c r="E17" s="7" t="n">
        <v>40</v>
      </c>
      <c r="F17" s="380" t="n">
        <v>1800</v>
      </c>
      <c r="G17" s="385">
        <f>E17*F17/1000</f>
        <v/>
      </c>
      <c r="H17" s="380" t="n">
        <v>9000</v>
      </c>
      <c r="I17" s="386">
        <f>IFERROR(E17*H17/1000,"")</f>
        <v/>
      </c>
      <c r="J17" s="386">
        <f>I17</f>
        <v/>
      </c>
      <c r="K17" s="14" t="n"/>
      <c r="L17" s="381" t="n"/>
    </row>
    <row r="18" ht="25.8" customHeight="1">
      <c r="A18" s="349" t="n"/>
      <c r="B18" s="349" t="n"/>
      <c r="C18" s="330" t="inlineStr">
        <is>
          <t>NLR0018</t>
        </is>
      </c>
      <c r="D18" s="128" t="inlineStr">
        <is>
          <t>cà rốt</t>
        </is>
      </c>
      <c r="E18" s="7" t="n">
        <v>10</v>
      </c>
      <c r="F18" s="380" t="n">
        <v>1800</v>
      </c>
      <c r="G18" s="385">
        <f>E18*F18/1000</f>
        <v/>
      </c>
      <c r="H18" s="380" t="n">
        <v>11000</v>
      </c>
      <c r="I18" s="386">
        <f>IFERROR(E18*H18/1000,"")</f>
        <v/>
      </c>
      <c r="J18" s="386">
        <f>I18</f>
        <v/>
      </c>
      <c r="K18" s="14" t="n"/>
      <c r="L18" s="381" t="n"/>
    </row>
    <row r="19" ht="25.8" customHeight="1">
      <c r="A19" s="349" t="n"/>
      <c r="B19" s="346" t="n"/>
      <c r="C19" s="330" t="inlineStr">
        <is>
          <t>NLR0042</t>
        </is>
      </c>
      <c r="D19" s="140" t="inlineStr">
        <is>
          <t>cần tây</t>
        </is>
      </c>
      <c r="E19" s="7" t="n">
        <v>1</v>
      </c>
      <c r="F19" s="380" t="n">
        <v>1800</v>
      </c>
      <c r="G19" s="385">
        <f>E19*F19/1000</f>
        <v/>
      </c>
      <c r="H19" s="380" t="n">
        <v>35000</v>
      </c>
      <c r="I19" s="386">
        <f>IFERROR(E19*H19/1000,"")</f>
        <v/>
      </c>
      <c r="J19" s="386">
        <f>I19</f>
        <v/>
      </c>
      <c r="K19" s="14" t="n"/>
      <c r="L19" s="381" t="n"/>
    </row>
    <row r="20" ht="25.8" customHeight="1">
      <c r="A20" s="329" t="n"/>
      <c r="B20" s="328" t="inlineStr">
        <is>
          <t>ốc om chuối</t>
        </is>
      </c>
      <c r="C20" s="330" t="n"/>
      <c r="D20" s="74" t="inlineStr">
        <is>
          <t>ruột ốc bươu</t>
        </is>
      </c>
      <c r="E20" s="7" t="n">
        <v>30</v>
      </c>
      <c r="F20" s="380" t="n">
        <v>1800</v>
      </c>
      <c r="G20" s="385">
        <f>E20*F20/1000</f>
        <v/>
      </c>
      <c r="H20" s="380" t="n">
        <v>55000</v>
      </c>
      <c r="I20" s="386">
        <f>IFERROR(E20*H20/1000,"")</f>
        <v/>
      </c>
      <c r="J20" s="386">
        <f>I20</f>
        <v/>
      </c>
      <c r="K20" s="14" t="n"/>
      <c r="L20" s="381" t="n"/>
    </row>
    <row r="21" ht="25.8" customHeight="1">
      <c r="A21" s="349" t="n"/>
      <c r="B21" s="349" t="n"/>
      <c r="C21" s="330" t="inlineStr">
        <is>
          <t>NLR0051</t>
        </is>
      </c>
      <c r="D21" s="140" t="inlineStr">
        <is>
          <t>chuối xanh</t>
        </is>
      </c>
      <c r="E21" s="7" t="n">
        <v>70</v>
      </c>
      <c r="F21" s="380" t="n">
        <v>1800</v>
      </c>
      <c r="G21" s="385">
        <f>E21*F21/1000</f>
        <v/>
      </c>
      <c r="H21" s="380" t="n">
        <v>8000</v>
      </c>
      <c r="I21" s="386">
        <f>IFERROR(E21*H21/1000,"")</f>
        <v/>
      </c>
      <c r="J21" s="386">
        <f>I21</f>
        <v/>
      </c>
      <c r="K21" s="14" t="n"/>
      <c r="L21" s="381" t="n"/>
    </row>
    <row r="22" ht="25.8" customHeight="1">
      <c r="A22" s="349" t="n"/>
      <c r="B22" s="349" t="n"/>
      <c r="C22" s="330" t="inlineStr">
        <is>
          <t>NLR0170</t>
        </is>
      </c>
      <c r="D22" s="140" t="inlineStr">
        <is>
          <t>tía tô</t>
        </is>
      </c>
      <c r="E22" s="7" t="n">
        <v>1</v>
      </c>
      <c r="F22" s="380" t="n">
        <v>1800</v>
      </c>
      <c r="G22" s="385">
        <f>E22*F22/1000</f>
        <v/>
      </c>
      <c r="H22" s="380" t="n">
        <v>25000</v>
      </c>
      <c r="I22" s="386">
        <f>IFERROR(E22*H22/1000,"")</f>
        <v/>
      </c>
      <c r="J22" s="386">
        <f>I22</f>
        <v/>
      </c>
      <c r="K22" s="14" t="n"/>
      <c r="L22" s="381" t="n"/>
    </row>
    <row r="23" ht="25.8" customHeight="1">
      <c r="A23" s="190" t="n"/>
      <c r="B23" s="328" t="inlineStr">
        <is>
          <t>đỗ cove luộc</t>
        </is>
      </c>
      <c r="C23" s="330" t="inlineStr">
        <is>
          <t>NLR0068</t>
        </is>
      </c>
      <c r="D23" s="68" t="inlineStr">
        <is>
          <t>đậu cô ve</t>
        </is>
      </c>
      <c r="E23" s="7" t="n">
        <v>100</v>
      </c>
      <c r="F23" s="380" t="n">
        <v>1800</v>
      </c>
      <c r="G23" s="385">
        <f>E23*F23/1000</f>
        <v/>
      </c>
      <c r="H23" s="380" t="n">
        <v>18000</v>
      </c>
      <c r="I23" s="386">
        <f>IFERROR(E23*H23/1000,"")</f>
        <v/>
      </c>
      <c r="J23" s="386">
        <f>I23</f>
        <v/>
      </c>
      <c r="K23" s="14" t="n"/>
    </row>
    <row r="24" ht="25.8" customHeight="1">
      <c r="A24" s="190" t="n"/>
      <c r="B24" s="38" t="inlineStr">
        <is>
          <t>cơm trắng</t>
        </is>
      </c>
      <c r="C24" s="330" t="inlineStr">
        <is>
          <t>NLG0013</t>
        </is>
      </c>
      <c r="D24" s="3" t="inlineStr">
        <is>
          <t>gạo bắc hương</t>
        </is>
      </c>
      <c r="E24" s="7" t="n">
        <v>180</v>
      </c>
      <c r="F24" s="380" t="n">
        <v>1800</v>
      </c>
      <c r="G24" s="385">
        <f>E24*F24/1000</f>
        <v/>
      </c>
      <c r="H24" s="380" t="n">
        <v>13800</v>
      </c>
      <c r="I24" s="386">
        <f>IFERROR(E24*H24/1000,"")</f>
        <v/>
      </c>
      <c r="J24" s="386">
        <f>I24</f>
        <v/>
      </c>
      <c r="K24" s="14" t="n"/>
    </row>
    <row r="25" ht="34.8" customHeight="1">
      <c r="A25" s="190" t="n"/>
      <c r="B25" s="38" t="inlineStr">
        <is>
          <t>canh bí xanh</t>
        </is>
      </c>
      <c r="C25" s="330" t="inlineStr">
        <is>
          <t>NLR0266</t>
        </is>
      </c>
      <c r="D25" s="140" t="inlineStr">
        <is>
          <t>bí xanh dài</t>
        </is>
      </c>
      <c r="E25" s="7" t="n">
        <v>15</v>
      </c>
      <c r="F25" s="380" t="n">
        <v>1800</v>
      </c>
      <c r="G25" s="385">
        <f>E25*F25/1000</f>
        <v/>
      </c>
      <c r="H25" s="380" t="n">
        <v>9000</v>
      </c>
      <c r="I25" s="386">
        <f>IFERROR(E25*H25/1000,"")</f>
        <v/>
      </c>
      <c r="J25" s="386">
        <f>I25</f>
        <v/>
      </c>
      <c r="K25" s="14" t="n"/>
    </row>
    <row r="26" ht="32.4" customHeight="1">
      <c r="A26" s="191" t="n"/>
      <c r="B26" s="330" t="inlineStr">
        <is>
          <t>thạch</t>
        </is>
      </c>
      <c r="C26" s="330" t="inlineStr">
        <is>
          <t>HHB0027</t>
        </is>
      </c>
      <c r="D26" s="68" t="inlineStr">
        <is>
          <t>Thạch Long Hải 95g* 100 cốc/thùng</t>
        </is>
      </c>
      <c r="E26" s="4" t="n">
        <v>1000</v>
      </c>
      <c r="F26" s="380" t="n">
        <v>1800</v>
      </c>
      <c r="G26" s="385">
        <f>E26*F26/1000</f>
        <v/>
      </c>
      <c r="H26" s="380" t="n">
        <v>1650</v>
      </c>
      <c r="I26" s="386">
        <f>IFERROR(E26*H26/1000,"")</f>
        <v/>
      </c>
      <c r="J26" s="386">
        <f>I26</f>
        <v/>
      </c>
      <c r="K26" s="14" t="n"/>
    </row>
    <row r="27">
      <c r="A27" s="50" t="inlineStr">
        <is>
          <t>Gia vị</t>
        </is>
      </c>
      <c r="B27" s="51" t="n"/>
      <c r="C27" s="51" t="n"/>
      <c r="D27" s="51" t="n"/>
      <c r="E27" s="51" t="n"/>
      <c r="F27" s="51" t="n"/>
      <c r="G27" s="51" t="n"/>
      <c r="H27" s="51" t="n"/>
      <c r="I27" s="52" t="n"/>
      <c r="J27" s="387" t="n">
        <v>1600</v>
      </c>
      <c r="N27" s="368" t="n"/>
    </row>
    <row r="28">
      <c r="A28" s="40" t="n"/>
      <c r="B28" s="41" t="n"/>
      <c r="C28" s="41" t="n"/>
      <c r="D28" s="41" t="inlineStr">
        <is>
          <t>Gas</t>
        </is>
      </c>
      <c r="E28" s="41" t="n"/>
      <c r="F28" s="41" t="n"/>
      <c r="G28" s="41" t="n"/>
      <c r="H28" s="41" t="n"/>
      <c r="I28" s="42" t="n"/>
      <c r="J28" s="387" t="n">
        <v>2500</v>
      </c>
      <c r="N28" s="368" t="n"/>
    </row>
    <row r="29">
      <c r="A29" s="40" t="n"/>
      <c r="B29" s="41" t="n"/>
      <c r="C29" s="41" t="n"/>
      <c r="D29" s="41" t="inlineStr">
        <is>
          <t>Chi phí đũa thìa + điện nước</t>
        </is>
      </c>
      <c r="E29" s="41" t="n"/>
      <c r="F29" s="41" t="n"/>
      <c r="G29" s="41" t="n"/>
      <c r="H29" s="41" t="n"/>
      <c r="I29" s="42" t="n"/>
      <c r="J29" s="387" t="n">
        <v>2800</v>
      </c>
      <c r="N29" s="368" t="n"/>
    </row>
    <row r="30" ht="18" customHeight="1">
      <c r="A30" s="50" t="inlineStr">
        <is>
          <t>Tổng chi phí TĐ 1</t>
        </is>
      </c>
      <c r="B30" s="51" t="n"/>
      <c r="C30" s="51" t="n"/>
      <c r="D30" s="51" t="n"/>
      <c r="E30" s="51" t="n"/>
      <c r="F30" s="51" t="n"/>
      <c r="G30" s="51" t="n"/>
      <c r="H30" s="51" t="n"/>
      <c r="I30" s="52" t="n"/>
      <c r="J30" s="389">
        <f>SUM(J14:J29)</f>
        <v/>
      </c>
      <c r="K30" s="1" t="inlineStr">
        <is>
          <t> </t>
        </is>
      </c>
    </row>
    <row r="31">
      <c r="A31" s="50" t="inlineStr">
        <is>
          <t>Cost TĐ 1</t>
        </is>
      </c>
      <c r="B31" s="51" t="n"/>
      <c r="C31" s="51" t="n"/>
      <c r="D31" s="51" t="n"/>
      <c r="E31" s="51" t="n"/>
      <c r="F31" s="51" t="n"/>
      <c r="G31" s="51" t="n"/>
      <c r="H31" s="51" t="n"/>
      <c r="I31" s="52" t="n"/>
      <c r="J31" s="25">
        <f>J30/40000</f>
        <v/>
      </c>
    </row>
    <row r="32">
      <c r="A32" s="28" t="n"/>
      <c r="B32" s="28" t="n"/>
      <c r="C32" s="28" t="n"/>
      <c r="D32" s="28" t="n"/>
      <c r="E32" s="28" t="n"/>
      <c r="F32" s="28" t="n"/>
      <c r="G32" s="28" t="n"/>
      <c r="H32" s="28" t="n"/>
      <c r="I32" s="28" t="n"/>
      <c r="J32" s="29" t="n"/>
    </row>
    <row r="33">
      <c r="A33" s="49" t="inlineStr">
        <is>
          <t>THỰC ĐƠN CA Chiều 40.000Đ</t>
        </is>
      </c>
      <c r="B33" s="49" t="n"/>
      <c r="C33" s="49" t="n"/>
      <c r="D33" s="49" t="n"/>
      <c r="E33" s="49" t="n"/>
      <c r="F33" s="49" t="n"/>
      <c r="G33" s="49" t="n"/>
      <c r="H33" s="49" t="n"/>
      <c r="I33" s="49" t="n"/>
      <c r="J33" s="49" t="n"/>
    </row>
    <row r="34" ht="59.4" customFormat="1" customHeight="1" s="14">
      <c r="A34" s="12" t="inlineStr">
        <is>
          <t>Cơ cấu</t>
        </is>
      </c>
      <c r="B34" s="12" t="inlineStr">
        <is>
          <t>Món ăn</t>
        </is>
      </c>
      <c r="C34" s="12" t="inlineStr">
        <is>
          <t>Mã hàng</t>
        </is>
      </c>
      <c r="D34" s="12" t="inlineStr">
        <is>
          <t>Nguyên liệu</t>
        </is>
      </c>
      <c r="E34" s="12" t="inlineStr">
        <is>
          <t>Định lượng sống</t>
        </is>
      </c>
      <c r="F34" s="384" t="inlineStr">
        <is>
          <t>Số suất</t>
        </is>
      </c>
      <c r="G34" s="12" t="inlineStr">
        <is>
          <t>Gọi hàng</t>
        </is>
      </c>
      <c r="H34" s="384" t="inlineStr">
        <is>
          <t>Đơn giá</t>
        </is>
      </c>
      <c r="I34" s="12" t="inlineStr">
        <is>
          <t>Thành tiền</t>
        </is>
      </c>
      <c r="J34" s="12" t="inlineStr">
        <is>
          <t>Tổng</t>
        </is>
      </c>
      <c r="L34" s="16" t="n"/>
      <c r="M34" s="369" t="n"/>
      <c r="Q34" s="370" t="n"/>
    </row>
    <row r="35" ht="49.8" customHeight="1">
      <c r="A35" s="328" t="n"/>
      <c r="B35" s="328" t="inlineStr">
        <is>
          <t>cá chiên giềng</t>
        </is>
      </c>
      <c r="C35" s="328" t="inlineStr">
        <is>
          <t>NLS0491</t>
        </is>
      </c>
      <c r="D35" s="68" t="inlineStr">
        <is>
          <t>Cá chim sơ chế bỏ đầu 0,8-1,5kg/con</t>
        </is>
      </c>
      <c r="E35" s="4" t="n">
        <v>135</v>
      </c>
      <c r="F35" s="380" t="n">
        <v>1650</v>
      </c>
      <c r="G35" s="385">
        <f>E35*F35/1000</f>
        <v/>
      </c>
      <c r="H35" s="380" t="n">
        <v>47000</v>
      </c>
      <c r="I35" s="386">
        <f>IFERROR(E35*H35/1000,"")</f>
        <v/>
      </c>
      <c r="J35" s="386">
        <f>I35</f>
        <v/>
      </c>
    </row>
    <row r="36" ht="21.6" customHeight="1">
      <c r="A36" s="349" t="n"/>
      <c r="B36" s="349" t="n"/>
      <c r="C36" s="328" t="inlineStr">
        <is>
          <t>NLR0077</t>
        </is>
      </c>
      <c r="D36" s="78" t="inlineStr">
        <is>
          <t>giềng xay</t>
        </is>
      </c>
      <c r="E36" s="4" t="n">
        <v>5</v>
      </c>
      <c r="F36" s="380" t="n">
        <v>1650</v>
      </c>
      <c r="G36" s="385">
        <f>E36*F36/1000</f>
        <v/>
      </c>
      <c r="H36" s="380" t="n">
        <v>15000</v>
      </c>
      <c r="I36" s="386">
        <f>IFERROR(E36*H36/1000,"")</f>
        <v/>
      </c>
      <c r="J36" s="386">
        <f>I36</f>
        <v/>
      </c>
    </row>
    <row r="37" ht="21.6" customHeight="1">
      <c r="A37" s="328" t="n"/>
      <c r="B37" s="330" t="inlineStr">
        <is>
          <t>ức gà xào sả ớt</t>
        </is>
      </c>
      <c r="C37" s="328" t="inlineStr">
        <is>
          <t>NLT0107</t>
        </is>
      </c>
      <c r="D37" s="68" t="inlineStr">
        <is>
          <t>Ức gà không xương</t>
        </is>
      </c>
      <c r="E37" s="4" t="n">
        <v>70</v>
      </c>
      <c r="F37" s="380" t="n">
        <v>1650</v>
      </c>
      <c r="G37" s="385">
        <f>E37*F37/1000</f>
        <v/>
      </c>
      <c r="H37" s="380" t="n">
        <v>57000</v>
      </c>
      <c r="I37" s="386">
        <f>IFERROR(E37*H37/1000,"")</f>
        <v/>
      </c>
      <c r="J37" s="386">
        <f>I37</f>
        <v/>
      </c>
    </row>
    <row r="38" ht="21.6" customHeight="1">
      <c r="A38" s="349" t="n"/>
      <c r="B38" s="382" t="n"/>
      <c r="C38" s="328" t="n"/>
      <c r="D38" s="68" t="inlineStr">
        <is>
          <t>ớt chuông xanh</t>
        </is>
      </c>
      <c r="E38" s="4" t="n">
        <v>10</v>
      </c>
      <c r="F38" s="380" t="n">
        <v>1650</v>
      </c>
      <c r="G38" s="385">
        <f>E38*F38/1000</f>
        <v/>
      </c>
      <c r="H38" s="380" t="n">
        <v>35000</v>
      </c>
      <c r="I38" s="386">
        <f>IFERROR(E38*H38/1000,"")</f>
        <v/>
      </c>
      <c r="J38" s="386">
        <f>I38</f>
        <v/>
      </c>
    </row>
    <row r="39" ht="21.6" customHeight="1">
      <c r="A39" s="349" t="n"/>
      <c r="B39" s="382" t="n"/>
      <c r="C39" s="70" t="inlineStr">
        <is>
          <t>NLR0311</t>
        </is>
      </c>
      <c r="D39" s="68" t="inlineStr">
        <is>
          <t>ớt chuông đỏ</t>
        </is>
      </c>
      <c r="E39" s="4" t="n">
        <v>10</v>
      </c>
      <c r="F39" s="380" t="n">
        <v>1650</v>
      </c>
      <c r="G39" s="385">
        <f>E39*F39/1000</f>
        <v/>
      </c>
      <c r="H39" s="380" t="n">
        <v>35000</v>
      </c>
      <c r="I39" s="386">
        <f>IFERROR(E39*H39/1000,"")</f>
        <v/>
      </c>
      <c r="J39" s="386">
        <f>I39</f>
        <v/>
      </c>
    </row>
    <row r="40" ht="21.6" customHeight="1">
      <c r="A40" s="349" t="n"/>
      <c r="B40" s="382" t="n"/>
      <c r="C40" s="328" t="inlineStr">
        <is>
          <t>NLR0083</t>
        </is>
      </c>
      <c r="D40" s="68" t="inlineStr">
        <is>
          <t>hành tây</t>
        </is>
      </c>
      <c r="E40" s="4" t="n">
        <v>15</v>
      </c>
      <c r="F40" s="380" t="n">
        <v>1650</v>
      </c>
      <c r="G40" s="385">
        <f>E40*F40/1000</f>
        <v/>
      </c>
      <c r="H40" s="380" t="n">
        <v>9000</v>
      </c>
      <c r="I40" s="386">
        <f>IFERROR(E40*H40/1000,"")</f>
        <v/>
      </c>
      <c r="J40" s="386">
        <f>I40</f>
        <v/>
      </c>
    </row>
    <row r="41" ht="21.6" customHeight="1">
      <c r="A41" s="349" t="n"/>
      <c r="B41" s="366" t="n"/>
      <c r="C41" s="328" t="inlineStr">
        <is>
          <t>NLR0175</t>
        </is>
      </c>
      <c r="D41" s="78" t="inlineStr">
        <is>
          <t>sả củ</t>
        </is>
      </c>
      <c r="E41" s="4" t="n">
        <v>3</v>
      </c>
      <c r="F41" s="380" t="n">
        <v>1650</v>
      </c>
      <c r="G41" s="385">
        <f>E41*F41/1000</f>
        <v/>
      </c>
      <c r="H41" s="380" t="n">
        <v>15000</v>
      </c>
      <c r="I41" s="386">
        <f>IFERROR(E41*H41/1000,"")</f>
        <v/>
      </c>
      <c r="J41" s="386">
        <f>I41</f>
        <v/>
      </c>
    </row>
    <row r="42" ht="21.6" customHeight="1">
      <c r="A42" s="349" t="n"/>
      <c r="B42" s="328" t="inlineStr">
        <is>
          <t>lạc chao</t>
        </is>
      </c>
      <c r="C42" s="328" t="inlineStr">
        <is>
          <t>NLT0020</t>
        </is>
      </c>
      <c r="D42" s="78" t="inlineStr">
        <is>
          <t>lạc nhân</t>
        </is>
      </c>
      <c r="E42" s="4" t="n">
        <v>40</v>
      </c>
      <c r="F42" s="380" t="n">
        <v>1650</v>
      </c>
      <c r="G42" s="385">
        <f>E42*F42/1000</f>
        <v/>
      </c>
      <c r="H42" s="380" t="n">
        <v>50000</v>
      </c>
      <c r="I42" s="386">
        <f>IFERROR(E42*H42/1000,"")</f>
        <v/>
      </c>
      <c r="J42" s="386">
        <f>I42</f>
        <v/>
      </c>
    </row>
    <row r="43" ht="21.6" customHeight="1">
      <c r="A43" s="190" t="n"/>
      <c r="B43" s="328" t="inlineStr">
        <is>
          <t>khoai tây xào</t>
        </is>
      </c>
      <c r="C43" s="328" t="inlineStr">
        <is>
          <t>NLR0100</t>
        </is>
      </c>
      <c r="D43" s="78" t="inlineStr">
        <is>
          <t>khoai tây</t>
        </is>
      </c>
      <c r="E43" s="4" t="n">
        <v>100</v>
      </c>
      <c r="F43" s="380" t="n">
        <v>1650</v>
      </c>
      <c r="G43" s="385">
        <f>E43*F43/1000</f>
        <v/>
      </c>
      <c r="H43" s="380" t="n">
        <v>13000</v>
      </c>
      <c r="I43" s="386">
        <f>IFERROR(E43*H43/1000,"")</f>
        <v/>
      </c>
      <c r="J43" s="386">
        <f>I43</f>
        <v/>
      </c>
    </row>
    <row r="44" ht="21.6" customHeight="1">
      <c r="A44" s="190" t="n"/>
      <c r="B44" s="328" t="inlineStr">
        <is>
          <t>canh rau ngót</t>
        </is>
      </c>
      <c r="C44" s="328" t="inlineStr">
        <is>
          <t>NLR0157</t>
        </is>
      </c>
      <c r="D44" s="78" t="inlineStr">
        <is>
          <t>rau ngót</t>
        </is>
      </c>
      <c r="E44" s="7" t="n">
        <v>10</v>
      </c>
      <c r="F44" s="380" t="n">
        <v>1650</v>
      </c>
      <c r="G44" s="385">
        <f>E44*F44/1000</f>
        <v/>
      </c>
      <c r="H44" s="380" t="n">
        <v>17000</v>
      </c>
      <c r="I44" s="386">
        <f>IFERROR(E44*H44/1000,"")</f>
        <v/>
      </c>
      <c r="J44" s="386">
        <f>I44</f>
        <v/>
      </c>
    </row>
    <row r="45" ht="21.6" customHeight="1">
      <c r="A45" s="190" t="n"/>
      <c r="B45" s="38" t="inlineStr">
        <is>
          <t>cơm trắng</t>
        </is>
      </c>
      <c r="C45" s="328" t="inlineStr">
        <is>
          <t>NLG0013</t>
        </is>
      </c>
      <c r="D45" s="81" t="inlineStr">
        <is>
          <t>Gạo bắc hương</t>
        </is>
      </c>
      <c r="E45" s="4" t="n">
        <v>180</v>
      </c>
      <c r="F45" s="380" t="n">
        <v>1650</v>
      </c>
      <c r="G45" s="385">
        <f>E45*F45/1000</f>
        <v/>
      </c>
      <c r="H45" s="380" t="n">
        <v>13800</v>
      </c>
      <c r="I45" s="386">
        <f>IFERROR(E45*H45/1000,"")</f>
        <v/>
      </c>
      <c r="J45" s="386">
        <f>I45</f>
        <v/>
      </c>
    </row>
    <row r="46" ht="21.6" customHeight="1">
      <c r="A46" s="191" t="n"/>
      <c r="B46" s="330" t="inlineStr">
        <is>
          <t>chuối tiêu</t>
        </is>
      </c>
      <c r="C46" s="328" t="inlineStr">
        <is>
          <t>NLQ0011</t>
        </is>
      </c>
      <c r="D46" s="68" t="inlineStr">
        <is>
          <t>Qủa Chuối tiêu chín</t>
        </is>
      </c>
      <c r="E46" s="4" t="n">
        <v>1000</v>
      </c>
      <c r="F46" s="380" t="n">
        <v>1650</v>
      </c>
      <c r="G46" s="385">
        <f>E46*F46/1000</f>
        <v/>
      </c>
      <c r="H46" s="380" t="n">
        <v>1500</v>
      </c>
      <c r="I46" s="386">
        <f>IFERROR(E46*H46/1000,"")</f>
        <v/>
      </c>
      <c r="J46" s="386">
        <f>I46</f>
        <v/>
      </c>
      <c r="L46" s="2" t="n"/>
      <c r="M46" s="2" t="n"/>
    </row>
    <row r="47" ht="21.6" customHeight="1">
      <c r="A47" s="50" t="inlineStr">
        <is>
          <t>Gia vị</t>
        </is>
      </c>
      <c r="B47" s="51" t="n"/>
      <c r="C47" s="51" t="n"/>
      <c r="D47" s="51" t="n"/>
      <c r="E47" s="51" t="n"/>
      <c r="F47" s="380" t="n"/>
      <c r="G47" s="51" t="n"/>
      <c r="H47" s="51" t="n"/>
      <c r="I47" s="52" t="n"/>
      <c r="J47" s="387" t="n">
        <v>1600</v>
      </c>
    </row>
    <row r="48" ht="21.6" customHeight="1">
      <c r="A48" s="40" t="n"/>
      <c r="B48" s="41" t="n"/>
      <c r="C48" s="41" t="n"/>
      <c r="D48" s="41" t="inlineStr">
        <is>
          <t>Gas</t>
        </is>
      </c>
      <c r="E48" s="41" t="n"/>
      <c r="F48" s="380" t="n"/>
      <c r="G48" s="41" t="n"/>
      <c r="H48" s="41" t="n"/>
      <c r="I48" s="42" t="n"/>
      <c r="J48" s="387" t="n">
        <v>2500</v>
      </c>
    </row>
    <row r="49" ht="21.6" customHeight="1">
      <c r="A49" s="40" t="n"/>
      <c r="B49" s="41" t="n"/>
      <c r="C49" s="41" t="n"/>
      <c r="D49" s="41" t="inlineStr">
        <is>
          <t>Chi Phí khay ,đũa</t>
        </is>
      </c>
      <c r="E49" s="41" t="n"/>
      <c r="F49" s="380" t="n"/>
      <c r="G49" s="41" t="n"/>
      <c r="H49" s="41" t="n"/>
      <c r="I49" s="42" t="n"/>
      <c r="J49" s="387" t="n">
        <v>2800</v>
      </c>
    </row>
    <row r="50" ht="21.6" customHeight="1">
      <c r="A50" s="50" t="inlineStr">
        <is>
          <t>Tổng chi phí TĐ 1</t>
        </is>
      </c>
      <c r="B50" s="51" t="n"/>
      <c r="C50" s="51" t="n"/>
      <c r="D50" s="51" t="n"/>
      <c r="E50" s="51" t="n"/>
      <c r="F50" s="51" t="n"/>
      <c r="G50" s="51" t="n"/>
      <c r="H50" s="51" t="n"/>
      <c r="I50" s="52" t="n"/>
      <c r="J50" s="389">
        <f>SUM(J35:J49)</f>
        <v/>
      </c>
    </row>
    <row r="51" ht="21.6" customHeight="1">
      <c r="A51" s="50" t="inlineStr">
        <is>
          <t>Cost TĐ 1</t>
        </is>
      </c>
      <c r="B51" s="51" t="n"/>
      <c r="C51" s="51" t="n"/>
      <c r="D51" s="51" t="n"/>
      <c r="E51" s="51" t="n"/>
      <c r="F51" s="51" t="n"/>
      <c r="G51" s="51" t="n"/>
      <c r="H51" s="51" t="n"/>
      <c r="I51" s="52" t="n"/>
      <c r="J51" s="25">
        <f>J50/40000</f>
        <v/>
      </c>
    </row>
    <row r="52" ht="21.6" customHeight="1">
      <c r="A52" s="22" t="n"/>
      <c r="B52" s="22" t="n"/>
      <c r="C52" s="27" t="n"/>
      <c r="D52" s="10" t="n"/>
      <c r="E52" s="10" t="n"/>
      <c r="F52" s="10" t="n"/>
      <c r="G52" s="10" t="n"/>
      <c r="H52" s="10" t="n"/>
      <c r="I52" s="10" t="n"/>
      <c r="J52" s="10" t="n"/>
    </row>
    <row r="53">
      <c r="A53" s="339" t="inlineStr">
        <is>
          <t>THỰC ĐƠN 40K</t>
        </is>
      </c>
      <c r="B53" s="358" t="n"/>
      <c r="C53" s="1" t="n"/>
      <c r="D53" s="1" t="n"/>
      <c r="E53" s="1" t="n"/>
      <c r="F53" s="1" t="n"/>
      <c r="G53" s="1" t="n"/>
      <c r="H53" s="1" t="n"/>
      <c r="I53" s="1" t="n"/>
    </row>
    <row r="54" ht="52.2" customHeight="1">
      <c r="A54" s="12" t="inlineStr">
        <is>
          <t>Cơ cấu</t>
        </is>
      </c>
      <c r="B54" s="12" t="inlineStr">
        <is>
          <t>Món ăn</t>
        </is>
      </c>
      <c r="C54" s="12" t="inlineStr">
        <is>
          <t>Mã hàng</t>
        </is>
      </c>
      <c r="D54" s="12" t="inlineStr">
        <is>
          <t>Nguyên liệu</t>
        </is>
      </c>
      <c r="E54" s="12" t="inlineStr">
        <is>
          <t>Định lượng sống</t>
        </is>
      </c>
      <c r="F54" s="384" t="inlineStr">
        <is>
          <t>Số suất</t>
        </is>
      </c>
      <c r="G54" s="12" t="inlineStr">
        <is>
          <t>Gọi hàng</t>
        </is>
      </c>
      <c r="H54" s="384" t="inlineStr">
        <is>
          <t>Đơn giá</t>
        </is>
      </c>
      <c r="I54" s="12" t="inlineStr">
        <is>
          <t>Thành tiền</t>
        </is>
      </c>
      <c r="J54" s="12" t="inlineStr">
        <is>
          <t>Tổng</t>
        </is>
      </c>
      <c r="L54" s="371">
        <f>(J50+J30+J9+J67)/140000</f>
        <v/>
      </c>
    </row>
    <row r="55" ht="18" customHeight="1">
      <c r="A55" s="328" t="n"/>
      <c r="B55" s="328" t="inlineStr">
        <is>
          <t>bún cá chả cá + sữa izzi</t>
        </is>
      </c>
      <c r="C55" s="328" t="inlineStr">
        <is>
          <t>NLG0001</t>
        </is>
      </c>
      <c r="D55" s="68" t="inlineStr">
        <is>
          <t>bún</t>
        </is>
      </c>
      <c r="E55" s="4" t="n">
        <v>240</v>
      </c>
      <c r="F55" s="380" t="n">
        <v>270</v>
      </c>
      <c r="G55" s="385">
        <f>E55*F55/1000</f>
        <v/>
      </c>
      <c r="H55" s="380" t="n">
        <v>17000</v>
      </c>
      <c r="I55" s="386">
        <f>IFERROR(E55*H55/1000,"")</f>
        <v/>
      </c>
      <c r="J55" s="386">
        <f>I55</f>
        <v/>
      </c>
    </row>
    <row r="56">
      <c r="A56" s="349" t="n"/>
      <c r="B56" s="349" t="n"/>
      <c r="C56" s="328" t="inlineStr">
        <is>
          <t>NLS0490</t>
        </is>
      </c>
      <c r="D56" s="68" t="inlineStr">
        <is>
          <t>Cá rô phi lọc 0,4-0,6kg/miếng</t>
        </is>
      </c>
      <c r="E56" s="4" t="n">
        <v>80</v>
      </c>
      <c r="F56" s="380" t="n">
        <v>270</v>
      </c>
      <c r="G56" s="385">
        <f>E56*F56/1000</f>
        <v/>
      </c>
      <c r="H56" s="380" t="n">
        <v>66000</v>
      </c>
      <c r="I56" s="386">
        <f>IFERROR(E56*H56/1000,"")</f>
        <v/>
      </c>
      <c r="J56" s="386">
        <f>I56</f>
        <v/>
      </c>
    </row>
    <row r="57">
      <c r="A57" s="349" t="n"/>
      <c r="B57" s="349" t="n"/>
      <c r="C57" s="328" t="inlineStr">
        <is>
          <t>NLS0410</t>
        </is>
      </c>
      <c r="D57" s="68" t="inlineStr">
        <is>
          <t>chả cá thì là</t>
        </is>
      </c>
      <c r="E57" s="4" t="n">
        <v>30</v>
      </c>
      <c r="F57" s="380" t="n">
        <v>270</v>
      </c>
      <c r="G57" s="385">
        <f>E57*F57/1000</f>
        <v/>
      </c>
      <c r="H57" s="380" t="n">
        <v>65000</v>
      </c>
      <c r="I57" s="386">
        <f>IFERROR(E57*H57/1000,"")</f>
        <v/>
      </c>
      <c r="J57" s="386">
        <f>I57</f>
        <v/>
      </c>
    </row>
    <row r="58">
      <c r="A58" s="349" t="n"/>
      <c r="B58" s="349" t="n"/>
      <c r="C58" s="328" t="inlineStr">
        <is>
          <t>NLR0032</t>
        </is>
      </c>
      <c r="D58" s="68" t="inlineStr">
        <is>
          <t>cải ngọt cắt gốc</t>
        </is>
      </c>
      <c r="E58" s="4" t="n">
        <v>50</v>
      </c>
      <c r="F58" s="380" t="n">
        <v>270</v>
      </c>
      <c r="G58" s="385">
        <f>E58*F58/1000</f>
        <v/>
      </c>
      <c r="H58" s="380" t="n">
        <v>11000</v>
      </c>
      <c r="I58" s="386">
        <f>IFERROR(E58*H58/1000,"")</f>
        <v/>
      </c>
      <c r="J58" s="386">
        <f>I58</f>
        <v/>
      </c>
    </row>
    <row r="59">
      <c r="A59" s="349" t="n"/>
      <c r="B59" s="349" t="n"/>
      <c r="C59" s="328" t="inlineStr">
        <is>
          <t>NLR0268</t>
        </is>
      </c>
      <c r="D59" s="68" t="inlineStr">
        <is>
          <t>cà chua to</t>
        </is>
      </c>
      <c r="E59" s="4" t="n">
        <v>10</v>
      </c>
      <c r="F59" s="380" t="n">
        <v>270</v>
      </c>
      <c r="G59" s="385">
        <f>E59*F59/1000</f>
        <v/>
      </c>
      <c r="H59" s="380" t="n">
        <v>22000</v>
      </c>
      <c r="I59" s="386">
        <f>IFERROR(E59*H59/1000,"")</f>
        <v/>
      </c>
      <c r="J59" s="386">
        <f>I59</f>
        <v/>
      </c>
    </row>
    <row r="60">
      <c r="A60" s="349" t="n"/>
      <c r="B60" s="349" t="n"/>
      <c r="C60" s="328" t="inlineStr">
        <is>
          <t>NLR0079</t>
        </is>
      </c>
      <c r="D60" s="68" t="inlineStr">
        <is>
          <t>hành lá</t>
        </is>
      </c>
      <c r="E60" s="4" t="n">
        <v>3</v>
      </c>
      <c r="F60" s="380" t="n">
        <v>270</v>
      </c>
      <c r="G60" s="385">
        <f>E60*F60/1000</f>
        <v/>
      </c>
      <c r="H60" s="380" t="n">
        <v>14000</v>
      </c>
      <c r="I60" s="386">
        <f>IFERROR(E60*H60/1000,"")</f>
        <v/>
      </c>
      <c r="J60" s="386">
        <f>I60</f>
        <v/>
      </c>
    </row>
    <row r="61">
      <c r="A61" s="349" t="n"/>
      <c r="B61" s="349" t="n"/>
      <c r="C61" s="328" t="inlineStr">
        <is>
          <t>NLR0174</t>
        </is>
      </c>
      <c r="D61" s="68" t="inlineStr">
        <is>
          <t>thì là</t>
        </is>
      </c>
      <c r="E61" s="4" t="n">
        <v>2</v>
      </c>
      <c r="F61" s="380" t="n">
        <v>270</v>
      </c>
      <c r="G61" s="385">
        <f>E61*F61/1000</f>
        <v/>
      </c>
      <c r="H61" s="380" t="n">
        <v>20000</v>
      </c>
      <c r="I61" s="386">
        <f>IFERROR(E61*H61/1000,"")</f>
        <v/>
      </c>
      <c r="J61" s="386">
        <f>I61</f>
        <v/>
      </c>
    </row>
    <row r="62">
      <c r="A62" s="349" t="n"/>
      <c r="B62" s="349" t="n"/>
      <c r="C62" s="328" t="inlineStr">
        <is>
          <t>NLT0112</t>
        </is>
      </c>
      <c r="D62" s="68" t="inlineStr">
        <is>
          <t>xương ống</t>
        </is>
      </c>
      <c r="E62" s="4" t="n">
        <v>15</v>
      </c>
      <c r="F62" s="380" t="n">
        <v>270</v>
      </c>
      <c r="G62" s="385">
        <f>E62*F62/1000</f>
        <v/>
      </c>
      <c r="H62" s="380" t="n">
        <v>48000</v>
      </c>
      <c r="I62" s="386">
        <f>IFERROR(E62*H62/1000,"")</f>
        <v/>
      </c>
      <c r="J62" s="386">
        <f>I62</f>
        <v/>
      </c>
    </row>
    <row r="63">
      <c r="A63" s="37" t="inlineStr">
        <is>
          <t xml:space="preserve">Tráng miệng </t>
        </is>
      </c>
      <c r="B63" s="330" t="inlineStr">
        <is>
          <t>sữa izzi 180ml</t>
        </is>
      </c>
      <c r="C63" s="328" t="n"/>
      <c r="D63" s="74" t="inlineStr">
        <is>
          <t>sữa izzi 180ml</t>
        </is>
      </c>
      <c r="E63" s="4" t="n">
        <v>1000</v>
      </c>
      <c r="F63" s="380" t="n">
        <v>270</v>
      </c>
      <c r="G63" s="385">
        <f>E63*F63/1000</f>
        <v/>
      </c>
      <c r="H63" s="380" t="n">
        <v>5500</v>
      </c>
      <c r="I63" s="386">
        <f>IFERROR(E63*H63/1000,"")</f>
        <v/>
      </c>
      <c r="J63" s="386">
        <f>I63</f>
        <v/>
      </c>
    </row>
    <row r="64">
      <c r="A64" s="50" t="inlineStr">
        <is>
          <t>Gia vị</t>
        </is>
      </c>
      <c r="B64" s="51" t="n"/>
      <c r="C64" s="51" t="n"/>
      <c r="D64" s="51" t="n"/>
      <c r="E64" s="51" t="n"/>
      <c r="F64" s="51" t="n"/>
      <c r="G64" s="51" t="n"/>
      <c r="H64" s="51" t="n"/>
      <c r="I64" s="52" t="n"/>
      <c r="J64" s="387" t="n">
        <v>1600</v>
      </c>
    </row>
    <row r="65">
      <c r="A65" s="40" t="n"/>
      <c r="B65" s="41" t="n"/>
      <c r="C65" s="41" t="n"/>
      <c r="D65" s="41" t="inlineStr">
        <is>
          <t>Gas</t>
        </is>
      </c>
      <c r="E65" s="41" t="n"/>
      <c r="F65" s="41" t="n"/>
      <c r="G65" s="41" t="n"/>
      <c r="H65" s="41" t="n"/>
      <c r="I65" s="42" t="n"/>
      <c r="J65" s="387" t="n">
        <v>2500</v>
      </c>
    </row>
    <row r="66">
      <c r="A66" s="40" t="n"/>
      <c r="B66" s="41" t="n"/>
      <c r="C66" s="41" t="n"/>
      <c r="D66" s="41" t="inlineStr">
        <is>
          <t>Chi Phí khay ,đũa</t>
        </is>
      </c>
      <c r="E66" s="41" t="n"/>
      <c r="F66" s="41" t="n"/>
      <c r="G66" s="41" t="n"/>
      <c r="H66" s="41" t="n"/>
      <c r="I66" s="42" t="n"/>
      <c r="J66" s="387" t="n">
        <v>2500</v>
      </c>
    </row>
    <row r="67" ht="34.8" customHeight="1">
      <c r="A67" s="50" t="inlineStr">
        <is>
          <t>Tổng chi phí TĐ 1</t>
        </is>
      </c>
      <c r="B67" s="51" t="n"/>
      <c r="C67" s="51" t="n"/>
      <c r="D67" s="51" t="n"/>
      <c r="E67" s="51" t="n"/>
      <c r="F67" s="51" t="n"/>
      <c r="G67" s="51" t="n"/>
      <c r="H67" s="51" t="n"/>
      <c r="I67" s="52" t="n"/>
      <c r="J67" s="389">
        <f>SUM(J55:J66)</f>
        <v/>
      </c>
    </row>
    <row r="68">
      <c r="A68" s="50" t="inlineStr">
        <is>
          <t>Cost TĐ 1</t>
        </is>
      </c>
      <c r="B68" s="51" t="n"/>
      <c r="C68" s="51" t="n"/>
      <c r="D68" s="51" t="n"/>
      <c r="E68" s="51" t="n"/>
      <c r="F68" s="51" t="n"/>
      <c r="G68" s="51" t="n"/>
      <c r="H68" s="51" t="n"/>
      <c r="I68" s="52" t="n"/>
      <c r="J68" s="57">
        <f>J67/40000</f>
        <v/>
      </c>
    </row>
    <row r="69">
      <c r="A69" s="22" t="n"/>
      <c r="B69" s="22" t="n"/>
      <c r="C69" s="27" t="n"/>
      <c r="D69" s="10" t="n"/>
      <c r="E69" s="10" t="n"/>
      <c r="F69" s="10" t="n"/>
      <c r="G69" s="10" t="n"/>
      <c r="H69" s="10" t="n"/>
      <c r="I69" s="10" t="n"/>
      <c r="J69" s="10" t="n"/>
    </row>
    <row r="70"/>
    <row r="71"/>
    <row r="72"/>
    <row r="73" ht="21.6" customHeight="1">
      <c r="A73" s="22" t="n"/>
      <c r="B73" s="22" t="n"/>
      <c r="C73" s="27" t="n"/>
      <c r="D73" s="10" t="n"/>
      <c r="E73" s="10" t="n"/>
      <c r="F73" s="10" t="n"/>
      <c r="G73" s="10" t="n"/>
      <c r="H73" s="10" t="n"/>
      <c r="I73" s="10" t="n"/>
      <c r="J73" s="10" t="n"/>
    </row>
    <row r="74">
      <c r="A74" s="339" t="inlineStr">
        <is>
          <t>THỰC ĐƠN 30K</t>
        </is>
      </c>
      <c r="B74" s="358" t="n"/>
      <c r="C74" s="1" t="n"/>
      <c r="D74" s="1" t="n"/>
      <c r="E74" s="1" t="n"/>
      <c r="F74" s="1" t="n"/>
      <c r="G74" s="1" t="n"/>
      <c r="H74" s="1" t="n"/>
      <c r="I74" s="1" t="n"/>
    </row>
    <row r="75" ht="52.2" customHeight="1">
      <c r="A75" s="12" t="inlineStr">
        <is>
          <t>Cơ cấu</t>
        </is>
      </c>
      <c r="B75" s="12" t="inlineStr">
        <is>
          <t>Món ăn</t>
        </is>
      </c>
      <c r="C75" s="12" t="inlineStr">
        <is>
          <t>Mã hàng</t>
        </is>
      </c>
      <c r="D75" s="12" t="inlineStr">
        <is>
          <t>Nguyên liệu</t>
        </is>
      </c>
      <c r="E75" s="12" t="inlineStr">
        <is>
          <t>Định lượng sống</t>
        </is>
      </c>
      <c r="F75" s="384" t="inlineStr">
        <is>
          <t>Số suất</t>
        </is>
      </c>
      <c r="G75" s="12" t="inlineStr">
        <is>
          <t>Gọi hàng</t>
        </is>
      </c>
      <c r="H75" s="384" t="inlineStr">
        <is>
          <t>Đơn giá</t>
        </is>
      </c>
      <c r="I75" s="12" t="inlineStr">
        <is>
          <t>Thành tiền</t>
        </is>
      </c>
      <c r="J75" s="12" t="inlineStr">
        <is>
          <t>Tổng</t>
        </is>
      </c>
      <c r="L75" s="371">
        <f>(J71+J52+J31+J87)/140000</f>
        <v/>
      </c>
    </row>
    <row r="76" ht="18" customHeight="1">
      <c r="A76" s="328" t="n"/>
      <c r="B76" s="328" t="inlineStr">
        <is>
          <t>bún cá chả cá</t>
        </is>
      </c>
      <c r="C76" s="328" t="inlineStr">
        <is>
          <t>NLG0001</t>
        </is>
      </c>
      <c r="D76" s="68" t="inlineStr">
        <is>
          <t>bún</t>
        </is>
      </c>
      <c r="E76" s="4" t="n">
        <v>240</v>
      </c>
      <c r="F76" s="380" t="n">
        <v>600</v>
      </c>
      <c r="G76" s="385">
        <f>E76*F76/1000</f>
        <v/>
      </c>
      <c r="H76" s="380" t="n">
        <v>17000</v>
      </c>
      <c r="I76" s="386">
        <f>IFERROR(E76*H76/1000,"")</f>
        <v/>
      </c>
      <c r="J76" s="386">
        <f>I76</f>
        <v/>
      </c>
    </row>
    <row r="77">
      <c r="A77" s="349" t="n"/>
      <c r="B77" s="349" t="n"/>
      <c r="C77" s="328" t="inlineStr">
        <is>
          <t>NLS0490</t>
        </is>
      </c>
      <c r="D77" s="68" t="inlineStr">
        <is>
          <t>Cá rô phi lọc 0,4-0,6kg/miếng</t>
        </is>
      </c>
      <c r="E77" s="4" t="n">
        <v>80</v>
      </c>
      <c r="F77" s="380" t="n">
        <v>600</v>
      </c>
      <c r="G77" s="385">
        <f>E77*F77/1000</f>
        <v/>
      </c>
      <c r="H77" s="380" t="n">
        <v>66000</v>
      </c>
      <c r="I77" s="386">
        <f>IFERROR(E77*H77/1000,"")</f>
        <v/>
      </c>
      <c r="J77" s="386">
        <f>I77</f>
        <v/>
      </c>
    </row>
    <row r="78">
      <c r="A78" s="349" t="n"/>
      <c r="B78" s="349" t="n"/>
      <c r="C78" s="328" t="inlineStr">
        <is>
          <t>NLS0410</t>
        </is>
      </c>
      <c r="D78" s="68" t="inlineStr">
        <is>
          <t>chả cá thì là</t>
        </is>
      </c>
      <c r="E78" s="4" t="n">
        <v>20</v>
      </c>
      <c r="F78" s="380" t="n">
        <v>600</v>
      </c>
      <c r="G78" s="385">
        <f>E78*F78/1000</f>
        <v/>
      </c>
      <c r="H78" s="380" t="n">
        <v>65000</v>
      </c>
      <c r="I78" s="386">
        <f>IFERROR(E78*H78/1000,"")</f>
        <v/>
      </c>
      <c r="J78" s="386">
        <f>I78</f>
        <v/>
      </c>
    </row>
    <row r="79">
      <c r="A79" s="349" t="n"/>
      <c r="B79" s="349" t="n"/>
      <c r="C79" s="328" t="inlineStr">
        <is>
          <t>NLR0032</t>
        </is>
      </c>
      <c r="D79" s="68" t="inlineStr">
        <is>
          <t>cải ngọt cắt gốc</t>
        </is>
      </c>
      <c r="E79" s="4" t="n">
        <v>50</v>
      </c>
      <c r="F79" s="380" t="n">
        <v>600</v>
      </c>
      <c r="G79" s="385">
        <f>E79*F79/1000</f>
        <v/>
      </c>
      <c r="H79" s="380" t="n">
        <v>11000</v>
      </c>
      <c r="I79" s="386">
        <f>IFERROR(E79*H79/1000,"")</f>
        <v/>
      </c>
      <c r="J79" s="386">
        <f>I79</f>
        <v/>
      </c>
    </row>
    <row r="80">
      <c r="A80" s="349" t="n"/>
      <c r="B80" s="349" t="n"/>
      <c r="C80" s="328" t="inlineStr">
        <is>
          <t>NLR0268</t>
        </is>
      </c>
      <c r="D80" s="68" t="inlineStr">
        <is>
          <t>cà chua to</t>
        </is>
      </c>
      <c r="E80" s="4" t="n">
        <v>10</v>
      </c>
      <c r="F80" s="380" t="n">
        <v>600</v>
      </c>
      <c r="G80" s="385">
        <f>E80*F80/1000</f>
        <v/>
      </c>
      <c r="H80" s="380" t="n">
        <v>22000</v>
      </c>
      <c r="I80" s="386">
        <f>IFERROR(E80*H80/1000,"")</f>
        <v/>
      </c>
      <c r="J80" s="386">
        <f>I80</f>
        <v/>
      </c>
    </row>
    <row r="81">
      <c r="A81" s="349" t="n"/>
      <c r="B81" s="349" t="n"/>
      <c r="C81" s="328" t="inlineStr">
        <is>
          <t>NLR0079</t>
        </is>
      </c>
      <c r="D81" s="68" t="inlineStr">
        <is>
          <t>hành lá</t>
        </is>
      </c>
      <c r="E81" s="4" t="n">
        <v>3</v>
      </c>
      <c r="F81" s="380" t="n">
        <v>600</v>
      </c>
      <c r="G81" s="385">
        <f>E81*F81/1000</f>
        <v/>
      </c>
      <c r="H81" s="380" t="n">
        <v>14000</v>
      </c>
      <c r="I81" s="386">
        <f>IFERROR(E81*H81/1000,"")</f>
        <v/>
      </c>
      <c r="J81" s="386">
        <f>I81</f>
        <v/>
      </c>
    </row>
    <row r="82">
      <c r="A82" s="349" t="n"/>
      <c r="B82" s="349" t="n"/>
      <c r="C82" s="328" t="inlineStr">
        <is>
          <t>NLR0174</t>
        </is>
      </c>
      <c r="D82" s="68" t="inlineStr">
        <is>
          <t>thì là</t>
        </is>
      </c>
      <c r="E82" s="4" t="n">
        <v>2</v>
      </c>
      <c r="F82" s="380" t="n">
        <v>600</v>
      </c>
      <c r="G82" s="385">
        <f>E82*F82/1000</f>
        <v/>
      </c>
      <c r="H82" s="380" t="n">
        <v>20000</v>
      </c>
      <c r="I82" s="386">
        <f>IFERROR(E82*H82/1000,"")</f>
        <v/>
      </c>
      <c r="J82" s="386">
        <f>I82</f>
        <v/>
      </c>
    </row>
    <row r="83">
      <c r="A83" s="349" t="n"/>
      <c r="B83" s="349" t="n"/>
      <c r="C83" s="328" t="inlineStr">
        <is>
          <t>NLT0112</t>
        </is>
      </c>
      <c r="D83" s="68" t="inlineStr">
        <is>
          <t>xương ống</t>
        </is>
      </c>
      <c r="E83" s="4" t="n">
        <v>15</v>
      </c>
      <c r="F83" s="380" t="n">
        <v>600</v>
      </c>
      <c r="G83" s="385">
        <f>E83*F83/1000</f>
        <v/>
      </c>
      <c r="H83" s="380" t="n">
        <v>48000</v>
      </c>
      <c r="I83" s="386">
        <f>IFERROR(E83*H83/1000,"")</f>
        <v/>
      </c>
      <c r="J83" s="386">
        <f>I83</f>
        <v/>
      </c>
    </row>
    <row r="84">
      <c r="A84" s="50" t="inlineStr">
        <is>
          <t>Gia vị</t>
        </is>
      </c>
      <c r="B84" s="51" t="n"/>
      <c r="C84" s="51" t="n"/>
      <c r="D84" s="51" t="n"/>
      <c r="E84" s="51" t="n"/>
      <c r="F84" s="51" t="n"/>
      <c r="G84" s="51" t="n"/>
      <c r="H84" s="51" t="n"/>
      <c r="I84" s="52" t="n"/>
      <c r="J84" s="387" t="n">
        <v>1600</v>
      </c>
    </row>
    <row r="85">
      <c r="A85" s="40" t="n"/>
      <c r="B85" s="41" t="n"/>
      <c r="C85" s="41" t="n"/>
      <c r="D85" s="41" t="inlineStr">
        <is>
          <t>Gas</t>
        </is>
      </c>
      <c r="E85" s="41" t="n"/>
      <c r="F85" s="41" t="n"/>
      <c r="G85" s="41" t="n"/>
      <c r="H85" s="41" t="n"/>
      <c r="I85" s="42" t="n"/>
      <c r="J85" s="387" t="n">
        <v>2500</v>
      </c>
    </row>
    <row r="86">
      <c r="A86" s="40" t="n"/>
      <c r="B86" s="41" t="n"/>
      <c r="C86" s="41" t="n"/>
      <c r="D86" s="41" t="inlineStr">
        <is>
          <t>Chi Phí khay ,đũa</t>
        </is>
      </c>
      <c r="E86" s="41" t="n"/>
      <c r="F86" s="41" t="n"/>
      <c r="G86" s="41" t="n"/>
      <c r="H86" s="41" t="n"/>
      <c r="I86" s="42" t="n"/>
      <c r="J86" s="387" t="n">
        <v>2500</v>
      </c>
    </row>
    <row r="87">
      <c r="A87" s="50" t="inlineStr">
        <is>
          <t>Tổng chi phí TĐ 1</t>
        </is>
      </c>
      <c r="B87" s="51" t="n"/>
      <c r="C87" s="51" t="n"/>
      <c r="D87" s="51" t="n"/>
      <c r="E87" s="51" t="n"/>
      <c r="F87" s="51" t="n"/>
      <c r="G87" s="51" t="n"/>
      <c r="H87" s="51" t="n"/>
      <c r="I87" s="52" t="n"/>
      <c r="J87" s="389">
        <f>SUM(J76:J86)</f>
        <v/>
      </c>
    </row>
    <row r="88" ht="34.8" customHeight="1">
      <c r="A88" s="50" t="inlineStr">
        <is>
          <t>Cost TĐ 1</t>
        </is>
      </c>
      <c r="B88" s="51" t="n"/>
      <c r="C88" s="51" t="n"/>
      <c r="D88" s="51" t="n"/>
      <c r="E88" s="51" t="n"/>
      <c r="F88" s="51" t="n"/>
      <c r="G88" s="51" t="n"/>
      <c r="H88" s="51" t="n"/>
      <c r="I88" s="52" t="n"/>
      <c r="J88" s="57">
        <f>J87/30000</f>
        <v/>
      </c>
    </row>
    <row r="89">
      <c r="A89" s="22" t="n"/>
      <c r="B89" s="22" t="n"/>
      <c r="C89" s="27" t="n"/>
      <c r="D89" s="10" t="n"/>
      <c r="E89" s="10" t="n"/>
      <c r="F89" s="10" t="n"/>
      <c r="G89" s="10" t="n"/>
      <c r="H89" s="10" t="n"/>
      <c r="I89" s="10" t="n"/>
      <c r="J89" s="10" t="n"/>
    </row>
  </sheetData>
  <mergeCells count="17">
    <mergeCell ref="B55:B62"/>
    <mergeCell ref="A4:A5"/>
    <mergeCell ref="A20:A22"/>
    <mergeCell ref="B76:B83"/>
    <mergeCell ref="B37:B41"/>
    <mergeCell ref="A16:A19"/>
    <mergeCell ref="A76:A83"/>
    <mergeCell ref="A53:B53"/>
    <mergeCell ref="B14:B15"/>
    <mergeCell ref="A35:A36"/>
    <mergeCell ref="B4:B5"/>
    <mergeCell ref="A37:A42"/>
    <mergeCell ref="B20:B22"/>
    <mergeCell ref="A74:B74"/>
    <mergeCell ref="A55:A62"/>
    <mergeCell ref="B16:B19"/>
    <mergeCell ref="B35:B36"/>
  </mergeCells>
  <pageMargins left="0.7" right="0.7" top="0.75" bottom="0.75" header="0.3" footer="0.3"/>
  <pageSetup orientation="portrait" paperSize="9" scale="58" verticalDpi="0"/>
  <colBreaks count="1" manualBreakCount="1">
    <brk id="7" min="0" max="1048575" man="1"/>
  </colBreak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859"/>
  <sheetViews>
    <sheetView topLeftCell="A151" zoomScale="85" zoomScaleNormal="85" workbookViewId="0">
      <selection activeCell="B185" sqref="B185"/>
    </sheetView>
  </sheetViews>
  <sheetFormatPr baseColWidth="8" defaultColWidth="8.6640625" defaultRowHeight="31.2" customHeight="1"/>
  <cols>
    <col width="18.109375" bestFit="1" customWidth="1" style="64" min="1" max="1"/>
    <col width="27.33203125" bestFit="1" customWidth="1" style="64" min="2" max="2"/>
    <col width="18.109375" bestFit="1" customWidth="1" style="64" min="3" max="3"/>
    <col width="27.33203125" bestFit="1" customWidth="1" style="64" min="4" max="4"/>
    <col width="18.109375" bestFit="1" customWidth="1" style="64" min="5" max="5"/>
    <col width="27.33203125" bestFit="1" customWidth="1" style="64" min="6" max="6"/>
    <col width="9.109375" bestFit="1" customWidth="1" style="64" min="7" max="7"/>
    <col width="18.109375" bestFit="1" customWidth="1" style="64" min="8" max="8"/>
    <col hidden="1" width="21.88671875" customWidth="1" style="64" min="9" max="10"/>
    <col hidden="1" width="14.5546875" customWidth="1" style="64" min="11" max="11"/>
    <col hidden="1" width="18.109375" customWidth="1" style="64" min="12" max="12"/>
    <col width="11.6640625" bestFit="1" customWidth="1" style="64" min="13" max="13"/>
    <col width="8.6640625" customWidth="1" style="64" min="14" max="16384"/>
  </cols>
  <sheetData>
    <row r="1" ht="31.2" customHeight="1">
      <c r="A1" s="63" t="inlineStr"/>
      <c r="L1" s="63" t="inlineStr"/>
    </row>
    <row r="2" ht="31.2" customHeight="1">
      <c r="A2" s="63" t="inlineStr"/>
      <c r="L2" s="63" t="inlineStr"/>
    </row>
    <row r="3" ht="31.2" customHeight="1">
      <c r="B3" s="65" t="n"/>
      <c r="C3" s="65" t="n"/>
      <c r="D3" s="65" t="n"/>
      <c r="E3" s="65" t="n"/>
      <c r="F3" s="65" t="inlineStr">
        <is>
          <t>Cập nhật giấy báo giá</t>
        </is>
      </c>
      <c r="G3" s="65" t="n"/>
      <c r="H3" s="65" t="n"/>
      <c r="I3" s="65" t="n"/>
      <c r="J3" s="65" t="n"/>
      <c r="K3" s="65" t="n"/>
    </row>
    <row r="4" ht="14.4" customHeight="1">
      <c r="A4" s="63" t="inlineStr"/>
      <c r="H4" s="64" t="inlineStr">
        <is>
          <t>giá nhập</t>
        </is>
      </c>
      <c r="L4" s="63" t="inlineStr"/>
    </row>
    <row r="5" ht="14.4" customHeight="1">
      <c r="A5" s="66" t="inlineStr">
        <is>
          <t>Mã hàng</t>
        </is>
      </c>
      <c r="B5" s="66" t="inlineStr">
        <is>
          <t>Tên mặt hàng</t>
        </is>
      </c>
      <c r="C5" s="66" t="inlineStr">
        <is>
          <t>Mã ncc</t>
        </is>
      </c>
      <c r="D5" s="66" t="inlineStr">
        <is>
          <t>Tên nhà cung cấp</t>
        </is>
      </c>
      <c r="E5" s="66" t="inlineStr">
        <is>
          <t>Mã bộ phận</t>
        </is>
      </c>
      <c r="F5" s="66" t="inlineStr">
        <is>
          <t>Tên bộ phận</t>
        </is>
      </c>
      <c r="G5" s="66" t="inlineStr">
        <is>
          <t>Đvt</t>
        </is>
      </c>
      <c r="H5" s="66" t="inlineStr">
        <is>
          <t>Đơn giá</t>
        </is>
      </c>
      <c r="I5" s="66" t="inlineStr">
        <is>
          <t>Ngày bắt đầu hl</t>
        </is>
      </c>
      <c r="J5" s="66" t="inlineStr">
        <is>
          <t>Ngày kết thúc hl</t>
        </is>
      </c>
      <c r="K5" s="66" t="inlineStr">
        <is>
          <t>Ngầm định</t>
        </is>
      </c>
      <c r="L5" s="66" t="inlineStr">
        <is>
          <t>Mã hàng</t>
        </is>
      </c>
    </row>
    <row r="6" ht="27" customHeight="1">
      <c r="A6" s="67" t="inlineStr">
        <is>
          <t>HHB0027</t>
        </is>
      </c>
      <c r="B6" s="68" t="inlineStr">
        <is>
          <t>Thạch Long Hải 95g* 100 cốc/thùng</t>
        </is>
      </c>
      <c r="C6" s="69" t="n"/>
      <c r="D6" s="67" t="inlineStr">
        <is>
          <t>Thái dương</t>
        </is>
      </c>
      <c r="E6" s="67" t="n"/>
      <c r="F6" s="67" t="n"/>
      <c r="G6" s="67" t="inlineStr">
        <is>
          <t>Cốc</t>
        </is>
      </c>
      <c r="H6" s="67" t="n">
        <v>1650</v>
      </c>
      <c r="I6" s="66" t="n"/>
      <c r="J6" s="66" t="n"/>
      <c r="K6" s="66" t="n"/>
      <c r="L6" s="66" t="n"/>
      <c r="M6" s="64" t="inlineStr">
        <is>
          <t>HHB0027</t>
        </is>
      </c>
    </row>
    <row r="7" ht="27" customHeight="1">
      <c r="A7" s="67" t="inlineStr">
        <is>
          <t>NLG0256</t>
        </is>
      </c>
      <c r="B7" s="68" t="inlineStr">
        <is>
          <t>Miến dong Thanh Lộc 0.4kg/ túi</t>
        </is>
      </c>
      <c r="C7" s="69" t="n"/>
      <c r="D7" s="67" t="inlineStr">
        <is>
          <t>Thái dương</t>
        </is>
      </c>
      <c r="E7" s="67" t="n"/>
      <c r="F7" s="67" t="n"/>
      <c r="G7" s="67" t="inlineStr">
        <is>
          <t>Túi</t>
        </is>
      </c>
      <c r="H7" s="67" t="n">
        <v>65000</v>
      </c>
      <c r="I7" s="66" t="n"/>
      <c r="J7" s="66" t="n"/>
      <c r="K7" s="66" t="n"/>
      <c r="L7" s="66" t="n"/>
      <c r="M7" s="64" t="inlineStr">
        <is>
          <t>NLG0256</t>
        </is>
      </c>
    </row>
    <row r="8" ht="27" customHeight="1">
      <c r="A8" s="67" t="inlineStr">
        <is>
          <t>NLG0267</t>
        </is>
      </c>
      <c r="B8" s="68" t="inlineStr">
        <is>
          <t>Hạt nêm Orchid 10kg/túi</t>
        </is>
      </c>
      <c r="C8" s="69" t="n"/>
      <c r="D8" s="67" t="inlineStr">
        <is>
          <t>Thái dương</t>
        </is>
      </c>
      <c r="E8" s="67" t="n"/>
      <c r="F8" s="67" t="n"/>
      <c r="G8" s="67" t="inlineStr">
        <is>
          <t>kg</t>
        </is>
      </c>
      <c r="H8" s="67" t="n">
        <v>26000</v>
      </c>
      <c r="I8" s="66" t="n"/>
      <c r="J8" s="66" t="n"/>
      <c r="K8" s="66" t="n"/>
      <c r="L8" s="66" t="n"/>
      <c r="M8" s="64" t="inlineStr">
        <is>
          <t>NLG0267</t>
        </is>
      </c>
    </row>
    <row r="9" ht="27" customHeight="1">
      <c r="A9" s="67" t="inlineStr">
        <is>
          <t>NLG0314</t>
        </is>
      </c>
      <c r="B9" s="68" t="inlineStr">
        <is>
          <t>Gạo An Phát</t>
        </is>
      </c>
      <c r="C9" s="69" t="n"/>
      <c r="D9" s="67" t="inlineStr">
        <is>
          <t>Thái dương</t>
        </is>
      </c>
      <c r="E9" s="67" t="n"/>
      <c r="F9" s="67" t="n"/>
      <c r="G9" s="67" t="inlineStr">
        <is>
          <t>kg</t>
        </is>
      </c>
      <c r="H9" s="67" t="n">
        <v>14000</v>
      </c>
      <c r="I9" s="66" t="n"/>
      <c r="J9" s="66" t="n"/>
      <c r="K9" s="66" t="n"/>
      <c r="L9" s="66" t="n"/>
      <c r="M9" s="64" t="inlineStr">
        <is>
          <t>NLG0314</t>
        </is>
      </c>
    </row>
    <row r="10" ht="27" customHeight="1">
      <c r="A10" s="67" t="inlineStr">
        <is>
          <t>NLQ0006</t>
        </is>
      </c>
      <c r="B10" s="68" t="inlineStr">
        <is>
          <t>Quả cam</t>
        </is>
      </c>
      <c r="C10" s="69" t="n"/>
      <c r="D10" s="67" t="inlineStr">
        <is>
          <t>Thái dương</t>
        </is>
      </c>
      <c r="E10" s="67" t="n"/>
      <c r="F10" s="67" t="n"/>
      <c r="G10" s="67" t="inlineStr">
        <is>
          <t>kg</t>
        </is>
      </c>
      <c r="H10" s="67" t="n">
        <v>18000</v>
      </c>
      <c r="I10" s="66" t="n"/>
      <c r="J10" s="66" t="n"/>
      <c r="K10" s="66" t="n"/>
      <c r="L10" s="66" t="n"/>
      <c r="M10" s="64" t="inlineStr">
        <is>
          <t>NLQ0006</t>
        </is>
      </c>
    </row>
    <row r="11" ht="27" customHeight="1">
      <c r="A11" s="74" t="inlineStr">
        <is>
          <t>HHB0173</t>
        </is>
      </c>
      <c r="B11" s="74" t="inlineStr">
        <is>
          <t>Bánh chuối Hải Hà 30g/cái</t>
        </is>
      </c>
      <c r="C11" s="74" t="inlineStr">
        <is>
          <t>NNCC00276</t>
        </is>
      </c>
      <c r="D11" s="74" t="inlineStr">
        <is>
          <t>Phù sa</t>
        </is>
      </c>
      <c r="E11" s="74" t="inlineStr"/>
      <c r="F11" s="74" t="n"/>
      <c r="G11" s="74" t="inlineStr">
        <is>
          <t>kg</t>
        </is>
      </c>
      <c r="H11" s="76" t="n">
        <v>7088.89</v>
      </c>
      <c r="I11" s="73" t="n">
        <v>45870</v>
      </c>
      <c r="J11" s="73" t="n">
        <v>45900</v>
      </c>
      <c r="K11" s="74" t="inlineStr">
        <is>
          <t>1</t>
        </is>
      </c>
      <c r="L11" s="74" t="inlineStr">
        <is>
          <t>HHB0173</t>
        </is>
      </c>
      <c r="M11" s="64" t="inlineStr">
        <is>
          <t>HHB0173</t>
        </is>
      </c>
    </row>
    <row r="12" ht="27" customHeight="1">
      <c r="A12" s="67" t="inlineStr">
        <is>
          <t>NLQ0016</t>
        </is>
      </c>
      <c r="B12" s="68" t="inlineStr">
        <is>
          <t>Quả ổi 3-5 quả/kg</t>
        </is>
      </c>
      <c r="C12" s="69" t="n"/>
      <c r="D12" s="67" t="inlineStr">
        <is>
          <t>Thái dương</t>
        </is>
      </c>
      <c r="E12" s="67" t="n"/>
      <c r="F12" s="67" t="n"/>
      <c r="G12" s="67" t="inlineStr">
        <is>
          <t>kg</t>
        </is>
      </c>
      <c r="H12" s="67" t="n">
        <v>10000</v>
      </c>
      <c r="I12" s="66" t="n"/>
      <c r="J12" s="66" t="n"/>
      <c r="K12" s="66" t="n"/>
      <c r="L12" s="66" t="n"/>
      <c r="M12" s="64" t="inlineStr">
        <is>
          <t>NLQ0016</t>
        </is>
      </c>
    </row>
    <row r="13" ht="27" customHeight="1">
      <c r="A13" s="67" t="inlineStr">
        <is>
          <t>NLR0001</t>
        </is>
      </c>
      <c r="B13" s="68" t="inlineStr">
        <is>
          <t>Bắp cải trắng</t>
        </is>
      </c>
      <c r="C13" s="69" t="n"/>
      <c r="D13" s="67" t="inlineStr">
        <is>
          <t>Thái dương</t>
        </is>
      </c>
      <c r="E13" s="67" t="n"/>
      <c r="F13" s="67" t="n"/>
      <c r="G13" s="67" t="inlineStr">
        <is>
          <t>kg</t>
        </is>
      </c>
      <c r="H13" s="67" t="n">
        <v>9000</v>
      </c>
      <c r="I13" s="66" t="n"/>
      <c r="J13" s="66" t="n"/>
      <c r="K13" s="66" t="n"/>
      <c r="L13" s="66" t="n"/>
      <c r="M13" s="64" t="inlineStr">
        <is>
          <t>NLR0001</t>
        </is>
      </c>
    </row>
    <row r="14" ht="27" customHeight="1">
      <c r="A14" s="67" t="inlineStr">
        <is>
          <t>NLR0008</t>
        </is>
      </c>
      <c r="B14" s="68" t="inlineStr">
        <is>
          <t>Bí đỏ dài</t>
        </is>
      </c>
      <c r="C14" s="69" t="n"/>
      <c r="D14" s="67" t="inlineStr">
        <is>
          <t>Thái dương</t>
        </is>
      </c>
      <c r="E14" s="67" t="n"/>
      <c r="F14" s="67" t="n"/>
      <c r="G14" s="67" t="inlineStr">
        <is>
          <t>kg</t>
        </is>
      </c>
      <c r="H14" s="67" t="n">
        <v>8000</v>
      </c>
      <c r="I14" s="66" t="n"/>
      <c r="J14" s="66" t="n"/>
      <c r="K14" s="66" t="n"/>
      <c r="L14" s="66" t="n"/>
      <c r="M14" s="64" t="inlineStr">
        <is>
          <t>NLR0008</t>
        </is>
      </c>
    </row>
    <row r="15" ht="27" customHeight="1">
      <c r="A15" s="67" t="inlineStr">
        <is>
          <t>NLR0009</t>
        </is>
      </c>
      <c r="B15" s="68" t="inlineStr">
        <is>
          <t>Bí ngô non</t>
        </is>
      </c>
      <c r="C15" s="69" t="n"/>
      <c r="D15" s="67" t="inlineStr">
        <is>
          <t>Thái dương</t>
        </is>
      </c>
      <c r="E15" s="67" t="n"/>
      <c r="F15" s="67" t="n"/>
      <c r="G15" s="67" t="inlineStr">
        <is>
          <t>kg</t>
        </is>
      </c>
      <c r="H15" s="67" t="n">
        <v>8000</v>
      </c>
      <c r="I15" s="66" t="n"/>
      <c r="J15" s="66" t="n"/>
      <c r="K15" s="66" t="n"/>
      <c r="L15" s="66" t="n"/>
      <c r="M15" s="64" t="inlineStr">
        <is>
          <t>NLR0009</t>
        </is>
      </c>
    </row>
    <row r="16" ht="27" customHeight="1">
      <c r="A16" s="67" t="inlineStr">
        <is>
          <t>NLR0018</t>
        </is>
      </c>
      <c r="B16" s="68" t="inlineStr">
        <is>
          <t>Cà rốt</t>
        </is>
      </c>
      <c r="C16" s="69" t="n"/>
      <c r="D16" s="67" t="inlineStr">
        <is>
          <t>Thái dương</t>
        </is>
      </c>
      <c r="E16" s="67" t="n"/>
      <c r="F16" s="67" t="n"/>
      <c r="G16" s="67" t="inlineStr">
        <is>
          <t>kg</t>
        </is>
      </c>
      <c r="H16" s="67" t="n">
        <v>11000</v>
      </c>
      <c r="I16" s="66" t="n"/>
      <c r="J16" s="66" t="n"/>
      <c r="K16" s="66" t="n"/>
      <c r="L16" s="66" t="n"/>
      <c r="M16" s="64" t="inlineStr">
        <is>
          <t>NLR0018</t>
        </is>
      </c>
    </row>
    <row r="17" ht="27" customHeight="1">
      <c r="A17" s="67" t="inlineStr">
        <is>
          <t>NLR0024</t>
        </is>
      </c>
      <c r="B17" s="68" t="inlineStr">
        <is>
          <t>Cà tím dài</t>
        </is>
      </c>
      <c r="C17" s="69" t="n"/>
      <c r="D17" s="67" t="inlineStr">
        <is>
          <t>Thái dương</t>
        </is>
      </c>
      <c r="E17" s="67" t="n"/>
      <c r="F17" s="67" t="n"/>
      <c r="G17" s="67" t="inlineStr">
        <is>
          <t>kg</t>
        </is>
      </c>
      <c r="H17" s="67" t="n">
        <v>8000</v>
      </c>
      <c r="I17" s="66" t="n"/>
      <c r="J17" s="66" t="n"/>
      <c r="K17" s="66" t="n"/>
      <c r="L17" s="66" t="n"/>
      <c r="M17" s="64" t="inlineStr">
        <is>
          <t>NLR0024</t>
        </is>
      </c>
    </row>
    <row r="18" ht="27" customHeight="1">
      <c r="A18" s="67" t="inlineStr">
        <is>
          <t>NLR0025</t>
        </is>
      </c>
      <c r="B18" s="68" t="inlineStr">
        <is>
          <t>Cải bẹ</t>
        </is>
      </c>
      <c r="C18" s="69" t="n"/>
      <c r="D18" s="67" t="inlineStr">
        <is>
          <t>Thái dương</t>
        </is>
      </c>
      <c r="E18" s="67" t="n"/>
      <c r="F18" s="67" t="n"/>
      <c r="G18" s="67" t="inlineStr">
        <is>
          <t>kg</t>
        </is>
      </c>
      <c r="H18" s="67" t="n">
        <v>9000</v>
      </c>
      <c r="I18" s="66" t="n"/>
      <c r="J18" s="66" t="n"/>
      <c r="K18" s="66" t="n"/>
      <c r="L18" s="66" t="n"/>
      <c r="M18" s="64" t="inlineStr">
        <is>
          <t>NLR0025</t>
        </is>
      </c>
    </row>
    <row r="19" ht="27" customHeight="1">
      <c r="A19" s="67" t="inlineStr">
        <is>
          <t>NLR0026</t>
        </is>
      </c>
      <c r="B19" s="68" t="inlineStr">
        <is>
          <t>Cải canh (kg)</t>
        </is>
      </c>
      <c r="C19" s="69" t="n"/>
      <c r="D19" s="67" t="inlineStr">
        <is>
          <t>Thái dương</t>
        </is>
      </c>
      <c r="E19" s="67" t="n"/>
      <c r="F19" s="67" t="n"/>
      <c r="G19" s="67" t="inlineStr">
        <is>
          <t>kg</t>
        </is>
      </c>
      <c r="H19" s="67" t="n">
        <v>14000</v>
      </c>
      <c r="I19" s="66" t="n"/>
      <c r="J19" s="66" t="n"/>
      <c r="K19" s="66" t="n"/>
      <c r="L19" s="66" t="n"/>
      <c r="M19" s="64" t="inlineStr">
        <is>
          <t>NLR0026</t>
        </is>
      </c>
    </row>
    <row r="20" ht="27" customHeight="1">
      <c r="A20" s="67" t="inlineStr">
        <is>
          <t>NLR0329</t>
        </is>
      </c>
      <c r="B20" s="68" t="inlineStr">
        <is>
          <t>Cải chíp VN</t>
        </is>
      </c>
      <c r="C20" s="69" t="n"/>
      <c r="D20" s="67" t="inlineStr">
        <is>
          <t>Thái dương</t>
        </is>
      </c>
      <c r="E20" s="67" t="n"/>
      <c r="F20" s="67" t="n"/>
      <c r="G20" s="67" t="inlineStr">
        <is>
          <t>kg</t>
        </is>
      </c>
      <c r="H20" s="67" t="n">
        <v>12000</v>
      </c>
      <c r="I20" s="66" t="n"/>
      <c r="J20" s="66" t="n"/>
      <c r="K20" s="66" t="n"/>
      <c r="L20" s="66" t="n"/>
      <c r="M20" s="64" t="inlineStr">
        <is>
          <t>NLR0329</t>
        </is>
      </c>
    </row>
    <row r="21" ht="27" customHeight="1">
      <c r="A21" s="67" t="inlineStr">
        <is>
          <t>NLR0029</t>
        </is>
      </c>
      <c r="B21" s="68" t="inlineStr">
        <is>
          <t>Cải chíp</t>
        </is>
      </c>
      <c r="C21" s="69" t="n"/>
      <c r="D21" s="67" t="inlineStr">
        <is>
          <t>Thái dương</t>
        </is>
      </c>
      <c r="E21" s="67" t="n"/>
      <c r="F21" s="67" t="n"/>
      <c r="G21" s="67" t="inlineStr">
        <is>
          <t>kg</t>
        </is>
      </c>
      <c r="H21" s="67" t="n">
        <v>12000</v>
      </c>
      <c r="I21" s="66" t="n"/>
      <c r="J21" s="66" t="n"/>
      <c r="K21" s="66" t="n"/>
      <c r="L21" s="66" t="n"/>
      <c r="M21" s="64" t="inlineStr">
        <is>
          <t>NLR0029</t>
        </is>
      </c>
    </row>
    <row r="22" ht="27" customHeight="1">
      <c r="A22" s="67" t="inlineStr">
        <is>
          <t>NLR0032</t>
        </is>
      </c>
      <c r="B22" s="68" t="inlineStr">
        <is>
          <t>Cải ngọt cắt gốc</t>
        </is>
      </c>
      <c r="C22" s="69" t="n"/>
      <c r="D22" s="67" t="inlineStr">
        <is>
          <t>Thái dương</t>
        </is>
      </c>
      <c r="E22" s="67" t="n"/>
      <c r="F22" s="67" t="n"/>
      <c r="G22" s="67" t="inlineStr">
        <is>
          <t>kg</t>
        </is>
      </c>
      <c r="H22" s="67" t="n">
        <v>11000</v>
      </c>
      <c r="I22" s="66" t="n"/>
      <c r="J22" s="66" t="n"/>
      <c r="K22" s="66" t="n"/>
      <c r="L22" s="66" t="n"/>
      <c r="M22" s="64" t="inlineStr">
        <is>
          <t>NLR0032</t>
        </is>
      </c>
    </row>
    <row r="23" ht="27" customHeight="1">
      <c r="A23" s="67" t="inlineStr">
        <is>
          <t>NLR0034</t>
        </is>
      </c>
      <c r="B23" s="68" t="inlineStr">
        <is>
          <t>Cải thảo</t>
        </is>
      </c>
      <c r="C23" s="69" t="n"/>
      <c r="D23" s="67" t="inlineStr">
        <is>
          <t>Thái dương</t>
        </is>
      </c>
      <c r="E23" s="67" t="n"/>
      <c r="F23" s="67" t="n"/>
      <c r="G23" s="67" t="inlineStr">
        <is>
          <t>kg</t>
        </is>
      </c>
      <c r="H23" s="67" t="n">
        <v>8000</v>
      </c>
      <c r="I23" s="66" t="n"/>
      <c r="J23" s="66" t="n"/>
      <c r="K23" s="66" t="n"/>
      <c r="L23" s="66" t="n"/>
      <c r="M23" s="64" t="inlineStr">
        <is>
          <t>NLR0034</t>
        </is>
      </c>
    </row>
    <row r="24" ht="27" customHeight="1">
      <c r="A24" s="67" t="inlineStr">
        <is>
          <t>NLR0162</t>
        </is>
      </c>
      <c r="B24" s="68" t="inlineStr">
        <is>
          <t>Rau xà lách</t>
        </is>
      </c>
      <c r="C24" s="69" t="n"/>
      <c r="D24" s="67" t="inlineStr">
        <is>
          <t>Thái dương</t>
        </is>
      </c>
      <c r="E24" s="67" t="n"/>
      <c r="F24" s="67" t="n"/>
      <c r="G24" s="67" t="inlineStr">
        <is>
          <t>kg</t>
        </is>
      </c>
      <c r="H24" s="67" t="n">
        <v>16000</v>
      </c>
      <c r="I24" s="66" t="n"/>
      <c r="J24" s="66" t="n"/>
      <c r="K24" s="66" t="n"/>
      <c r="L24" s="66" t="n"/>
      <c r="M24" s="64" t="inlineStr">
        <is>
          <t>NLR0162</t>
        </is>
      </c>
    </row>
    <row r="25" ht="27" customHeight="1">
      <c r="A25" s="67" t="inlineStr">
        <is>
          <t>NLR0038</t>
        </is>
      </c>
      <c r="B25" s="68" t="inlineStr">
        <is>
          <t>Giềng củ</t>
        </is>
      </c>
      <c r="C25" s="69" t="n"/>
      <c r="D25" s="67" t="inlineStr">
        <is>
          <t>Thái dương</t>
        </is>
      </c>
      <c r="E25" s="67" t="n"/>
      <c r="F25" s="67" t="n"/>
      <c r="G25" s="67" t="inlineStr">
        <is>
          <t>kg</t>
        </is>
      </c>
      <c r="H25" s="67" t="n">
        <v>18000</v>
      </c>
      <c r="I25" s="66" t="n"/>
      <c r="J25" s="66" t="n"/>
      <c r="K25" s="66" t="n"/>
      <c r="L25" s="66" t="n"/>
      <c r="M25" s="64" t="inlineStr">
        <is>
          <t>NLR0038</t>
        </is>
      </c>
    </row>
    <row r="26" ht="27" customHeight="1">
      <c r="A26" s="67" t="inlineStr">
        <is>
          <t>NLR0042</t>
        </is>
      </c>
      <c r="B26" s="68" t="inlineStr">
        <is>
          <t>Cần tây</t>
        </is>
      </c>
      <c r="C26" s="69" t="n"/>
      <c r="D26" s="67" t="inlineStr">
        <is>
          <t>Thái dương</t>
        </is>
      </c>
      <c r="E26" s="67" t="n"/>
      <c r="F26" s="67" t="n"/>
      <c r="G26" s="67" t="inlineStr">
        <is>
          <t>kg</t>
        </is>
      </c>
      <c r="H26" s="67" t="n">
        <v>35000</v>
      </c>
      <c r="I26" s="66" t="n"/>
      <c r="J26" s="66" t="n"/>
      <c r="K26" s="66" t="n"/>
      <c r="L26" s="66" t="n"/>
      <c r="M26" s="64" t="inlineStr">
        <is>
          <t>NLR0042</t>
        </is>
      </c>
    </row>
    <row r="27" ht="27" customHeight="1">
      <c r="A27" s="67" t="inlineStr">
        <is>
          <t>NLR0044</t>
        </is>
      </c>
      <c r="B27" s="68" t="inlineStr">
        <is>
          <t>Củ cải</t>
        </is>
      </c>
      <c r="C27" s="69" t="n"/>
      <c r="D27" s="67" t="inlineStr">
        <is>
          <t>Thái dương</t>
        </is>
      </c>
      <c r="E27" s="67" t="n"/>
      <c r="F27" s="67" t="n"/>
      <c r="G27" s="67" t="inlineStr">
        <is>
          <t>kg</t>
        </is>
      </c>
      <c r="H27" s="67" t="n">
        <v>8000</v>
      </c>
      <c r="I27" s="66" t="n"/>
      <c r="J27" s="66" t="n"/>
      <c r="K27" s="66" t="n"/>
      <c r="L27" s="66" t="n"/>
      <c r="M27" s="64" t="inlineStr">
        <is>
          <t>NLR0044</t>
        </is>
      </c>
    </row>
    <row r="28" ht="27" customHeight="1">
      <c r="A28" s="67" t="inlineStr">
        <is>
          <t>NLR0051</t>
        </is>
      </c>
      <c r="B28" s="68" t="inlineStr">
        <is>
          <t>Chuối xanh</t>
        </is>
      </c>
      <c r="C28" s="69" t="n"/>
      <c r="D28" s="67" t="inlineStr">
        <is>
          <t>Thái dương</t>
        </is>
      </c>
      <c r="E28" s="67" t="n"/>
      <c r="F28" s="67" t="n"/>
      <c r="G28" s="67" t="inlineStr">
        <is>
          <t>kg</t>
        </is>
      </c>
      <c r="H28" s="67" t="n">
        <v>8000</v>
      </c>
      <c r="I28" s="66" t="n"/>
      <c r="J28" s="66" t="n"/>
      <c r="K28" s="66" t="n"/>
      <c r="L28" s="66" t="n"/>
      <c r="M28" s="64" t="inlineStr">
        <is>
          <t>NLR0051</t>
        </is>
      </c>
    </row>
    <row r="29" ht="27" customHeight="1">
      <c r="A29" s="67" t="inlineStr">
        <is>
          <t>NLR0060</t>
        </is>
      </c>
      <c r="B29" s="68" t="inlineStr">
        <is>
          <t>Dưa chuột</t>
        </is>
      </c>
      <c r="C29" s="69" t="n"/>
      <c r="D29" s="67" t="inlineStr">
        <is>
          <t>Thái dương</t>
        </is>
      </c>
      <c r="E29" s="67" t="n"/>
      <c r="F29" s="67" t="n"/>
      <c r="G29" s="67" t="inlineStr">
        <is>
          <t>kg</t>
        </is>
      </c>
      <c r="H29" s="67" t="n">
        <v>15000</v>
      </c>
      <c r="I29" s="66" t="n"/>
      <c r="J29" s="66" t="n"/>
      <c r="K29" s="66" t="n"/>
      <c r="L29" s="66" t="n"/>
      <c r="M29" s="64" t="inlineStr">
        <is>
          <t>NLR0060</t>
        </is>
      </c>
    </row>
    <row r="30" ht="27" customHeight="1">
      <c r="A30" s="67" t="inlineStr">
        <is>
          <t>NLR0066</t>
        </is>
      </c>
      <c r="B30" s="68" t="inlineStr">
        <is>
          <t>Dứa quả chín (kg)</t>
        </is>
      </c>
      <c r="C30" s="69" t="n"/>
      <c r="D30" s="67" t="inlineStr">
        <is>
          <t>Thái dương</t>
        </is>
      </c>
      <c r="E30" s="67" t="n"/>
      <c r="F30" s="67" t="n"/>
      <c r="G30" s="67" t="inlineStr">
        <is>
          <t>kg</t>
        </is>
      </c>
      <c r="H30" s="67" t="n">
        <v>15000</v>
      </c>
      <c r="I30" s="66" t="n"/>
      <c r="J30" s="66" t="n"/>
      <c r="K30" s="66" t="n"/>
      <c r="L30" s="66" t="n"/>
      <c r="M30" s="64" t="inlineStr">
        <is>
          <t>NLR0066</t>
        </is>
      </c>
    </row>
    <row r="31" ht="27" customHeight="1">
      <c r="A31" s="67" t="inlineStr">
        <is>
          <t>NLR0068</t>
        </is>
      </c>
      <c r="B31" s="68" t="inlineStr">
        <is>
          <t>Đậu cô ve</t>
        </is>
      </c>
      <c r="C31" s="69" t="n"/>
      <c r="D31" s="67" t="inlineStr">
        <is>
          <t>Thái dương</t>
        </is>
      </c>
      <c r="E31" s="67" t="n"/>
      <c r="F31" s="67" t="n"/>
      <c r="G31" s="67" t="inlineStr">
        <is>
          <t>kg</t>
        </is>
      </c>
      <c r="H31" s="67" t="n">
        <v>18000</v>
      </c>
      <c r="I31" s="66" t="n"/>
      <c r="J31" s="66" t="n"/>
      <c r="K31" s="66" t="n"/>
      <c r="L31" s="66" t="n"/>
      <c r="M31" s="64" t="inlineStr">
        <is>
          <t>NLR0068</t>
        </is>
      </c>
    </row>
    <row r="32" ht="27" customHeight="1">
      <c r="A32" s="67" t="inlineStr">
        <is>
          <t>NLR0073</t>
        </is>
      </c>
      <c r="B32" s="68" t="inlineStr">
        <is>
          <t>Gừng củ</t>
        </is>
      </c>
      <c r="C32" s="69" t="n"/>
      <c r="D32" s="67" t="inlineStr">
        <is>
          <t>Thái dương</t>
        </is>
      </c>
      <c r="E32" s="67" t="n"/>
      <c r="F32" s="67" t="n"/>
      <c r="G32" s="67" t="inlineStr">
        <is>
          <t>kg</t>
        </is>
      </c>
      <c r="H32" s="67" t="n">
        <v>22000</v>
      </c>
      <c r="I32" s="66" t="n"/>
      <c r="J32" s="66" t="n"/>
      <c r="K32" s="66" t="n"/>
      <c r="L32" s="66" t="n"/>
      <c r="M32" s="64" t="inlineStr">
        <is>
          <t>NLR0073</t>
        </is>
      </c>
    </row>
    <row r="33" ht="27" customHeight="1">
      <c r="A33" s="67" t="inlineStr">
        <is>
          <t>NLR0076</t>
        </is>
      </c>
      <c r="B33" s="68" t="inlineStr">
        <is>
          <t>Giá đỗ</t>
        </is>
      </c>
      <c r="C33" s="69" t="n"/>
      <c r="D33" s="67" t="inlineStr">
        <is>
          <t>Thái dương</t>
        </is>
      </c>
      <c r="E33" s="67" t="n"/>
      <c r="F33" s="67" t="n"/>
      <c r="G33" s="67" t="inlineStr">
        <is>
          <t>kg</t>
        </is>
      </c>
      <c r="H33" s="67" t="n">
        <v>10000</v>
      </c>
      <c r="I33" s="66" t="n"/>
      <c r="J33" s="66" t="n"/>
      <c r="K33" s="66" t="n"/>
      <c r="L33" s="66" t="n"/>
      <c r="M33" s="64" t="inlineStr">
        <is>
          <t>NLR0076</t>
        </is>
      </c>
    </row>
    <row r="34" ht="27" customHeight="1">
      <c r="A34" s="67" t="inlineStr">
        <is>
          <t>NLR0079</t>
        </is>
      </c>
      <c r="B34" s="68" t="inlineStr">
        <is>
          <t>Hành lá</t>
        </is>
      </c>
      <c r="C34" s="69" t="n"/>
      <c r="D34" s="67" t="inlineStr">
        <is>
          <t>Thái dương</t>
        </is>
      </c>
      <c r="E34" s="67" t="n"/>
      <c r="F34" s="67" t="n"/>
      <c r="G34" s="67" t="inlineStr">
        <is>
          <t>kg</t>
        </is>
      </c>
      <c r="H34" s="67" t="n">
        <v>14000</v>
      </c>
      <c r="I34" s="66" t="n"/>
      <c r="J34" s="66" t="n"/>
      <c r="K34" s="66" t="n"/>
      <c r="L34" s="66" t="n"/>
      <c r="M34" s="64" t="inlineStr">
        <is>
          <t>NLR0079</t>
        </is>
      </c>
    </row>
    <row r="35" ht="27" customHeight="1">
      <c r="A35" s="67" t="inlineStr">
        <is>
          <t>NLR0083</t>
        </is>
      </c>
      <c r="B35" s="68" t="inlineStr">
        <is>
          <t>Hành tây</t>
        </is>
      </c>
      <c r="C35" s="69" t="n"/>
      <c r="D35" s="67" t="inlineStr">
        <is>
          <t>Thái dương</t>
        </is>
      </c>
      <c r="E35" s="67" t="n"/>
      <c r="F35" s="67" t="n"/>
      <c r="G35" s="67" t="inlineStr">
        <is>
          <t>kg</t>
        </is>
      </c>
      <c r="H35" s="67" t="n">
        <v>9000</v>
      </c>
      <c r="I35" s="66" t="n"/>
      <c r="J35" s="66" t="n"/>
      <c r="K35" s="66" t="n"/>
      <c r="L35" s="66" t="n"/>
      <c r="M35" s="64" t="inlineStr">
        <is>
          <t>NLR0083</t>
        </is>
      </c>
    </row>
    <row r="36" ht="27" customHeight="1">
      <c r="A36" s="67" t="inlineStr">
        <is>
          <t>NLR0100</t>
        </is>
      </c>
      <c r="B36" s="68" t="inlineStr">
        <is>
          <t>Khoai tây</t>
        </is>
      </c>
      <c r="C36" s="69" t="n"/>
      <c r="D36" s="67" t="inlineStr">
        <is>
          <t>Thái dương</t>
        </is>
      </c>
      <c r="E36" s="67" t="n"/>
      <c r="F36" s="67" t="n"/>
      <c r="G36" s="67" t="inlineStr">
        <is>
          <t>kg</t>
        </is>
      </c>
      <c r="H36" s="67" t="n">
        <v>13000</v>
      </c>
      <c r="I36" s="66" t="n"/>
      <c r="J36" s="66" t="n"/>
      <c r="K36" s="66" t="n"/>
      <c r="L36" s="66" t="n"/>
      <c r="M36" s="64" t="inlineStr">
        <is>
          <t>NLR0100</t>
        </is>
      </c>
    </row>
    <row r="37" ht="27" customHeight="1">
      <c r="A37" s="67" t="inlineStr">
        <is>
          <t>NLR0102</t>
        </is>
      </c>
      <c r="B37" s="68" t="inlineStr">
        <is>
          <t>Lá chanh</t>
        </is>
      </c>
      <c r="C37" s="69" t="n"/>
      <c r="D37" s="67" t="inlineStr">
        <is>
          <t>Thái dương</t>
        </is>
      </c>
      <c r="E37" s="67" t="n"/>
      <c r="F37" s="67" t="n"/>
      <c r="G37" s="67" t="inlineStr">
        <is>
          <t>kg</t>
        </is>
      </c>
      <c r="H37" s="67" t="n">
        <v>55000</v>
      </c>
      <c r="I37" s="66" t="n"/>
      <c r="J37" s="66" t="n"/>
      <c r="K37" s="66" t="n"/>
      <c r="L37" s="66" t="n"/>
      <c r="M37" s="64" t="inlineStr">
        <is>
          <t>NLR0102</t>
        </is>
      </c>
    </row>
    <row r="38" ht="27" customHeight="1">
      <c r="A38" s="67" t="inlineStr">
        <is>
          <t>NLR0103</t>
        </is>
      </c>
      <c r="B38" s="68" t="inlineStr">
        <is>
          <t>Lá hẹ</t>
        </is>
      </c>
      <c r="C38" s="69" t="n"/>
      <c r="D38" s="67" t="inlineStr">
        <is>
          <t>Thái dương</t>
        </is>
      </c>
      <c r="E38" s="67" t="n"/>
      <c r="F38" s="67" t="n"/>
      <c r="G38" s="67" t="inlineStr">
        <is>
          <t>kg</t>
        </is>
      </c>
      <c r="H38" s="67" t="n">
        <v>42000</v>
      </c>
      <c r="I38" s="66" t="n"/>
      <c r="J38" s="66" t="n"/>
      <c r="K38" s="66" t="n"/>
      <c r="L38" s="66" t="n"/>
      <c r="M38" s="64" t="inlineStr">
        <is>
          <t>NLR0103</t>
        </is>
      </c>
    </row>
    <row r="39" ht="27" customHeight="1">
      <c r="A39" s="67" t="inlineStr">
        <is>
          <t>NLR0107</t>
        </is>
      </c>
      <c r="B39" s="68" t="inlineStr">
        <is>
          <t>Lá lốt (kg)</t>
        </is>
      </c>
      <c r="C39" s="69" t="n"/>
      <c r="D39" s="67" t="inlineStr">
        <is>
          <t>Thái dương</t>
        </is>
      </c>
      <c r="E39" s="67" t="n"/>
      <c r="F39" s="67" t="n"/>
      <c r="G39" s="67" t="inlineStr">
        <is>
          <t>kg</t>
        </is>
      </c>
      <c r="H39" s="67" t="n">
        <v>16000</v>
      </c>
      <c r="I39" s="66" t="n"/>
      <c r="J39" s="66" t="n"/>
      <c r="K39" s="66" t="n"/>
      <c r="L39" s="66" t="n"/>
      <c r="M39" s="64" t="inlineStr">
        <is>
          <t>NLR0107</t>
        </is>
      </c>
    </row>
    <row r="40" ht="27" customHeight="1">
      <c r="A40" s="67" t="inlineStr">
        <is>
          <t>NLR0109</t>
        </is>
      </c>
      <c r="B40" s="68" t="inlineStr">
        <is>
          <t>Măng củ</t>
        </is>
      </c>
      <c r="C40" s="69" t="n"/>
      <c r="D40" s="67" t="inlineStr">
        <is>
          <t>Thái dương</t>
        </is>
      </c>
      <c r="E40" s="67" t="n"/>
      <c r="F40" s="67" t="n"/>
      <c r="G40" s="67" t="inlineStr">
        <is>
          <t>kg</t>
        </is>
      </c>
      <c r="H40" s="67" t="n">
        <v>22000</v>
      </c>
      <c r="I40" s="66" t="n"/>
      <c r="J40" s="66" t="n"/>
      <c r="K40" s="66" t="n"/>
      <c r="L40" s="66" t="n"/>
      <c r="M40" s="64" t="inlineStr">
        <is>
          <t>NLR0109</t>
        </is>
      </c>
    </row>
    <row r="41" ht="27" customHeight="1">
      <c r="A41" s="67" t="inlineStr">
        <is>
          <t>NLR0117</t>
        </is>
      </c>
      <c r="B41" s="68" t="inlineStr">
        <is>
          <t>Mướp đắng</t>
        </is>
      </c>
      <c r="C41" s="69" t="n"/>
      <c r="D41" s="67" t="inlineStr">
        <is>
          <t>Thái dương</t>
        </is>
      </c>
      <c r="E41" s="67" t="n"/>
      <c r="F41" s="67" t="n"/>
      <c r="G41" s="67" t="inlineStr">
        <is>
          <t>kg</t>
        </is>
      </c>
      <c r="H41" s="67" t="n">
        <v>15000</v>
      </c>
      <c r="I41" s="66" t="n"/>
      <c r="J41" s="66" t="n"/>
      <c r="K41" s="66" t="n"/>
      <c r="L41" s="66" t="n"/>
      <c r="M41" s="64" t="inlineStr">
        <is>
          <t>NLR0117</t>
        </is>
      </c>
    </row>
    <row r="42" ht="27" customHeight="1">
      <c r="A42" s="67" t="inlineStr">
        <is>
          <t>NLQ0022</t>
        </is>
      </c>
      <c r="B42" s="68" t="inlineStr">
        <is>
          <t>Quả Thanh long</t>
        </is>
      </c>
      <c r="C42" s="69" t="n"/>
      <c r="D42" s="67" t="inlineStr">
        <is>
          <t>Thái dương</t>
        </is>
      </c>
      <c r="E42" s="67" t="n"/>
      <c r="F42" s="67" t="n"/>
      <c r="G42" s="67" t="inlineStr">
        <is>
          <t>kg</t>
        </is>
      </c>
      <c r="H42" s="67" t="n">
        <v>11000</v>
      </c>
      <c r="I42" s="66" t="n"/>
      <c r="J42" s="66" t="n"/>
      <c r="K42" s="66" t="n"/>
      <c r="L42" s="66" t="n"/>
      <c r="M42" s="64" t="inlineStr">
        <is>
          <t>NLQ0022</t>
        </is>
      </c>
    </row>
    <row r="43" ht="27" customHeight="1">
      <c r="A43" s="67" t="inlineStr">
        <is>
          <t>NLR0126</t>
        </is>
      </c>
      <c r="B43" s="68" t="inlineStr">
        <is>
          <t>Ngải cứu (kg)</t>
        </is>
      </c>
      <c r="C43" s="69" t="n"/>
      <c r="D43" s="67" t="inlineStr">
        <is>
          <t>Thái dương</t>
        </is>
      </c>
      <c r="E43" s="67" t="n"/>
      <c r="F43" s="67" t="n"/>
      <c r="G43" s="67" t="inlineStr">
        <is>
          <t>kg</t>
        </is>
      </c>
      <c r="H43" s="67" t="n">
        <v>20000</v>
      </c>
      <c r="I43" s="66" t="n"/>
      <c r="J43" s="66" t="n"/>
      <c r="K43" s="66" t="n"/>
      <c r="L43" s="66" t="n"/>
      <c r="M43" s="64" t="inlineStr">
        <is>
          <t>NLR0126</t>
        </is>
      </c>
    </row>
    <row r="44" ht="27" customHeight="1">
      <c r="A44" s="67" t="inlineStr">
        <is>
          <t>NLR0127</t>
        </is>
      </c>
      <c r="B44" s="68" t="inlineStr">
        <is>
          <t>Nghệ củ</t>
        </is>
      </c>
      <c r="C44" s="69" t="n"/>
      <c r="D44" s="67" t="inlineStr">
        <is>
          <t>Thái dương</t>
        </is>
      </c>
      <c r="E44" s="67" t="n"/>
      <c r="F44" s="67" t="n"/>
      <c r="G44" s="67" t="inlineStr">
        <is>
          <t>kg</t>
        </is>
      </c>
      <c r="H44" s="67" t="n">
        <v>20000</v>
      </c>
      <c r="I44" s="66" t="n"/>
      <c r="J44" s="66" t="n"/>
      <c r="K44" s="66" t="n"/>
      <c r="L44" s="66" t="n"/>
      <c r="M44" s="64" t="inlineStr">
        <is>
          <t>NLR0127</t>
        </is>
      </c>
    </row>
    <row r="45" ht="27" customHeight="1">
      <c r="A45" s="67" t="inlineStr">
        <is>
          <t>NLR0137</t>
        </is>
      </c>
      <c r="B45" s="68" t="inlineStr">
        <is>
          <t>Ớt cay</t>
        </is>
      </c>
      <c r="C45" s="69" t="n"/>
      <c r="D45" s="67" t="inlineStr">
        <is>
          <t>Thái dương</t>
        </is>
      </c>
      <c r="E45" s="67" t="n"/>
      <c r="F45" s="67">
        <f>279/48</f>
        <v/>
      </c>
      <c r="G45" s="67" t="inlineStr">
        <is>
          <t>kg</t>
        </is>
      </c>
      <c r="H45" s="67" t="n">
        <v>20000</v>
      </c>
      <c r="I45" s="66" t="n"/>
      <c r="J45" s="66" t="n"/>
      <c r="K45" s="66" t="n"/>
      <c r="L45" s="66" t="n"/>
      <c r="M45" s="64" t="inlineStr">
        <is>
          <t>NLR0137</t>
        </is>
      </c>
    </row>
    <row r="46" ht="27" customHeight="1">
      <c r="A46" s="67" t="inlineStr">
        <is>
          <t>NLR0153</t>
        </is>
      </c>
      <c r="B46" s="68" t="inlineStr">
        <is>
          <t>Rau mùi ta</t>
        </is>
      </c>
      <c r="C46" s="69" t="n"/>
      <c r="D46" s="67" t="inlineStr">
        <is>
          <t>Thái dương</t>
        </is>
      </c>
      <c r="E46" s="67" t="n"/>
      <c r="F46" s="67" t="n"/>
      <c r="G46" s="67" t="inlineStr">
        <is>
          <t>kg</t>
        </is>
      </c>
      <c r="H46" s="67" t="n">
        <v>15000</v>
      </c>
      <c r="I46" s="66" t="n"/>
      <c r="J46" s="66" t="n"/>
      <c r="K46" s="66" t="n"/>
      <c r="L46" s="66" t="n"/>
      <c r="M46" s="64" t="inlineStr">
        <is>
          <t>NLR0153</t>
        </is>
      </c>
    </row>
    <row r="47" ht="27" customHeight="1">
      <c r="A47" s="67" t="inlineStr">
        <is>
          <t>NLR0154</t>
        </is>
      </c>
      <c r="B47" s="68" t="inlineStr">
        <is>
          <t>Rau mùi tàu</t>
        </is>
      </c>
      <c r="C47" s="69" t="n"/>
      <c r="D47" s="67" t="inlineStr">
        <is>
          <t>Thái dương</t>
        </is>
      </c>
      <c r="E47" s="67" t="n"/>
      <c r="F47" s="67" t="n"/>
      <c r="G47" s="67" t="inlineStr">
        <is>
          <t>kg</t>
        </is>
      </c>
      <c r="H47" s="67" t="n">
        <v>25000</v>
      </c>
      <c r="I47" s="66" t="n"/>
      <c r="J47" s="66" t="n"/>
      <c r="K47" s="66" t="n"/>
      <c r="L47" s="66" t="n"/>
      <c r="M47" s="64" t="inlineStr">
        <is>
          <t>NLR0154</t>
        </is>
      </c>
    </row>
    <row r="48" ht="27" customHeight="1">
      <c r="A48" s="67" t="inlineStr">
        <is>
          <t>NLR0159</t>
        </is>
      </c>
      <c r="B48" s="68" t="inlineStr">
        <is>
          <t>Rau ngổ</t>
        </is>
      </c>
      <c r="C48" s="69" t="n"/>
      <c r="D48" s="67" t="inlineStr">
        <is>
          <t>Thái dương</t>
        </is>
      </c>
      <c r="E48" s="67" t="n"/>
      <c r="F48" s="67" t="n"/>
      <c r="G48" s="67" t="inlineStr">
        <is>
          <t>kg</t>
        </is>
      </c>
      <c r="H48" s="67" t="n">
        <v>20000</v>
      </c>
      <c r="I48" s="66" t="n"/>
      <c r="J48" s="66" t="n"/>
      <c r="K48" s="66" t="n"/>
      <c r="L48" s="66" t="n"/>
      <c r="M48" s="64" t="inlineStr">
        <is>
          <t>NLR0159</t>
        </is>
      </c>
    </row>
    <row r="49" ht="27" customHeight="1">
      <c r="A49" s="67" t="inlineStr">
        <is>
          <t>NLR0160</t>
        </is>
      </c>
      <c r="B49" s="68" t="inlineStr">
        <is>
          <t>Rau răm</t>
        </is>
      </c>
      <c r="C49" s="69" t="n"/>
      <c r="D49" s="67" t="inlineStr">
        <is>
          <t>Thái dương</t>
        </is>
      </c>
      <c r="E49" s="67" t="n"/>
      <c r="F49" s="67" t="n"/>
      <c r="G49" s="67" t="inlineStr">
        <is>
          <t>kg</t>
        </is>
      </c>
      <c r="H49" s="67" t="n">
        <v>20000</v>
      </c>
      <c r="I49" s="66" t="n"/>
      <c r="J49" s="66" t="n"/>
      <c r="K49" s="66" t="n"/>
      <c r="L49" s="66" t="n"/>
      <c r="M49" s="64" t="inlineStr">
        <is>
          <t>NLR0160</t>
        </is>
      </c>
    </row>
    <row r="50" ht="27" customHeight="1">
      <c r="A50" s="67" t="inlineStr">
        <is>
          <t>NLR0165</t>
        </is>
      </c>
      <c r="B50" s="68" t="inlineStr">
        <is>
          <t>Su su</t>
        </is>
      </c>
      <c r="C50" s="69" t="n"/>
      <c r="D50" s="67" t="inlineStr">
        <is>
          <t>Thái dương</t>
        </is>
      </c>
      <c r="E50" s="67" t="n"/>
      <c r="F50" s="67" t="n"/>
      <c r="G50" s="67" t="inlineStr">
        <is>
          <t>kg</t>
        </is>
      </c>
      <c r="H50" s="67" t="n">
        <v>9000</v>
      </c>
      <c r="I50" s="66" t="n"/>
      <c r="J50" s="66" t="n"/>
      <c r="K50" s="66" t="n"/>
      <c r="L50" s="66" t="n"/>
      <c r="M50" s="64" t="inlineStr">
        <is>
          <t>NLR0165</t>
        </is>
      </c>
    </row>
    <row r="51" ht="27" customHeight="1">
      <c r="A51" s="67" t="inlineStr">
        <is>
          <t>NLR0170</t>
        </is>
      </c>
      <c r="B51" s="68" t="inlineStr">
        <is>
          <t>Tía tô</t>
        </is>
      </c>
      <c r="C51" s="69" t="n"/>
      <c r="D51" s="67" t="inlineStr">
        <is>
          <t>Thái dương</t>
        </is>
      </c>
      <c r="E51" s="67" t="n"/>
      <c r="F51" s="67" t="n"/>
      <c r="G51" s="67" t="inlineStr">
        <is>
          <t>kg</t>
        </is>
      </c>
      <c r="H51" s="67" t="n">
        <v>25000</v>
      </c>
      <c r="I51" s="66" t="n"/>
      <c r="J51" s="66" t="n"/>
      <c r="K51" s="66" t="n"/>
      <c r="L51" s="66" t="n"/>
      <c r="M51" s="64" t="inlineStr">
        <is>
          <t>NLR0170</t>
        </is>
      </c>
    </row>
    <row r="52" ht="27" customHeight="1">
      <c r="A52" s="67" t="inlineStr">
        <is>
          <t>NLR0172</t>
        </is>
      </c>
      <c r="B52" s="68" t="inlineStr">
        <is>
          <t>Tỏi khô</t>
        </is>
      </c>
      <c r="C52" s="69" t="n"/>
      <c r="D52" s="67" t="inlineStr">
        <is>
          <t>Thái dương</t>
        </is>
      </c>
      <c r="E52" s="67" t="n"/>
      <c r="F52" s="67" t="n"/>
      <c r="G52" s="67" t="inlineStr">
        <is>
          <t>kg</t>
        </is>
      </c>
      <c r="H52" s="67" t="n">
        <v>30000</v>
      </c>
      <c r="I52" s="66" t="n"/>
      <c r="J52" s="66" t="n"/>
      <c r="K52" s="66" t="n"/>
      <c r="L52" s="66" t="n"/>
      <c r="M52" s="64" t="inlineStr">
        <is>
          <t>NLR0172</t>
        </is>
      </c>
    </row>
    <row r="53" ht="27" customHeight="1">
      <c r="A53" s="67" t="inlineStr">
        <is>
          <t>NLR0174</t>
        </is>
      </c>
      <c r="B53" s="68" t="inlineStr">
        <is>
          <t>Thì là</t>
        </is>
      </c>
      <c r="C53" s="69" t="n"/>
      <c r="D53" s="67" t="inlineStr">
        <is>
          <t>Thái dương</t>
        </is>
      </c>
      <c r="E53" s="67" t="n"/>
      <c r="F53" s="67" t="n"/>
      <c r="G53" s="67" t="inlineStr">
        <is>
          <t>kg</t>
        </is>
      </c>
      <c r="H53" s="67" t="n">
        <v>20000</v>
      </c>
      <c r="I53" s="66" t="n"/>
      <c r="J53" s="66" t="n"/>
      <c r="K53" s="66" t="n"/>
      <c r="L53" s="66" t="n"/>
      <c r="M53" s="64" t="inlineStr">
        <is>
          <t>NLR0174</t>
        </is>
      </c>
    </row>
    <row r="54" ht="27" customHeight="1">
      <c r="A54" s="67" t="inlineStr">
        <is>
          <t>NLR0175</t>
        </is>
      </c>
      <c r="B54" s="68" t="inlineStr">
        <is>
          <t>Sả củ</t>
        </is>
      </c>
      <c r="C54" s="69" t="n"/>
      <c r="D54" s="67" t="inlineStr">
        <is>
          <t>Thái dương</t>
        </is>
      </c>
      <c r="E54" s="67" t="n"/>
      <c r="F54" s="67" t="n"/>
      <c r="G54" s="67" t="inlineStr">
        <is>
          <t>kg</t>
        </is>
      </c>
      <c r="H54" s="67" t="n">
        <v>15000</v>
      </c>
      <c r="I54" s="66" t="n"/>
      <c r="J54" s="66" t="n"/>
      <c r="K54" s="66" t="n"/>
      <c r="L54" s="66" t="n"/>
      <c r="M54" s="64" t="inlineStr">
        <is>
          <t>NLR0175</t>
        </is>
      </c>
    </row>
    <row r="55" ht="27" customHeight="1">
      <c r="A55" s="67" t="inlineStr">
        <is>
          <t>NLR0177</t>
        </is>
      </c>
      <c r="B55" s="68" t="inlineStr">
        <is>
          <t>Nấm đùi gà</t>
        </is>
      </c>
      <c r="C55" s="69" t="n"/>
      <c r="D55" s="67" t="inlineStr">
        <is>
          <t>Thái dương</t>
        </is>
      </c>
      <c r="E55" s="67" t="n"/>
      <c r="F55" s="67" t="n"/>
      <c r="G55" s="67" t="inlineStr">
        <is>
          <t>kg</t>
        </is>
      </c>
      <c r="H55" s="67" t="n">
        <v>42000</v>
      </c>
      <c r="I55" s="66" t="n"/>
      <c r="J55" s="66" t="n"/>
      <c r="K55" s="66" t="n"/>
      <c r="L55" s="66" t="n"/>
      <c r="M55" s="64" t="inlineStr">
        <is>
          <t>NLR0177</t>
        </is>
      </c>
    </row>
    <row r="56" ht="27" customHeight="1">
      <c r="A56" s="67" t="inlineStr">
        <is>
          <t>NLR0225</t>
        </is>
      </c>
      <c r="B56" s="68" t="inlineStr">
        <is>
          <t>Rau vặt</t>
        </is>
      </c>
      <c r="C56" s="69" t="n"/>
      <c r="D56" s="67" t="inlineStr">
        <is>
          <t>Thái dương</t>
        </is>
      </c>
      <c r="E56" s="67" t="n"/>
      <c r="F56" s="67" t="n"/>
      <c r="G56" s="67" t="inlineStr">
        <is>
          <t>kg</t>
        </is>
      </c>
      <c r="H56" s="67" t="n">
        <v>30000</v>
      </c>
      <c r="I56" s="66" t="n"/>
      <c r="J56" s="66" t="n"/>
      <c r="K56" s="66" t="n"/>
      <c r="L56" s="66" t="n"/>
      <c r="M56" s="64" t="inlineStr">
        <is>
          <t>NLR0225</t>
        </is>
      </c>
    </row>
    <row r="57" ht="27" customHeight="1">
      <c r="A57" s="67" t="inlineStr">
        <is>
          <t>NLR0227</t>
        </is>
      </c>
      <c r="B57" s="68" t="inlineStr">
        <is>
          <t>ớt sừng đỏ</t>
        </is>
      </c>
      <c r="C57" s="69" t="n"/>
      <c r="D57" s="67" t="inlineStr">
        <is>
          <t>Thái dương</t>
        </is>
      </c>
      <c r="E57" s="67" t="n"/>
      <c r="F57" s="67" t="n"/>
      <c r="G57" s="67" t="inlineStr">
        <is>
          <t>kg</t>
        </is>
      </c>
      <c r="H57" s="67" t="n">
        <v>35000</v>
      </c>
      <c r="I57" s="66" t="n"/>
      <c r="J57" s="66" t="n"/>
      <c r="K57" s="66" t="n"/>
      <c r="L57" s="66" t="n"/>
      <c r="M57" s="64" t="inlineStr">
        <is>
          <t>NLR0227</t>
        </is>
      </c>
    </row>
    <row r="58" ht="27" customHeight="1">
      <c r="A58" s="67" t="inlineStr">
        <is>
          <t>NLR0266</t>
        </is>
      </c>
      <c r="B58" s="68" t="inlineStr">
        <is>
          <t>Bí xanh dài</t>
        </is>
      </c>
      <c r="C58" s="69" t="n"/>
      <c r="D58" s="67" t="inlineStr">
        <is>
          <t>Thái dương</t>
        </is>
      </c>
      <c r="E58" s="67" t="n"/>
      <c r="F58" s="67" t="n"/>
      <c r="G58" s="67" t="inlineStr">
        <is>
          <t>kg</t>
        </is>
      </c>
      <c r="H58" s="67" t="n">
        <v>9000</v>
      </c>
      <c r="I58" s="66" t="n"/>
      <c r="J58" s="66" t="n"/>
      <c r="K58" s="66" t="n"/>
      <c r="L58" s="66" t="n"/>
      <c r="M58" s="64" t="inlineStr">
        <is>
          <t>NLR0266</t>
        </is>
      </c>
    </row>
    <row r="59" ht="27" customHeight="1">
      <c r="A59" s="67" t="inlineStr">
        <is>
          <t>NLR0268</t>
        </is>
      </c>
      <c r="B59" s="68" t="inlineStr">
        <is>
          <t>Cà chua to</t>
        </is>
      </c>
      <c r="C59" s="69" t="n"/>
      <c r="D59" s="67" t="inlineStr">
        <is>
          <t>Thái dương</t>
        </is>
      </c>
      <c r="E59" s="67" t="n"/>
      <c r="F59" s="67" t="n"/>
      <c r="G59" s="67" t="inlineStr">
        <is>
          <t>kg</t>
        </is>
      </c>
      <c r="H59" s="67" t="n">
        <v>22000</v>
      </c>
      <c r="I59" s="66" t="n"/>
      <c r="J59" s="66" t="n"/>
      <c r="K59" s="66" t="n"/>
      <c r="L59" s="66" t="n"/>
      <c r="M59" s="64" t="inlineStr">
        <is>
          <t>NLR0268</t>
        </is>
      </c>
    </row>
    <row r="60" ht="27" customHeight="1">
      <c r="A60" s="67" t="inlineStr">
        <is>
          <t>NLS0065</t>
        </is>
      </c>
      <c r="B60" s="68" t="inlineStr">
        <is>
          <t>Tép khô</t>
        </is>
      </c>
      <c r="C60" s="69" t="n"/>
      <c r="D60" s="67" t="inlineStr">
        <is>
          <t>Thái dương</t>
        </is>
      </c>
      <c r="E60" s="67" t="n"/>
      <c r="F60" s="67" t="n"/>
      <c r="G60" s="67" t="inlineStr">
        <is>
          <t>kg</t>
        </is>
      </c>
      <c r="H60" s="67" t="n">
        <v>115000</v>
      </c>
      <c r="I60" s="66" t="n"/>
      <c r="J60" s="66" t="n"/>
      <c r="K60" s="66" t="n"/>
      <c r="L60" s="66" t="n"/>
      <c r="M60" s="64" t="inlineStr">
        <is>
          <t>NLS0065</t>
        </is>
      </c>
    </row>
    <row r="61" ht="27" customHeight="1">
      <c r="A61" s="67" t="inlineStr">
        <is>
          <t>NLS0111</t>
        </is>
      </c>
      <c r="B61" s="68" t="inlineStr">
        <is>
          <t>Cá cơm khô</t>
        </is>
      </c>
      <c r="C61" s="69" t="n"/>
      <c r="D61" s="67" t="inlineStr">
        <is>
          <t>Thái dương</t>
        </is>
      </c>
      <c r="E61" s="67" t="n"/>
      <c r="F61" s="67" t="n"/>
      <c r="G61" s="67" t="inlineStr">
        <is>
          <t>kg</t>
        </is>
      </c>
      <c r="H61" s="67" t="n">
        <v>125000</v>
      </c>
      <c r="I61" s="66" t="n"/>
      <c r="J61" s="66" t="n"/>
      <c r="K61" s="66" t="n"/>
      <c r="L61" s="66" t="n"/>
      <c r="M61" s="64" t="inlineStr">
        <is>
          <t>NLS0111</t>
        </is>
      </c>
    </row>
    <row r="62" ht="27" customHeight="1">
      <c r="A62" s="67" t="inlineStr">
        <is>
          <t>NLS0410</t>
        </is>
      </c>
      <c r="B62" s="68" t="inlineStr">
        <is>
          <t>Chả cá thì là</t>
        </is>
      </c>
      <c r="C62" s="69" t="n"/>
      <c r="D62" s="67" t="inlineStr">
        <is>
          <t>Thái dương</t>
        </is>
      </c>
      <c r="E62" s="67" t="n"/>
      <c r="F62" s="67" t="n"/>
      <c r="G62" s="67" t="inlineStr">
        <is>
          <t>kg</t>
        </is>
      </c>
      <c r="H62" s="67" t="n">
        <v>65000</v>
      </c>
      <c r="I62" s="66" t="n"/>
      <c r="J62" s="66" t="n"/>
      <c r="K62" s="66" t="n"/>
      <c r="L62" s="66" t="n"/>
      <c r="M62" s="64" t="inlineStr">
        <is>
          <t>NLS0410</t>
        </is>
      </c>
    </row>
    <row r="63" ht="27" customHeight="1">
      <c r="A63" s="67" t="inlineStr">
        <is>
          <t>NLS0491</t>
        </is>
      </c>
      <c r="B63" s="68" t="inlineStr">
        <is>
          <t>Cá chim sơ chế bỏ đầu 0,8-1,5kg/con</t>
        </is>
      </c>
      <c r="C63" s="69" t="n"/>
      <c r="D63" s="67" t="inlineStr">
        <is>
          <t>Thái dương</t>
        </is>
      </c>
      <c r="E63" s="67" t="n"/>
      <c r="F63" s="67" t="n"/>
      <c r="G63" s="67" t="inlineStr">
        <is>
          <t>kg</t>
        </is>
      </c>
      <c r="H63" s="67" t="n">
        <v>47000</v>
      </c>
      <c r="I63" s="66" t="n"/>
      <c r="J63" s="66" t="n"/>
      <c r="K63" s="66" t="n"/>
      <c r="L63" s="66" t="n"/>
      <c r="M63" s="64" t="inlineStr">
        <is>
          <t>NLS0491</t>
        </is>
      </c>
    </row>
    <row r="64" ht="27" customHeight="1">
      <c r="A64" s="67" t="inlineStr">
        <is>
          <t>NLS0492</t>
        </is>
      </c>
      <c r="B64" s="68" t="inlineStr">
        <is>
          <t>Cá trôi sơ chế bỏ đầu 0,7-1,3kg/con</t>
        </is>
      </c>
      <c r="C64" s="69" t="n"/>
      <c r="D64" s="67" t="inlineStr">
        <is>
          <t>Thái dương</t>
        </is>
      </c>
      <c r="E64" s="67" t="n"/>
      <c r="F64" s="67" t="n"/>
      <c r="G64" s="67" t="inlineStr">
        <is>
          <t>kg</t>
        </is>
      </c>
      <c r="H64" s="67" t="n">
        <v>41000</v>
      </c>
      <c r="I64" s="66" t="n"/>
      <c r="J64" s="66" t="n"/>
      <c r="K64" s="66" t="n"/>
      <c r="L64" s="66" t="n"/>
      <c r="M64" s="64" t="inlineStr">
        <is>
          <t>NLS0492</t>
        </is>
      </c>
    </row>
    <row r="65" ht="27" customHeight="1">
      <c r="A65" s="67" t="inlineStr">
        <is>
          <t>NLS0493</t>
        </is>
      </c>
      <c r="B65" s="68" t="inlineStr">
        <is>
          <t>Cá rô phi sơ chế bỏ đầu 0,7-1,3kg</t>
        </is>
      </c>
      <c r="C65" s="69" t="n"/>
      <c r="D65" s="67" t="inlineStr">
        <is>
          <t>Thái dương</t>
        </is>
      </c>
      <c r="E65" s="67" t="n"/>
      <c r="F65" s="67" t="n"/>
      <c r="G65" s="67" t="inlineStr">
        <is>
          <t>kg</t>
        </is>
      </c>
      <c r="H65" s="67" t="n">
        <v>55000</v>
      </c>
      <c r="I65" s="66" t="n"/>
      <c r="J65" s="66" t="n"/>
      <c r="K65" s="66" t="n"/>
      <c r="L65" s="66" t="n"/>
      <c r="M65" s="64" t="inlineStr">
        <is>
          <t>NLS0493</t>
        </is>
      </c>
    </row>
    <row r="66" ht="27" customHeight="1">
      <c r="A66" s="67" t="inlineStr">
        <is>
          <t>NLS0494</t>
        </is>
      </c>
      <c r="B66" s="68" t="inlineStr">
        <is>
          <t>Cá trắm sơ chế bỏ đầu 1,8-2,7kg/con</t>
        </is>
      </c>
      <c r="C66" s="69" t="n"/>
      <c r="D66" s="67" t="inlineStr">
        <is>
          <t>Thái dương</t>
        </is>
      </c>
      <c r="E66" s="67" t="n"/>
      <c r="F66" s="67" t="n"/>
      <c r="G66" s="67" t="inlineStr">
        <is>
          <t>kg</t>
        </is>
      </c>
      <c r="H66" s="67" t="n">
        <v>80000</v>
      </c>
      <c r="I66" s="66" t="n"/>
      <c r="J66" s="66" t="n"/>
      <c r="K66" s="66" t="n"/>
      <c r="L66" s="66" t="n"/>
      <c r="M66" s="64" t="inlineStr">
        <is>
          <t>NLS0494</t>
        </is>
      </c>
    </row>
    <row r="67" ht="27" customHeight="1">
      <c r="A67" s="67" t="inlineStr">
        <is>
          <t>NLT0003</t>
        </is>
      </c>
      <c r="B67" s="68" t="inlineStr">
        <is>
          <t>Chả lợn</t>
        </is>
      </c>
      <c r="C67" s="69" t="n"/>
      <c r="D67" s="67" t="inlineStr">
        <is>
          <t>Thái dương</t>
        </is>
      </c>
      <c r="E67" s="67" t="n"/>
      <c r="F67" s="67" t="n"/>
      <c r="G67" s="67" t="inlineStr">
        <is>
          <t>kg</t>
        </is>
      </c>
      <c r="H67" s="67" t="n">
        <v>85000</v>
      </c>
      <c r="I67" s="66" t="n"/>
      <c r="J67" s="66" t="n"/>
      <c r="K67" s="66" t="n"/>
      <c r="L67" s="66" t="n"/>
      <c r="M67" s="64" t="inlineStr">
        <is>
          <t>NLT0003</t>
        </is>
      </c>
    </row>
    <row r="68" ht="27" customHeight="1">
      <c r="A68" s="67" t="inlineStr">
        <is>
          <t>NLT0017</t>
        </is>
      </c>
      <c r="B68" s="68" t="inlineStr">
        <is>
          <t>Giò lụa</t>
        </is>
      </c>
      <c r="C68" s="69" t="n"/>
      <c r="D68" s="67" t="inlineStr">
        <is>
          <t>Thái dương</t>
        </is>
      </c>
      <c r="E68" s="67" t="n"/>
      <c r="F68" s="67" t="n"/>
      <c r="G68" s="67" t="inlineStr">
        <is>
          <t>kg</t>
        </is>
      </c>
      <c r="H68" s="67" t="n">
        <v>85000</v>
      </c>
      <c r="I68" s="66" t="n"/>
      <c r="J68" s="66" t="n"/>
      <c r="K68" s="66" t="n"/>
      <c r="L68" s="66" t="n"/>
      <c r="M68" s="64" t="inlineStr">
        <is>
          <t>NLT0017</t>
        </is>
      </c>
    </row>
    <row r="69" ht="27" customHeight="1">
      <c r="A69" s="67" t="inlineStr">
        <is>
          <t>NLT0011</t>
        </is>
      </c>
      <c r="B69" s="68" t="inlineStr">
        <is>
          <t>Đậu phụ kg</t>
        </is>
      </c>
      <c r="C69" s="69" t="n"/>
      <c r="D69" s="67" t="inlineStr">
        <is>
          <t>Thái dương</t>
        </is>
      </c>
      <c r="E69" s="67" t="n"/>
      <c r="F69" s="67" t="n"/>
      <c r="G69" s="67" t="inlineStr">
        <is>
          <t>kg</t>
        </is>
      </c>
      <c r="H69" s="67" t="n">
        <v>17000</v>
      </c>
      <c r="I69" s="66" t="n"/>
      <c r="J69" s="66" t="n"/>
      <c r="K69" s="66" t="n"/>
      <c r="L69" s="66" t="n"/>
      <c r="M69" s="64" t="inlineStr">
        <is>
          <t>NLT0011</t>
        </is>
      </c>
    </row>
    <row r="70" ht="27" customHeight="1">
      <c r="A70" s="67" t="inlineStr">
        <is>
          <t>NLT0020</t>
        </is>
      </c>
      <c r="B70" s="68" t="inlineStr">
        <is>
          <t>Lạc nhân</t>
        </is>
      </c>
      <c r="C70" s="69" t="n"/>
      <c r="D70" s="67" t="inlineStr">
        <is>
          <t>Thái dương</t>
        </is>
      </c>
      <c r="E70" s="67" t="n"/>
      <c r="F70" s="67" t="n"/>
      <c r="G70" s="67" t="inlineStr">
        <is>
          <t>kg</t>
        </is>
      </c>
      <c r="H70" s="67" t="n">
        <v>50000</v>
      </c>
      <c r="I70" s="66" t="n"/>
      <c r="J70" s="66" t="n"/>
      <c r="K70" s="66" t="n"/>
      <c r="L70" s="66" t="n"/>
      <c r="M70" s="64" t="inlineStr">
        <is>
          <t>NLT0020</t>
        </is>
      </c>
    </row>
    <row r="71" ht="27" customHeight="1">
      <c r="A71" s="67" t="inlineStr">
        <is>
          <t>NLT0098</t>
        </is>
      </c>
      <c r="B71" s="68" t="inlineStr">
        <is>
          <t>Thịt xay</t>
        </is>
      </c>
      <c r="C71" s="69" t="n"/>
      <c r="D71" s="67" t="inlineStr">
        <is>
          <t>Thái dương</t>
        </is>
      </c>
      <c r="E71" s="67" t="n"/>
      <c r="F71" s="67" t="n"/>
      <c r="G71" s="67" t="inlineStr">
        <is>
          <t>kg</t>
        </is>
      </c>
      <c r="H71" s="67" t="n">
        <v>101000</v>
      </c>
      <c r="I71" s="66" t="n"/>
      <c r="J71" s="66" t="n"/>
      <c r="K71" s="66" t="n"/>
      <c r="L71" s="66" t="n"/>
      <c r="M71" s="64" t="inlineStr">
        <is>
          <t>NLT0098</t>
        </is>
      </c>
    </row>
    <row r="72" ht="27" customHeight="1">
      <c r="A72" s="67" t="inlineStr">
        <is>
          <t>NLT0099</t>
        </is>
      </c>
      <c r="B72" s="68" t="inlineStr">
        <is>
          <t>Trứng cút</t>
        </is>
      </c>
      <c r="C72" s="69" t="n"/>
      <c r="D72" s="67" t="inlineStr">
        <is>
          <t>Thái dương</t>
        </is>
      </c>
      <c r="E72" s="67" t="n"/>
      <c r="F72" s="67" t="n"/>
      <c r="G72" s="67" t="inlineStr">
        <is>
          <t>quả</t>
        </is>
      </c>
      <c r="H72" s="67" t="n">
        <v>700</v>
      </c>
      <c r="I72" s="66" t="n"/>
      <c r="J72" s="66" t="n"/>
      <c r="K72" s="66" t="n"/>
      <c r="L72" s="66" t="n"/>
      <c r="M72" s="64" t="inlineStr">
        <is>
          <t>NLT0099</t>
        </is>
      </c>
    </row>
    <row r="73" ht="27" customHeight="1">
      <c r="A73" s="67" t="inlineStr">
        <is>
          <t>NLT0107</t>
        </is>
      </c>
      <c r="B73" s="68" t="inlineStr">
        <is>
          <t>Ức gà không xương</t>
        </is>
      </c>
      <c r="C73" s="69" t="n"/>
      <c r="D73" s="67" t="inlineStr">
        <is>
          <t>Thái dương</t>
        </is>
      </c>
      <c r="E73" s="67" t="n"/>
      <c r="F73" s="67" t="n"/>
      <c r="G73" s="67" t="inlineStr">
        <is>
          <t>kg</t>
        </is>
      </c>
      <c r="H73" s="67" t="n">
        <v>57000</v>
      </c>
      <c r="I73" s="66" t="n"/>
      <c r="J73" s="66" t="n"/>
      <c r="K73" s="66" t="n"/>
      <c r="L73" s="66" t="n"/>
      <c r="M73" s="64" t="inlineStr">
        <is>
          <t>NLT0107</t>
        </is>
      </c>
    </row>
    <row r="74" ht="27" customHeight="1">
      <c r="A74" s="67" t="inlineStr">
        <is>
          <t>NLT0106</t>
        </is>
      </c>
      <c r="B74" s="68" t="inlineStr">
        <is>
          <t>Ức gà</t>
        </is>
      </c>
      <c r="C74" s="69" t="n"/>
      <c r="D74" s="67" t="inlineStr">
        <is>
          <t>Thái dương</t>
        </is>
      </c>
      <c r="E74" s="67" t="n"/>
      <c r="F74" s="67" t="n"/>
      <c r="G74" s="67" t="inlineStr">
        <is>
          <t>kg</t>
        </is>
      </c>
      <c r="H74" s="67" t="n">
        <v>47000</v>
      </c>
      <c r="I74" s="66" t="n"/>
      <c r="J74" s="66" t="n"/>
      <c r="K74" s="66" t="n"/>
      <c r="L74" s="66" t="n"/>
      <c r="M74" s="64" t="inlineStr">
        <is>
          <t>NLT0106</t>
        </is>
      </c>
    </row>
    <row r="75" ht="27" customHeight="1">
      <c r="A75" s="67" t="inlineStr">
        <is>
          <t>NLT0063</t>
        </is>
      </c>
      <c r="B75" s="68" t="inlineStr">
        <is>
          <t>Thịt gà CN không đầu</t>
        </is>
      </c>
      <c r="C75" s="69" t="n"/>
      <c r="D75" s="67" t="inlineStr">
        <is>
          <t>Thái dương</t>
        </is>
      </c>
      <c r="E75" s="67" t="n"/>
      <c r="F75" s="67" t="n"/>
      <c r="G75" s="67" t="inlineStr">
        <is>
          <t>kg</t>
        </is>
      </c>
      <c r="H75" s="67" t="n">
        <v>48000</v>
      </c>
      <c r="I75" s="66" t="n"/>
      <c r="J75" s="66" t="n"/>
      <c r="K75" s="66" t="n"/>
      <c r="L75" s="66" t="n"/>
      <c r="M75" s="64" t="inlineStr">
        <is>
          <t>NLT0063</t>
        </is>
      </c>
    </row>
    <row r="76" ht="27" customHeight="1">
      <c r="A76" s="67" t="inlineStr">
        <is>
          <t>NLT0181</t>
        </is>
      </c>
      <c r="B76" s="68" t="inlineStr">
        <is>
          <t>trứng gà cn</t>
        </is>
      </c>
      <c r="C76" s="69" t="n"/>
      <c r="D76" s="67" t="inlineStr">
        <is>
          <t>Thái dương</t>
        </is>
      </c>
      <c r="E76" s="67" t="n"/>
      <c r="F76" s="67" t="n"/>
      <c r="G76" s="67" t="inlineStr">
        <is>
          <t>quả</t>
        </is>
      </c>
      <c r="H76" s="67" t="n">
        <v>2300</v>
      </c>
      <c r="I76" s="66" t="n"/>
      <c r="J76" s="66" t="n"/>
      <c r="K76" s="66" t="n"/>
      <c r="L76" s="66" t="n"/>
      <c r="M76" s="64" t="inlineStr">
        <is>
          <t>NLT0181</t>
        </is>
      </c>
    </row>
    <row r="77" ht="27" customHeight="1">
      <c r="A77" s="67" t="inlineStr">
        <is>
          <t>NLT0662</t>
        </is>
      </c>
      <c r="B77" s="68" t="inlineStr">
        <is>
          <t>Thịt xay loại 1</t>
        </is>
      </c>
      <c r="C77" s="69" t="n"/>
      <c r="D77" s="67" t="inlineStr">
        <is>
          <t>Thái dương</t>
        </is>
      </c>
      <c r="E77" s="67" t="n"/>
      <c r="F77" s="67" t="n"/>
      <c r="G77" s="67" t="inlineStr">
        <is>
          <t>kg</t>
        </is>
      </c>
      <c r="H77" s="67" t="n">
        <v>110000</v>
      </c>
      <c r="I77" s="66" t="n"/>
      <c r="J77" s="66" t="n"/>
      <c r="K77" s="66" t="n"/>
      <c r="L77" s="66" t="n"/>
      <c r="M77" s="64" t="inlineStr">
        <is>
          <t>NLT0662</t>
        </is>
      </c>
    </row>
    <row r="78" ht="27" customHeight="1">
      <c r="A78" s="67" t="inlineStr">
        <is>
          <t>NPG0808</t>
        </is>
      </c>
      <c r="B78" s="68" t="inlineStr">
        <is>
          <t>Hành khô ta</t>
        </is>
      </c>
      <c r="C78" s="69" t="n"/>
      <c r="D78" s="67" t="inlineStr">
        <is>
          <t>Thái dương</t>
        </is>
      </c>
      <c r="E78" s="67" t="n"/>
      <c r="F78" s="67" t="n"/>
      <c r="G78" s="67" t="inlineStr">
        <is>
          <t>kg</t>
        </is>
      </c>
      <c r="H78" s="67" t="n">
        <v>32000</v>
      </c>
      <c r="I78" s="66" t="n"/>
      <c r="J78" s="66" t="n"/>
      <c r="K78" s="66" t="n"/>
      <c r="L78" s="66" t="n"/>
      <c r="M78" s="64" t="inlineStr">
        <is>
          <t>NPG0808</t>
        </is>
      </c>
    </row>
    <row r="79" ht="27" customHeight="1">
      <c r="A79" s="67" t="inlineStr">
        <is>
          <t>NPG0001</t>
        </is>
      </c>
      <c r="B79" s="68" t="inlineStr">
        <is>
          <t>Bột béo Thành phát 1kg/10 gói/ thùng</t>
        </is>
      </c>
      <c r="C79" s="69" t="n"/>
      <c r="D79" s="67" t="inlineStr">
        <is>
          <t>Thái dương</t>
        </is>
      </c>
      <c r="E79" s="67" t="n"/>
      <c r="F79" s="67" t="n"/>
      <c r="G79" s="67" t="inlineStr">
        <is>
          <t>kg</t>
        </is>
      </c>
      <c r="H79" s="67" t="n">
        <v>23000</v>
      </c>
      <c r="I79" s="66" t="n"/>
      <c r="J79" s="66" t="n"/>
      <c r="K79" s="66" t="n"/>
      <c r="L79" s="66" t="n"/>
      <c r="M79" s="64" t="inlineStr">
        <is>
          <t>NPG0001</t>
        </is>
      </c>
    </row>
    <row r="80" ht="27" customHeight="1">
      <c r="A80" s="67" t="inlineStr">
        <is>
          <t>NPG0018</t>
        </is>
      </c>
      <c r="B80" s="68" t="inlineStr">
        <is>
          <t>Bột canh vifon 900g/gói, 12 gói/thùng</t>
        </is>
      </c>
      <c r="C80" s="69" t="n"/>
      <c r="D80" s="67" t="inlineStr">
        <is>
          <t>Thái dương</t>
        </is>
      </c>
      <c r="E80" s="67" t="n"/>
      <c r="F80" s="67" t="n"/>
      <c r="G80" s="67" t="inlineStr">
        <is>
          <t>Gói</t>
        </is>
      </c>
      <c r="H80" s="67" t="n">
        <v>18000</v>
      </c>
      <c r="I80" s="66" t="n"/>
      <c r="J80" s="66" t="n"/>
      <c r="K80" s="66" t="n"/>
      <c r="L80" s="66" t="n"/>
      <c r="M80" s="64" t="inlineStr">
        <is>
          <t>NPG0018</t>
        </is>
      </c>
    </row>
    <row r="81" ht="27" customHeight="1">
      <c r="A81" s="67" t="inlineStr">
        <is>
          <t>NPG0024</t>
        </is>
      </c>
      <c r="B81" s="68" t="inlineStr">
        <is>
          <t>Bột chiên xù màu Panco thùng 10kg</t>
        </is>
      </c>
      <c r="C81" s="69" t="n"/>
      <c r="D81" s="67" t="inlineStr">
        <is>
          <t>Thái dương</t>
        </is>
      </c>
      <c r="E81" s="67" t="n"/>
      <c r="F81" s="67" t="n"/>
      <c r="G81" s="67" t="inlineStr">
        <is>
          <t>kg</t>
        </is>
      </c>
      <c r="H81" s="67" t="n">
        <v>25000</v>
      </c>
      <c r="I81" s="66" t="n"/>
      <c r="J81" s="66" t="n"/>
      <c r="K81" s="66" t="n"/>
      <c r="L81" s="66" t="n"/>
      <c r="M81" s="64" t="inlineStr">
        <is>
          <t>NPG0024</t>
        </is>
      </c>
    </row>
    <row r="82" ht="27" customHeight="1">
      <c r="A82" s="67" t="inlineStr">
        <is>
          <t>NPG0032</t>
        </is>
      </c>
      <c r="B82" s="68" t="inlineStr">
        <is>
          <t>Bột mỳ ngọc lan 1kg/gói</t>
        </is>
      </c>
      <c r="C82" s="69" t="n"/>
      <c r="D82" s="67" t="inlineStr">
        <is>
          <t>Thái dương</t>
        </is>
      </c>
      <c r="E82" s="67" t="n"/>
      <c r="F82" s="67" t="n"/>
      <c r="G82" s="67" t="inlineStr">
        <is>
          <t>kg</t>
        </is>
      </c>
      <c r="H82" s="67" t="n">
        <v>22000</v>
      </c>
      <c r="I82" s="66" t="n"/>
      <c r="J82" s="66" t="n"/>
      <c r="K82" s="66" t="n"/>
      <c r="L82" s="66" t="n"/>
      <c r="M82" s="64" t="inlineStr">
        <is>
          <t>NPG0032</t>
        </is>
      </c>
    </row>
    <row r="83" ht="27" customHeight="1">
      <c r="A83" s="67" t="inlineStr">
        <is>
          <t>NPG0033</t>
        </is>
      </c>
      <c r="B83" s="68" t="inlineStr">
        <is>
          <t>Bột năng Thành phát 1kg/gói, 10 gói/thùng</t>
        </is>
      </c>
      <c r="C83" s="69" t="n"/>
      <c r="D83" s="67" t="inlineStr">
        <is>
          <t>Thái dương</t>
        </is>
      </c>
      <c r="E83" s="67" t="n"/>
      <c r="F83" s="67" t="n"/>
      <c r="G83" s="67" t="inlineStr">
        <is>
          <t>kg</t>
        </is>
      </c>
      <c r="H83" s="67" t="n">
        <v>22000</v>
      </c>
      <c r="I83" s="66" t="n"/>
      <c r="J83" s="66" t="n"/>
      <c r="K83" s="66" t="n"/>
      <c r="L83" s="66" t="n"/>
      <c r="M83" s="64" t="inlineStr">
        <is>
          <t>NPG0033</t>
        </is>
      </c>
    </row>
    <row r="84" ht="27" customHeight="1">
      <c r="A84" s="67" t="inlineStr">
        <is>
          <t>NPG0051</t>
        </is>
      </c>
      <c r="B84" s="68" t="inlineStr">
        <is>
          <t>Mẻ lọc( lít)</t>
        </is>
      </c>
      <c r="C84" s="69" t="n"/>
      <c r="D84" s="67" t="inlineStr">
        <is>
          <t>Thái dương</t>
        </is>
      </c>
      <c r="E84" s="67" t="n"/>
      <c r="F84" s="67" t="n"/>
      <c r="G84" s="67" t="inlineStr">
        <is>
          <t>Lít</t>
        </is>
      </c>
      <c r="H84" s="67" t="n">
        <v>4000</v>
      </c>
      <c r="I84" s="66" t="n"/>
      <c r="J84" s="66" t="n"/>
      <c r="K84" s="66" t="n"/>
      <c r="L84" s="66" t="n"/>
      <c r="M84" s="64" t="inlineStr">
        <is>
          <t>NPG0051</t>
        </is>
      </c>
    </row>
    <row r="85" ht="27" customHeight="1">
      <c r="A85" s="67" t="inlineStr">
        <is>
          <t>NPG0069</t>
        </is>
      </c>
      <c r="B85" s="68" t="inlineStr">
        <is>
          <t>Hạt điều</t>
        </is>
      </c>
      <c r="C85" s="69" t="n"/>
      <c r="D85" s="67" t="inlineStr">
        <is>
          <t>Thái dương</t>
        </is>
      </c>
      <c r="E85" s="67" t="n"/>
      <c r="F85" s="67" t="n"/>
      <c r="G85" s="67" t="inlineStr">
        <is>
          <t>kg</t>
        </is>
      </c>
      <c r="H85" s="67" t="n">
        <v>165000</v>
      </c>
      <c r="I85" s="66" t="n"/>
      <c r="J85" s="66" t="n"/>
      <c r="K85" s="66" t="n"/>
      <c r="L85" s="66" t="n"/>
      <c r="M85" s="64" t="inlineStr">
        <is>
          <t>NPG0069</t>
        </is>
      </c>
    </row>
    <row r="86" ht="27" customHeight="1">
      <c r="A86" s="67" t="inlineStr">
        <is>
          <t>NPG0073</t>
        </is>
      </c>
      <c r="B86" s="68" t="inlineStr">
        <is>
          <t>Tiêu xay</t>
        </is>
      </c>
      <c r="C86" s="69" t="n"/>
      <c r="D86" s="67" t="inlineStr">
        <is>
          <t>Thái dương</t>
        </is>
      </c>
      <c r="E86" s="67" t="n"/>
      <c r="F86" s="67" t="n"/>
      <c r="G86" s="67" t="inlineStr">
        <is>
          <t>kg</t>
        </is>
      </c>
      <c r="H86" s="67" t="n">
        <v>100000</v>
      </c>
      <c r="I86" s="66" t="n"/>
      <c r="J86" s="66" t="n"/>
      <c r="K86" s="66" t="n"/>
      <c r="L86" s="66" t="n"/>
      <c r="M86" s="64" t="inlineStr">
        <is>
          <t>NPG0073</t>
        </is>
      </c>
    </row>
    <row r="87" ht="27" customHeight="1">
      <c r="A87" s="67" t="inlineStr">
        <is>
          <t>NPG0076</t>
        </is>
      </c>
      <c r="B87" s="68" t="inlineStr">
        <is>
          <t>Hoa hồi</t>
        </is>
      </c>
      <c r="C87" s="69" t="n"/>
      <c r="D87" s="67" t="inlineStr">
        <is>
          <t>Thái dương</t>
        </is>
      </c>
      <c r="E87" s="67" t="n"/>
      <c r="F87" s="67" t="n"/>
      <c r="G87" s="67" t="inlineStr">
        <is>
          <t>kg</t>
        </is>
      </c>
      <c r="H87" s="67" t="n">
        <v>147000</v>
      </c>
      <c r="I87" s="66" t="n"/>
      <c r="J87" s="66" t="n"/>
      <c r="K87" s="66" t="n"/>
      <c r="L87" s="66" t="n"/>
      <c r="M87" s="64" t="inlineStr">
        <is>
          <t>NPG0076</t>
        </is>
      </c>
    </row>
    <row r="88" ht="27" customHeight="1">
      <c r="A88" s="67" t="inlineStr">
        <is>
          <t>NPG0096</t>
        </is>
      </c>
      <c r="B88" s="68" t="inlineStr">
        <is>
          <t>Mộc nhĩ không chân</t>
        </is>
      </c>
      <c r="C88" s="69" t="n"/>
      <c r="D88" s="67" t="inlineStr">
        <is>
          <t>Thái dương</t>
        </is>
      </c>
      <c r="E88" s="67" t="n"/>
      <c r="F88" s="67" t="n"/>
      <c r="G88" s="67" t="inlineStr">
        <is>
          <t>kg</t>
        </is>
      </c>
      <c r="H88" s="67" t="n">
        <v>125000</v>
      </c>
      <c r="I88" s="66" t="n"/>
      <c r="J88" s="66" t="n"/>
      <c r="K88" s="66" t="n"/>
      <c r="L88" s="66" t="n"/>
      <c r="M88" s="64" t="inlineStr">
        <is>
          <t>NPG0096</t>
        </is>
      </c>
    </row>
    <row r="89" ht="27" customHeight="1">
      <c r="A89" s="67" t="inlineStr">
        <is>
          <t>NPG0117</t>
        </is>
      </c>
      <c r="B89" s="68" t="inlineStr">
        <is>
          <t>Quế chi</t>
        </is>
      </c>
      <c r="C89" s="69" t="n"/>
      <c r="D89" s="67" t="inlineStr">
        <is>
          <t>Thái dương</t>
        </is>
      </c>
      <c r="E89" s="67" t="n"/>
      <c r="F89" s="67" t="n"/>
      <c r="G89" s="67" t="inlineStr">
        <is>
          <t>kg</t>
        </is>
      </c>
      <c r="H89" s="67" t="n">
        <v>77000</v>
      </c>
      <c r="I89" s="66" t="n"/>
      <c r="J89" s="66" t="n"/>
      <c r="K89" s="66" t="n"/>
      <c r="L89" s="66" t="n"/>
      <c r="M89" s="64" t="inlineStr">
        <is>
          <t>NPG0117</t>
        </is>
      </c>
    </row>
    <row r="90" ht="27" customHeight="1">
      <c r="A90" s="67" t="inlineStr">
        <is>
          <t>NPG0154</t>
        </is>
      </c>
      <c r="B90" s="68" t="inlineStr">
        <is>
          <t>Vừng trắng</t>
        </is>
      </c>
      <c r="C90" s="69" t="n"/>
      <c r="D90" s="67" t="inlineStr">
        <is>
          <t>Thái dương</t>
        </is>
      </c>
      <c r="E90" s="67" t="n"/>
      <c r="F90" s="67" t="n"/>
      <c r="G90" s="67" t="inlineStr">
        <is>
          <t>kg</t>
        </is>
      </c>
      <c r="H90" s="67" t="n">
        <v>73000</v>
      </c>
      <c r="I90" s="66" t="n"/>
      <c r="J90" s="66" t="n"/>
      <c r="K90" s="66" t="n"/>
      <c r="L90" s="66" t="n"/>
      <c r="M90" s="64" t="inlineStr">
        <is>
          <t>NPG0154</t>
        </is>
      </c>
    </row>
    <row r="91" ht="27" customHeight="1">
      <c r="A91" s="67" t="inlineStr">
        <is>
          <t>NPG0155</t>
        </is>
      </c>
      <c r="B91" s="68" t="inlineStr">
        <is>
          <t>Xì dầu Tam thái tử 500ml/chai, 24 chai/thùng</t>
        </is>
      </c>
      <c r="C91" s="69" t="n"/>
      <c r="D91" s="67" t="inlineStr">
        <is>
          <t>Thái dương</t>
        </is>
      </c>
      <c r="E91" s="67" t="n"/>
      <c r="F91" s="67" t="n"/>
      <c r="G91" s="67" t="inlineStr">
        <is>
          <t>Chai</t>
        </is>
      </c>
      <c r="H91" s="67" t="n">
        <v>8000</v>
      </c>
      <c r="I91" s="66" t="n"/>
      <c r="J91" s="66" t="n"/>
      <c r="K91" s="66" t="n"/>
      <c r="L91" s="66" t="n"/>
      <c r="M91" s="64" t="inlineStr">
        <is>
          <t>NPG0155</t>
        </is>
      </c>
    </row>
    <row r="92" ht="27" customHeight="1">
      <c r="A92" s="67" t="inlineStr">
        <is>
          <t>NPG0181</t>
        </is>
      </c>
      <c r="B92" s="68" t="inlineStr">
        <is>
          <t>Bột ớt</t>
        </is>
      </c>
      <c r="C92" s="69" t="n"/>
      <c r="D92" s="67" t="inlineStr">
        <is>
          <t>Thái dương</t>
        </is>
      </c>
      <c r="E92" s="67" t="n"/>
      <c r="F92" s="67" t="n"/>
      <c r="G92" s="67" t="inlineStr">
        <is>
          <t>kg</t>
        </is>
      </c>
      <c r="H92" s="67" t="n">
        <v>66000</v>
      </c>
      <c r="I92" s="66" t="n"/>
      <c r="J92" s="66" t="n"/>
      <c r="K92" s="66" t="n"/>
      <c r="L92" s="66" t="n"/>
      <c r="M92" s="64" t="inlineStr">
        <is>
          <t>NPG0181</t>
        </is>
      </c>
    </row>
    <row r="93" ht="27" customHeight="1">
      <c r="A93" s="67" t="inlineStr">
        <is>
          <t>NPG0184</t>
        </is>
      </c>
      <c r="B93" s="68" t="inlineStr">
        <is>
          <t>Mỳ chính Miwon 2kg/ gói</t>
        </is>
      </c>
      <c r="C93" s="69" t="n"/>
      <c r="D93" s="67" t="inlineStr">
        <is>
          <t>Thái dương</t>
        </is>
      </c>
      <c r="E93" s="67" t="n"/>
      <c r="F93" s="67" t="n"/>
      <c r="G93" s="67" t="inlineStr">
        <is>
          <t>kg</t>
        </is>
      </c>
      <c r="H93" s="67" t="n">
        <v>60000</v>
      </c>
      <c r="I93" s="66" t="n"/>
      <c r="J93" s="66" t="n"/>
      <c r="K93" s="66" t="n"/>
      <c r="L93" s="66" t="n"/>
      <c r="M93" s="64" t="inlineStr">
        <is>
          <t>NPG0184</t>
        </is>
      </c>
    </row>
    <row r="94" ht="27" customHeight="1">
      <c r="A94" s="67" t="inlineStr">
        <is>
          <t>NPG0274</t>
        </is>
      </c>
      <c r="B94" s="68" t="inlineStr">
        <is>
          <t>Bột chiên giòn Thành Phát 1kg/gói</t>
        </is>
      </c>
      <c r="C94" s="69" t="n"/>
      <c r="D94" s="67" t="inlineStr">
        <is>
          <t>Thái dương</t>
        </is>
      </c>
      <c r="E94" s="67" t="n"/>
      <c r="F94" s="67" t="n"/>
      <c r="G94" s="67" t="inlineStr">
        <is>
          <t>kg</t>
        </is>
      </c>
      <c r="H94" s="67" t="n">
        <v>21500</v>
      </c>
      <c r="I94" s="66" t="n"/>
      <c r="J94" s="66" t="n"/>
      <c r="K94" s="66" t="n"/>
      <c r="L94" s="66" t="n"/>
      <c r="M94" s="64" t="inlineStr">
        <is>
          <t>NPG0274</t>
        </is>
      </c>
    </row>
    <row r="95" ht="27" customHeight="1">
      <c r="A95" s="67" t="inlineStr">
        <is>
          <t>NPG0290</t>
        </is>
      </c>
      <c r="B95" s="68" t="inlineStr">
        <is>
          <t>Sa tế tôm cholimex 450gr/hũ</t>
        </is>
      </c>
      <c r="C95" s="69" t="n"/>
      <c r="D95" s="67" t="inlineStr">
        <is>
          <t>Thái dương</t>
        </is>
      </c>
      <c r="E95" s="67" t="n"/>
      <c r="F95" s="67" t="n"/>
      <c r="G95" s="67" t="inlineStr">
        <is>
          <t>Lọ</t>
        </is>
      </c>
      <c r="H95" s="67" t="n">
        <v>10000</v>
      </c>
      <c r="I95" s="66" t="n"/>
      <c r="J95" s="66" t="n"/>
      <c r="K95" s="66" t="n"/>
      <c r="L95" s="66" t="n"/>
      <c r="M95" s="64" t="inlineStr">
        <is>
          <t>NPG0290</t>
        </is>
      </c>
    </row>
    <row r="96" ht="27" customHeight="1">
      <c r="A96" s="67" t="inlineStr">
        <is>
          <t>NPG0379</t>
        </is>
      </c>
      <c r="B96" s="68" t="inlineStr">
        <is>
          <t>Tương ớt nam dư 2.1kg/can</t>
        </is>
      </c>
      <c r="C96" s="69" t="n"/>
      <c r="D96" s="67" t="inlineStr">
        <is>
          <t>Thái dương</t>
        </is>
      </c>
      <c r="E96" s="67" t="n"/>
      <c r="F96" s="67" t="n"/>
      <c r="G96" s="67" t="inlineStr">
        <is>
          <t>can</t>
        </is>
      </c>
      <c r="H96" s="67" t="n">
        <v>6500</v>
      </c>
      <c r="I96" s="66" t="n"/>
      <c r="J96" s="66" t="n"/>
      <c r="K96" s="66" t="n"/>
      <c r="L96" s="66" t="n"/>
      <c r="M96" s="64" t="inlineStr">
        <is>
          <t>NPG0379</t>
        </is>
      </c>
    </row>
    <row r="97" ht="27" customHeight="1">
      <c r="A97" s="67" t="inlineStr">
        <is>
          <t>NPG0422</t>
        </is>
      </c>
      <c r="B97" s="68" t="inlineStr">
        <is>
          <t>Muối hạt 1kg/gói</t>
        </is>
      </c>
      <c r="C97" s="69" t="n"/>
      <c r="D97" s="67" t="inlineStr">
        <is>
          <t>Thái dương</t>
        </is>
      </c>
      <c r="E97" s="67" t="n"/>
      <c r="F97" s="67" t="n"/>
      <c r="G97" s="67" t="inlineStr">
        <is>
          <t>kg</t>
        </is>
      </c>
      <c r="H97" s="67" t="n">
        <v>5500</v>
      </c>
      <c r="I97" s="66" t="n"/>
      <c r="J97" s="66" t="n"/>
      <c r="K97" s="66" t="n"/>
      <c r="L97" s="66" t="n"/>
      <c r="M97" s="64" t="inlineStr">
        <is>
          <t>NPG0422</t>
        </is>
      </c>
    </row>
    <row r="98" ht="27" customHeight="1">
      <c r="A98" s="67" t="inlineStr">
        <is>
          <t>NPG0423</t>
        </is>
      </c>
      <c r="B98" s="68" t="inlineStr">
        <is>
          <t>Đường trắng xuất khẩu 1kg/gói</t>
        </is>
      </c>
      <c r="C98" s="69" t="n"/>
      <c r="D98" s="67" t="inlineStr">
        <is>
          <t>Thái dương</t>
        </is>
      </c>
      <c r="E98" s="67" t="n"/>
      <c r="F98" s="67" t="n"/>
      <c r="G98" s="67" t="inlineStr">
        <is>
          <t>kg</t>
        </is>
      </c>
      <c r="H98" s="67" t="n">
        <v>22000</v>
      </c>
      <c r="I98" s="66" t="n"/>
      <c r="J98" s="66" t="n"/>
      <c r="K98" s="66" t="n"/>
      <c r="L98" s="66" t="n"/>
      <c r="M98" s="64" t="inlineStr">
        <is>
          <t>NPG0423</t>
        </is>
      </c>
    </row>
    <row r="99" ht="27" customHeight="1">
      <c r="A99" s="67" t="inlineStr">
        <is>
          <t>NPG0429</t>
        </is>
      </c>
      <c r="B99" s="68" t="inlineStr">
        <is>
          <t>Bột cà ri Hậu Sang (5g/gói)</t>
        </is>
      </c>
      <c r="C99" s="69" t="n"/>
      <c r="D99" s="67" t="inlineStr">
        <is>
          <t>Thái dương</t>
        </is>
      </c>
      <c r="E99" s="67" t="n"/>
      <c r="F99" s="67" t="n"/>
      <c r="G99" s="67" t="inlineStr">
        <is>
          <t>Gói</t>
        </is>
      </c>
      <c r="H99" s="67" t="n">
        <v>1700</v>
      </c>
      <c r="I99" s="66" t="n"/>
      <c r="J99" s="66" t="n"/>
      <c r="K99" s="66" t="n"/>
      <c r="L99" s="66" t="n"/>
      <c r="M99" s="64" t="inlineStr">
        <is>
          <t>NPG0429</t>
        </is>
      </c>
    </row>
    <row r="100" ht="27" customHeight="1">
      <c r="A100" s="67" t="inlineStr">
        <is>
          <t>NPG0433</t>
        </is>
      </c>
      <c r="B100" s="68" t="inlineStr">
        <is>
          <t>Dấm thiên hương 450ml/chai</t>
        </is>
      </c>
      <c r="C100" s="69" t="n"/>
      <c r="D100" s="67" t="inlineStr">
        <is>
          <t>Thái dương</t>
        </is>
      </c>
      <c r="E100" s="67" t="n"/>
      <c r="F100" s="67" t="n"/>
      <c r="G100" s="67" t="inlineStr">
        <is>
          <t>Chai</t>
        </is>
      </c>
      <c r="H100" s="67" t="n">
        <v>3000</v>
      </c>
      <c r="I100" s="66" t="n"/>
      <c r="J100" s="66" t="n"/>
      <c r="K100" s="66" t="n"/>
      <c r="L100" s="66" t="n"/>
      <c r="M100" s="64" t="inlineStr">
        <is>
          <t>NPG0433</t>
        </is>
      </c>
    </row>
    <row r="101" ht="27" customHeight="1">
      <c r="A101" s="67" t="inlineStr">
        <is>
          <t>NPG0438</t>
        </is>
      </c>
      <c r="B101" s="68" t="inlineStr">
        <is>
          <t>Nước mắm Nam Ngư siêu tiết kiệm 4.8l/ can</t>
        </is>
      </c>
      <c r="C101" s="69" t="n"/>
      <c r="D101" s="67" t="inlineStr">
        <is>
          <t>Thái dương</t>
        </is>
      </c>
      <c r="E101" s="67" t="n"/>
      <c r="F101" s="67" t="n"/>
      <c r="G101" s="67" t="inlineStr">
        <is>
          <t>Lít</t>
        </is>
      </c>
      <c r="H101" s="67" t="n">
        <v>245000</v>
      </c>
      <c r="I101" s="66" t="n"/>
      <c r="J101" s="66" t="n"/>
      <c r="K101" s="66" t="n"/>
      <c r="L101" s="66" t="n"/>
      <c r="M101" s="64" t="inlineStr">
        <is>
          <t>NPG0438</t>
        </is>
      </c>
    </row>
    <row r="102" ht="27" customHeight="1">
      <c r="A102" s="67" t="inlineStr">
        <is>
          <t>NPG0490</t>
        </is>
      </c>
      <c r="B102" s="68" t="inlineStr">
        <is>
          <t>Ngũ vị hương Hậu sanh 5g/gói</t>
        </is>
      </c>
      <c r="C102" s="69" t="n"/>
      <c r="D102" s="67" t="inlineStr">
        <is>
          <t>Thái dương</t>
        </is>
      </c>
      <c r="E102" s="67" t="n"/>
      <c r="F102" s="67" t="n"/>
      <c r="G102" s="67" t="inlineStr">
        <is>
          <t>Gói</t>
        </is>
      </c>
      <c r="H102" s="67" t="n">
        <v>1650</v>
      </c>
      <c r="I102" s="66" t="n"/>
      <c r="J102" s="66" t="n"/>
      <c r="K102" s="66" t="n"/>
      <c r="L102" s="66" t="n"/>
      <c r="M102" s="64" t="inlineStr">
        <is>
          <t>NPG0490</t>
        </is>
      </c>
    </row>
    <row r="103" ht="27" customHeight="1">
      <c r="A103" s="67" t="inlineStr">
        <is>
          <t>NPG0550</t>
        </is>
      </c>
      <c r="B103" s="68" t="inlineStr">
        <is>
          <t>Nước mắm cá cơm Cửa Hội 4.85 lít/can</t>
        </is>
      </c>
      <c r="C103" s="69" t="n"/>
      <c r="D103" s="67" t="inlineStr">
        <is>
          <t>Thái dương</t>
        </is>
      </c>
      <c r="E103" s="67" t="n"/>
      <c r="F103" s="67" t="n"/>
      <c r="G103" s="67" t="inlineStr">
        <is>
          <t>Lít</t>
        </is>
      </c>
      <c r="H103" s="67" t="n">
        <v>50000</v>
      </c>
      <c r="I103" s="66" t="n"/>
      <c r="J103" s="66" t="n"/>
      <c r="K103" s="66" t="n"/>
      <c r="L103" s="66" t="n"/>
      <c r="M103" s="64" t="inlineStr">
        <is>
          <t>NPG0550</t>
        </is>
      </c>
    </row>
    <row r="104" ht="27" customHeight="1">
      <c r="A104" s="67" t="inlineStr">
        <is>
          <t>NPG1165</t>
        </is>
      </c>
      <c r="B104" s="68" t="inlineStr">
        <is>
          <t>Nước mắm phú khánh 15 chai x 850ml</t>
        </is>
      </c>
      <c r="C104" s="69" t="n"/>
      <c r="D104" s="67" t="inlineStr">
        <is>
          <t>Thái dương</t>
        </is>
      </c>
      <c r="E104" s="67" t="n"/>
      <c r="F104" s="67" t="n"/>
      <c r="G104" s="67" t="inlineStr">
        <is>
          <t>Chai</t>
        </is>
      </c>
      <c r="H104" s="67" t="n">
        <v>115000</v>
      </c>
      <c r="I104" s="66" t="n"/>
      <c r="J104" s="66" t="n"/>
      <c r="K104" s="66" t="n"/>
      <c r="L104" s="66" t="n"/>
      <c r="M104" s="64" t="inlineStr">
        <is>
          <t>NPG1165</t>
        </is>
      </c>
    </row>
    <row r="105" ht="27" customHeight="1">
      <c r="A105" s="67" t="inlineStr">
        <is>
          <t>NPG0644</t>
        </is>
      </c>
      <c r="B105" s="68" t="inlineStr">
        <is>
          <t>Muối tinh 500g/gói</t>
        </is>
      </c>
      <c r="C105" s="69" t="n"/>
      <c r="D105" s="67" t="inlineStr">
        <is>
          <t>Thái dương</t>
        </is>
      </c>
      <c r="E105" s="67" t="n"/>
      <c r="F105" s="67" t="n"/>
      <c r="G105" s="67" t="inlineStr">
        <is>
          <t>kg</t>
        </is>
      </c>
      <c r="H105" s="67" t="n">
        <v>6000</v>
      </c>
      <c r="I105" s="66" t="n"/>
      <c r="J105" s="66" t="n"/>
      <c r="K105" s="66" t="n"/>
      <c r="L105" s="66" t="n"/>
      <c r="M105" s="64" t="inlineStr">
        <is>
          <t>NPG0644</t>
        </is>
      </c>
    </row>
    <row r="106" ht="27" customHeight="1">
      <c r="A106" s="67" t="inlineStr">
        <is>
          <t>NPG0676</t>
        </is>
      </c>
      <c r="B106" s="68" t="inlineStr">
        <is>
          <t>Bột nghệ Thiên Thành 500g/gói</t>
        </is>
      </c>
      <c r="C106" s="69" t="n"/>
      <c r="D106" s="67" t="inlineStr">
        <is>
          <t>Thái dương</t>
        </is>
      </c>
      <c r="E106" s="67" t="n"/>
      <c r="F106" s="67" t="n"/>
      <c r="G106" s="67" t="inlineStr">
        <is>
          <t>Gói</t>
        </is>
      </c>
      <c r="H106" s="67" t="n">
        <v>25000</v>
      </c>
      <c r="I106" s="66" t="n"/>
      <c r="J106" s="66" t="n"/>
      <c r="K106" s="66" t="n"/>
      <c r="L106" s="66" t="n"/>
      <c r="M106" s="64" t="inlineStr">
        <is>
          <t>NPG0676</t>
        </is>
      </c>
    </row>
    <row r="107" ht="27" customHeight="1">
      <c r="A107" s="67" t="inlineStr">
        <is>
          <t>NPG0728</t>
        </is>
      </c>
      <c r="B107" s="68" t="inlineStr">
        <is>
          <t>Đường vàng xuất khẩu 1kg/gói</t>
        </is>
      </c>
      <c r="C107" s="69" t="n"/>
      <c r="D107" s="67" t="inlineStr">
        <is>
          <t>Thái dương</t>
        </is>
      </c>
      <c r="E107" s="67" t="n"/>
      <c r="F107" s="67" t="n"/>
      <c r="G107" s="67" t="inlineStr">
        <is>
          <t>kg</t>
        </is>
      </c>
      <c r="H107" s="67" t="n">
        <v>22000</v>
      </c>
      <c r="I107" s="66" t="n"/>
      <c r="J107" s="66" t="n"/>
      <c r="K107" s="66" t="n"/>
      <c r="L107" s="66" t="n"/>
      <c r="M107" s="64" t="inlineStr">
        <is>
          <t>NPG0728</t>
        </is>
      </c>
    </row>
    <row r="108" ht="27" customHeight="1">
      <c r="A108" s="67" t="inlineStr">
        <is>
          <t>NPG0803</t>
        </is>
      </c>
      <c r="B108" s="68" t="inlineStr">
        <is>
          <t>Tương cà Nam Dư 2.1kg/can</t>
        </is>
      </c>
      <c r="C108" s="69" t="n"/>
      <c r="D108" s="67" t="inlineStr">
        <is>
          <t>Thái dương</t>
        </is>
      </c>
      <c r="E108" s="67" t="n"/>
      <c r="F108" s="67" t="n"/>
      <c r="G108" s="67" t="inlineStr">
        <is>
          <t>can</t>
        </is>
      </c>
      <c r="H108" s="67" t="n">
        <v>45000</v>
      </c>
      <c r="I108" s="66" t="n"/>
      <c r="J108" s="66" t="n"/>
      <c r="K108" s="66" t="n"/>
      <c r="L108" s="66" t="n"/>
      <c r="M108" s="64" t="inlineStr">
        <is>
          <t>NPG0803</t>
        </is>
      </c>
    </row>
    <row r="109" ht="27" customHeight="1">
      <c r="A109" s="67" t="inlineStr">
        <is>
          <t>NPG0832</t>
        </is>
      </c>
      <c r="B109" s="68" t="inlineStr">
        <is>
          <t>Hạt nêm Hải Châu 10kg/túi, 2 túi/bao</t>
        </is>
      </c>
      <c r="C109" s="69" t="n"/>
      <c r="D109" s="67" t="inlineStr">
        <is>
          <t>Thái dương</t>
        </is>
      </c>
      <c r="E109" s="67" t="n"/>
      <c r="F109" s="67" t="n"/>
      <c r="G109" s="67" t="inlineStr">
        <is>
          <t>kg</t>
        </is>
      </c>
      <c r="H109" s="67" t="n">
        <v>26000</v>
      </c>
      <c r="I109" s="66" t="n"/>
      <c r="J109" s="66" t="n"/>
      <c r="K109" s="66" t="n"/>
      <c r="L109" s="66" t="n"/>
      <c r="M109" s="64" t="inlineStr">
        <is>
          <t>NPG0832</t>
        </is>
      </c>
    </row>
    <row r="110" ht="27" customHeight="1">
      <c r="A110" s="67" t="inlineStr">
        <is>
          <t>NPG0847</t>
        </is>
      </c>
      <c r="B110" s="68" t="inlineStr">
        <is>
          <t>Dầu ăn orchid 27.4 lít/thùng</t>
        </is>
      </c>
      <c r="C110" s="69" t="n"/>
      <c r="D110" s="67" t="inlineStr">
        <is>
          <t>Thái dương</t>
        </is>
      </c>
      <c r="E110" s="67" t="n"/>
      <c r="F110" s="67" t="n"/>
      <c r="G110" s="67" t="inlineStr">
        <is>
          <t>Lít</t>
        </is>
      </c>
      <c r="H110" s="67" t="n">
        <v>760000</v>
      </c>
      <c r="I110" s="66" t="n"/>
      <c r="J110" s="66" t="n"/>
      <c r="K110" s="66" t="n"/>
      <c r="L110" s="66" t="n"/>
      <c r="M110" s="64" t="inlineStr">
        <is>
          <t>NPG0847</t>
        </is>
      </c>
    </row>
    <row r="111" ht="27" customHeight="1">
      <c r="A111" s="67" t="inlineStr">
        <is>
          <t>NPG0848</t>
        </is>
      </c>
      <c r="B111" s="68" t="inlineStr">
        <is>
          <t>Bột bắp Thành Phát 1kg/ gói</t>
        </is>
      </c>
      <c r="C111" s="69" t="n"/>
      <c r="D111" s="67" t="inlineStr">
        <is>
          <t>Thái dương</t>
        </is>
      </c>
      <c r="E111" s="67" t="n"/>
      <c r="F111" s="67" t="n"/>
      <c r="G111" s="67" t="inlineStr">
        <is>
          <t>kg</t>
        </is>
      </c>
      <c r="H111" s="67" t="n">
        <v>24000</v>
      </c>
      <c r="I111" s="66" t="n"/>
      <c r="J111" s="66" t="n"/>
      <c r="K111" s="66" t="n"/>
      <c r="L111" s="66" t="n"/>
      <c r="M111" s="64" t="inlineStr">
        <is>
          <t>NPG0848</t>
        </is>
      </c>
    </row>
    <row r="112" ht="27" customHeight="1">
      <c r="A112" s="67" t="inlineStr">
        <is>
          <t>NPV0011</t>
        </is>
      </c>
      <c r="B112" s="68" t="inlineStr">
        <is>
          <t>Đũa dùng một lần (đôi)</t>
        </is>
      </c>
      <c r="C112" s="69" t="n"/>
      <c r="D112" s="67" t="inlineStr">
        <is>
          <t>Thái dương</t>
        </is>
      </c>
      <c r="E112" s="67" t="n"/>
      <c r="F112" s="67" t="n"/>
      <c r="G112" s="67" t="inlineStr">
        <is>
          <t>đôi</t>
        </is>
      </c>
      <c r="H112" s="67" t="n">
        <v>200</v>
      </c>
      <c r="I112" s="66" t="n"/>
      <c r="J112" s="66" t="n"/>
      <c r="K112" s="66" t="n"/>
      <c r="L112" s="66" t="n"/>
      <c r="M112" s="64" t="inlineStr">
        <is>
          <t>NPV0011</t>
        </is>
      </c>
    </row>
    <row r="113" ht="27" customHeight="1">
      <c r="A113" s="67" t="inlineStr">
        <is>
          <t>NPV0013</t>
        </is>
      </c>
      <c r="B113" s="68" t="inlineStr">
        <is>
          <t>Găng tay nilon (kg)</t>
        </is>
      </c>
      <c r="C113" s="69" t="n"/>
      <c r="D113" s="67" t="inlineStr">
        <is>
          <t>Thái dương</t>
        </is>
      </c>
      <c r="E113" s="67" t="n"/>
      <c r="F113" s="67" t="n"/>
      <c r="G113" s="67" t="inlineStr">
        <is>
          <t>kg</t>
        </is>
      </c>
      <c r="H113" s="67" t="n">
        <v>70000</v>
      </c>
      <c r="I113" s="66" t="n"/>
      <c r="J113" s="66" t="n"/>
      <c r="K113" s="66" t="n"/>
      <c r="L113" s="66" t="n"/>
      <c r="M113" s="64" t="inlineStr">
        <is>
          <t>NPV0013</t>
        </is>
      </c>
    </row>
    <row r="114" ht="27" customHeight="1">
      <c r="A114" s="67" t="inlineStr">
        <is>
          <t>NPV0014</t>
        </is>
      </c>
      <c r="B114" s="68" t="inlineStr">
        <is>
          <t>Găng tay y tế 50 đôi/hộp</t>
        </is>
      </c>
      <c r="C114" s="69" t="n"/>
      <c r="D114" s="67" t="inlineStr">
        <is>
          <t>Thái dương</t>
        </is>
      </c>
      <c r="E114" s="67" t="n"/>
      <c r="F114" s="67" t="n"/>
      <c r="G114" s="67" t="inlineStr">
        <is>
          <t>Hộp</t>
        </is>
      </c>
      <c r="H114" s="67" t="n">
        <v>100000</v>
      </c>
      <c r="I114" s="66" t="n"/>
      <c r="J114" s="66" t="n"/>
      <c r="K114" s="66" t="n"/>
      <c r="L114" s="66" t="n"/>
      <c r="M114" s="64" t="inlineStr">
        <is>
          <t>NPV0014</t>
        </is>
      </c>
    </row>
    <row r="115" ht="27" customHeight="1">
      <c r="A115" s="67" t="inlineStr">
        <is>
          <t>NPV0045</t>
        </is>
      </c>
      <c r="B115" s="68" t="inlineStr">
        <is>
          <t>Tăm kg</t>
        </is>
      </c>
      <c r="C115" s="69" t="n"/>
      <c r="D115" s="67" t="inlineStr">
        <is>
          <t>Thái dương</t>
        </is>
      </c>
      <c r="E115" s="67" t="n"/>
      <c r="F115" s="67" t="n"/>
      <c r="G115" s="67" t="inlineStr">
        <is>
          <t>kg</t>
        </is>
      </c>
      <c r="H115" s="67" t="n">
        <v>72000</v>
      </c>
      <c r="I115" s="66" t="n"/>
      <c r="J115" s="66" t="n"/>
      <c r="K115" s="66" t="n"/>
      <c r="L115" s="66" t="n"/>
      <c r="M115" s="64" t="inlineStr">
        <is>
          <t>NPV0045</t>
        </is>
      </c>
    </row>
    <row r="116" ht="27" customHeight="1">
      <c r="A116" s="67" t="inlineStr">
        <is>
          <t>NPV0052</t>
        </is>
      </c>
      <c r="B116" s="68" t="inlineStr">
        <is>
          <t>Túi nilon trắng 1 kg</t>
        </is>
      </c>
      <c r="C116" s="69" t="n"/>
      <c r="D116" s="67" t="inlineStr">
        <is>
          <t>Thái dương</t>
        </is>
      </c>
      <c r="E116" s="67" t="n"/>
      <c r="F116" s="67" t="n"/>
      <c r="G116" s="67" t="inlineStr">
        <is>
          <t>kg</t>
        </is>
      </c>
      <c r="H116" s="67" t="n">
        <v>52000</v>
      </c>
      <c r="I116" s="66" t="n"/>
      <c r="J116" s="66" t="n"/>
      <c r="K116" s="66" t="n"/>
      <c r="L116" s="66" t="n"/>
      <c r="M116" s="64" t="inlineStr">
        <is>
          <t>NPV0052</t>
        </is>
      </c>
    </row>
    <row r="117" ht="27" customHeight="1">
      <c r="A117" s="67" t="inlineStr">
        <is>
          <t>NPV0053</t>
        </is>
      </c>
      <c r="B117" s="68" t="inlineStr">
        <is>
          <t>Túi nilon trắng 2kg</t>
        </is>
      </c>
      <c r="C117" s="69" t="n"/>
      <c r="D117" s="67" t="inlineStr">
        <is>
          <t>Thái dương</t>
        </is>
      </c>
      <c r="E117" s="67" t="n"/>
      <c r="F117" s="67" t="n"/>
      <c r="G117" s="67" t="inlineStr">
        <is>
          <t>kg</t>
        </is>
      </c>
      <c r="H117" s="67" t="n">
        <v>52000</v>
      </c>
      <c r="I117" s="66" t="n"/>
      <c r="J117" s="66" t="n"/>
      <c r="K117" s="66" t="n"/>
      <c r="L117" s="66" t="n"/>
      <c r="M117" s="64" t="inlineStr">
        <is>
          <t>NPV0053</t>
        </is>
      </c>
    </row>
    <row r="118" ht="27" customHeight="1">
      <c r="A118" s="67" t="inlineStr">
        <is>
          <t>NPV0054</t>
        </is>
      </c>
      <c r="B118" s="68" t="inlineStr">
        <is>
          <t>Túi nilon trắng 5kg</t>
        </is>
      </c>
      <c r="C118" s="69" t="n"/>
      <c r="D118" s="67" t="inlineStr">
        <is>
          <t>Thái dương</t>
        </is>
      </c>
      <c r="E118" s="67" t="n"/>
      <c r="F118" s="67" t="n"/>
      <c r="G118" s="67" t="inlineStr">
        <is>
          <t>kg</t>
        </is>
      </c>
      <c r="H118" s="67" t="n">
        <v>52000</v>
      </c>
      <c r="I118" s="66" t="n"/>
      <c r="J118" s="66" t="n"/>
      <c r="K118" s="66" t="n"/>
      <c r="L118" s="66" t="n"/>
      <c r="M118" s="64" t="inlineStr">
        <is>
          <t>NPV0054</t>
        </is>
      </c>
    </row>
    <row r="119" ht="27" customHeight="1">
      <c r="A119" s="67" t="inlineStr">
        <is>
          <t>NPV0063</t>
        </is>
      </c>
      <c r="B119" s="68" t="inlineStr">
        <is>
          <t>Túi nilon trắng 10kg</t>
        </is>
      </c>
      <c r="C119" s="69" t="n"/>
      <c r="D119" s="67" t="inlineStr">
        <is>
          <t>Thái dương</t>
        </is>
      </c>
      <c r="E119" s="67" t="n"/>
      <c r="F119" s="67" t="n"/>
      <c r="G119" s="67" t="inlineStr">
        <is>
          <t>kg</t>
        </is>
      </c>
      <c r="H119" s="67" t="n">
        <v>52000</v>
      </c>
      <c r="I119" s="66" t="n"/>
      <c r="J119" s="66" t="n"/>
      <c r="K119" s="66" t="n"/>
      <c r="L119" s="66" t="n"/>
      <c r="M119" s="64" t="inlineStr">
        <is>
          <t>NPV0063</t>
        </is>
      </c>
    </row>
    <row r="120" ht="27" customHeight="1">
      <c r="A120" s="67" t="inlineStr">
        <is>
          <t>NPV0074</t>
        </is>
      </c>
      <c r="B120" s="68" t="inlineStr">
        <is>
          <t>Túi giấy</t>
        </is>
      </c>
      <c r="C120" s="69" t="n"/>
      <c r="D120" s="67" t="inlineStr">
        <is>
          <t>Thái dương</t>
        </is>
      </c>
      <c r="E120" s="67" t="n"/>
      <c r="F120" s="67" t="n"/>
      <c r="G120" s="67" t="inlineStr">
        <is>
          <t>Cái</t>
        </is>
      </c>
      <c r="H120" s="67" t="n">
        <v>23000</v>
      </c>
      <c r="I120" s="66" t="n"/>
      <c r="J120" s="66" t="n"/>
      <c r="K120" s="66" t="n"/>
      <c r="L120" s="66" t="n"/>
      <c r="M120" s="64" t="inlineStr">
        <is>
          <t>NPV0074</t>
        </is>
      </c>
    </row>
    <row r="121" ht="27" customHeight="1">
      <c r="A121" s="67" t="inlineStr">
        <is>
          <t>NPV0077</t>
        </is>
      </c>
      <c r="B121" s="68" t="inlineStr">
        <is>
          <t>Găng tay cao su</t>
        </is>
      </c>
      <c r="C121" s="69" t="n"/>
      <c r="D121" s="67" t="inlineStr">
        <is>
          <t>Thái dương</t>
        </is>
      </c>
      <c r="E121" s="67" t="n"/>
      <c r="F121" s="67" t="n"/>
      <c r="G121" s="67" t="inlineStr">
        <is>
          <t>đôi</t>
        </is>
      </c>
      <c r="H121" s="67" t="n">
        <v>25000</v>
      </c>
      <c r="I121" s="66" t="n"/>
      <c r="J121" s="66" t="n"/>
      <c r="K121" s="66" t="n"/>
      <c r="L121" s="66" t="n"/>
      <c r="M121" s="64" t="inlineStr">
        <is>
          <t>NPV0077</t>
        </is>
      </c>
    </row>
    <row r="122" ht="27" customHeight="1">
      <c r="A122" s="67" t="inlineStr">
        <is>
          <t>NPV0084</t>
        </is>
      </c>
      <c r="B122" s="68" t="inlineStr">
        <is>
          <t>Tăm nhọn</t>
        </is>
      </c>
      <c r="C122" s="69" t="n"/>
      <c r="D122" s="67" t="inlineStr">
        <is>
          <t>Thái dương</t>
        </is>
      </c>
      <c r="E122" s="67" t="n"/>
      <c r="F122" s="67" t="n"/>
      <c r="G122" s="67" t="inlineStr">
        <is>
          <t>Gói</t>
        </is>
      </c>
      <c r="H122" s="67" t="n">
        <v>18000</v>
      </c>
      <c r="I122" s="66" t="n"/>
      <c r="J122" s="66" t="n"/>
      <c r="K122" s="66" t="n"/>
      <c r="L122" s="66" t="n"/>
      <c r="M122" s="64" t="inlineStr">
        <is>
          <t>NPV0084</t>
        </is>
      </c>
    </row>
    <row r="123" ht="27" customHeight="1">
      <c r="A123" s="67" t="inlineStr">
        <is>
          <t>NPV0141</t>
        </is>
      </c>
      <c r="B123" s="68" t="inlineStr">
        <is>
          <t>Bột giặt OMO 4.5kg/gói</t>
        </is>
      </c>
      <c r="C123" s="69" t="n"/>
      <c r="D123" s="67" t="inlineStr">
        <is>
          <t>Thái dương</t>
        </is>
      </c>
      <c r="E123" s="67" t="n"/>
      <c r="F123" s="67" t="n"/>
      <c r="G123" s="67" t="inlineStr">
        <is>
          <t>kg</t>
        </is>
      </c>
      <c r="H123" s="67" t="n">
        <v>230000</v>
      </c>
      <c r="I123" s="66" t="n"/>
      <c r="J123" s="66" t="n"/>
      <c r="K123" s="66" t="n"/>
      <c r="L123" s="66" t="n"/>
      <c r="M123" s="64" t="inlineStr">
        <is>
          <t>NPV0141</t>
        </is>
      </c>
    </row>
    <row r="124" ht="27" customHeight="1">
      <c r="A124" s="67" t="inlineStr">
        <is>
          <t>NPV0215</t>
        </is>
      </c>
      <c r="B124" s="68" t="inlineStr">
        <is>
          <t>Cuộn màng phủ cốc</t>
        </is>
      </c>
      <c r="C124" s="69" t="n"/>
      <c r="D124" s="67" t="inlineStr">
        <is>
          <t>Thái dương</t>
        </is>
      </c>
      <c r="E124" s="67" t="n"/>
      <c r="F124" s="67" t="n"/>
      <c r="G124" s="67" t="inlineStr">
        <is>
          <t>Cuộn</t>
        </is>
      </c>
      <c r="H124" s="67" t="n">
        <v>120000</v>
      </c>
      <c r="I124" s="66" t="n"/>
      <c r="J124" s="66" t="n"/>
      <c r="K124" s="66" t="n"/>
      <c r="L124" s="66" t="n"/>
      <c r="M124" s="64" t="inlineStr">
        <is>
          <t>NPV0215</t>
        </is>
      </c>
    </row>
    <row r="125" ht="27" customHeight="1">
      <c r="A125" s="67" t="inlineStr">
        <is>
          <t>NPV0222</t>
        </is>
      </c>
      <c r="B125" s="68" t="inlineStr">
        <is>
          <t>Túi nilong 0.5kg</t>
        </is>
      </c>
      <c r="C125" s="69" t="n"/>
      <c r="D125" s="67" t="inlineStr">
        <is>
          <t>Thái dương</t>
        </is>
      </c>
      <c r="E125" s="67" t="n"/>
      <c r="F125" s="67" t="n"/>
      <c r="G125" s="67" t="inlineStr">
        <is>
          <t>kg</t>
        </is>
      </c>
      <c r="H125" s="67" t="n">
        <v>52000</v>
      </c>
      <c r="I125" s="66" t="n"/>
      <c r="J125" s="66" t="n"/>
      <c r="K125" s="66" t="n"/>
      <c r="L125" s="66" t="n"/>
      <c r="M125" s="64" t="inlineStr">
        <is>
          <t>NPV0222</t>
        </is>
      </c>
    </row>
    <row r="126" ht="27" customHeight="1">
      <c r="A126" s="67" t="inlineStr">
        <is>
          <t>NPV0283</t>
        </is>
      </c>
      <c r="B126" s="68" t="inlineStr">
        <is>
          <t>Nước rửa chén chanh Power100 tiết kiệm hương chanh 3.5kg (4can/thùng )</t>
        </is>
      </c>
      <c r="C126" s="69" t="n"/>
      <c r="D126" s="67" t="inlineStr">
        <is>
          <t>Thái dương</t>
        </is>
      </c>
      <c r="E126" s="67" t="n"/>
      <c r="F126" s="67" t="n"/>
      <c r="G126" s="67" t="inlineStr">
        <is>
          <t>can</t>
        </is>
      </c>
      <c r="H126" s="67" t="n">
        <v>175000</v>
      </c>
      <c r="I126" s="66" t="n"/>
      <c r="J126" s="66" t="n"/>
      <c r="K126" s="66" t="n"/>
      <c r="L126" s="66" t="n"/>
      <c r="M126" s="64" t="inlineStr">
        <is>
          <t>NPV0283</t>
        </is>
      </c>
    </row>
    <row r="127" ht="27" customHeight="1">
      <c r="A127" s="67" t="inlineStr">
        <is>
          <t>NPV0288</t>
        </is>
      </c>
      <c r="B127" s="68" t="inlineStr">
        <is>
          <t>Giấy ăn rút VN Airline 10*10, 0.67kg/gói</t>
        </is>
      </c>
      <c r="C127" s="69" t="n"/>
      <c r="D127" s="67" t="inlineStr">
        <is>
          <t>Thái dương</t>
        </is>
      </c>
      <c r="E127" s="67" t="n"/>
      <c r="F127" s="67" t="n"/>
      <c r="G127" s="67" t="inlineStr">
        <is>
          <t>Gói</t>
        </is>
      </c>
      <c r="H127" s="67" t="n">
        <v>28000</v>
      </c>
      <c r="I127" s="66" t="n"/>
      <c r="J127" s="66" t="n"/>
      <c r="K127" s="66" t="n"/>
      <c r="L127" s="66" t="n"/>
      <c r="M127" s="64" t="inlineStr">
        <is>
          <t>NPV0288</t>
        </is>
      </c>
    </row>
    <row r="128" ht="27" customHeight="1">
      <c r="A128" s="67" t="inlineStr">
        <is>
          <t>NPV0304</t>
        </is>
      </c>
      <c r="B128" s="68" t="inlineStr">
        <is>
          <t>Nước lau sàn Power 3.5 kg/ can, 4 can/ thùng</t>
        </is>
      </c>
      <c r="C128" s="69" t="n"/>
      <c r="D128" s="67" t="inlineStr">
        <is>
          <t>Thái dương</t>
        </is>
      </c>
      <c r="E128" s="67" t="n"/>
      <c r="F128" s="67" t="n"/>
      <c r="G128" s="67" t="inlineStr">
        <is>
          <t>can</t>
        </is>
      </c>
      <c r="H128" s="67" t="n">
        <v>150000</v>
      </c>
      <c r="I128" s="66" t="n"/>
      <c r="J128" s="66" t="n"/>
      <c r="K128" s="66" t="n"/>
      <c r="L128" s="66" t="n"/>
      <c r="M128" s="64" t="inlineStr">
        <is>
          <t>NPV0304</t>
        </is>
      </c>
    </row>
    <row r="129" ht="27" customHeight="1">
      <c r="A129" s="67" t="inlineStr">
        <is>
          <t>NPV0305</t>
        </is>
      </c>
      <c r="B129" s="68" t="inlineStr">
        <is>
          <t>Túi nilon trắng 7kg</t>
        </is>
      </c>
      <c r="C129" s="69" t="n"/>
      <c r="D129" s="67" t="inlineStr">
        <is>
          <t>Thái dương</t>
        </is>
      </c>
      <c r="E129" s="67" t="n"/>
      <c r="F129" s="67" t="n"/>
      <c r="G129" s="67" t="inlineStr">
        <is>
          <t>kg</t>
        </is>
      </c>
      <c r="H129" s="67" t="n">
        <v>52000</v>
      </c>
      <c r="I129" s="66" t="n"/>
      <c r="J129" s="66" t="n"/>
      <c r="K129" s="66" t="n"/>
      <c r="L129" s="66" t="n"/>
      <c r="M129" s="64" t="inlineStr">
        <is>
          <t>NPV0305</t>
        </is>
      </c>
    </row>
    <row r="130" ht="27" customHeight="1">
      <c r="A130" s="67" t="inlineStr">
        <is>
          <t>VPP0029</t>
        </is>
      </c>
      <c r="B130" s="68" t="inlineStr">
        <is>
          <t>Chun vòng</t>
        </is>
      </c>
      <c r="C130" s="69" t="n"/>
      <c r="D130" s="67" t="inlineStr">
        <is>
          <t>Thái dương</t>
        </is>
      </c>
      <c r="E130" s="67" t="n"/>
      <c r="F130" s="67" t="n"/>
      <c r="G130" s="67" t="inlineStr">
        <is>
          <t>BỊCH</t>
        </is>
      </c>
      <c r="H130" s="67" t="n">
        <v>120000</v>
      </c>
      <c r="I130" s="66" t="n"/>
      <c r="J130" s="66" t="n"/>
      <c r="K130" s="66" t="n"/>
      <c r="L130" s="66" t="n"/>
      <c r="M130" s="64" t="inlineStr">
        <is>
          <t>VPP0029</t>
        </is>
      </c>
    </row>
    <row r="131" ht="27" customHeight="1">
      <c r="A131" s="67" t="inlineStr">
        <is>
          <t>NPV0049</t>
        </is>
      </c>
      <c r="B131" s="68" t="inlineStr">
        <is>
          <t>Túi nilon đen 20kg</t>
        </is>
      </c>
      <c r="C131" s="69" t="n"/>
      <c r="D131" s="67" t="inlineStr">
        <is>
          <t>Thái dương</t>
        </is>
      </c>
      <c r="E131" s="67" t="n"/>
      <c r="F131" s="67" t="n"/>
      <c r="G131" s="67" t="inlineStr">
        <is>
          <t>kg</t>
        </is>
      </c>
      <c r="H131" s="67" t="n">
        <v>40000</v>
      </c>
      <c r="I131" s="66" t="n"/>
      <c r="J131" s="66" t="n"/>
      <c r="K131" s="66" t="n"/>
      <c r="L131" s="66" t="n"/>
      <c r="M131" s="64" t="inlineStr">
        <is>
          <t>NPV0049</t>
        </is>
      </c>
    </row>
    <row r="132" ht="27" customHeight="1">
      <c r="A132" s="67" t="inlineStr">
        <is>
          <t>NPV0134</t>
        </is>
      </c>
      <c r="B132" s="68" t="inlineStr">
        <is>
          <t>Túi nilon đen 40kg</t>
        </is>
      </c>
      <c r="C132" s="69" t="n"/>
      <c r="D132" s="67" t="inlineStr">
        <is>
          <t>Thái dương</t>
        </is>
      </c>
      <c r="E132" s="67" t="n"/>
      <c r="F132" s="67" t="n"/>
      <c r="G132" s="67" t="inlineStr">
        <is>
          <t>kg</t>
        </is>
      </c>
      <c r="H132" s="67" t="n">
        <v>40000</v>
      </c>
      <c r="I132" s="66" t="n"/>
      <c r="J132" s="66" t="n"/>
      <c r="K132" s="66" t="n"/>
      <c r="L132" s="66" t="n"/>
      <c r="M132" s="64" t="inlineStr">
        <is>
          <t>NPV0134</t>
        </is>
      </c>
    </row>
    <row r="133" ht="27" customHeight="1">
      <c r="A133" s="67" t="inlineStr">
        <is>
          <t>NPV0017</t>
        </is>
      </c>
      <c r="B133" s="68" t="inlineStr">
        <is>
          <t>Hộp xốp một ngăn</t>
        </is>
      </c>
      <c r="C133" s="69" t="n"/>
      <c r="D133" s="67" t="inlineStr">
        <is>
          <t>Thái dương</t>
        </is>
      </c>
      <c r="E133" s="67" t="n"/>
      <c r="F133" s="67" t="n"/>
      <c r="G133" s="67" t="inlineStr">
        <is>
          <t>Cái</t>
        </is>
      </c>
      <c r="H133" s="67" t="n">
        <v>600</v>
      </c>
      <c r="I133" s="66" t="n"/>
      <c r="J133" s="66" t="n"/>
      <c r="K133" s="66" t="n"/>
      <c r="L133" s="66" t="n"/>
      <c r="M133" s="64" t="inlineStr">
        <is>
          <t>NPV0017</t>
        </is>
      </c>
    </row>
    <row r="134" ht="27" customHeight="1">
      <c r="A134" s="67" t="inlineStr">
        <is>
          <t>NPV0316</t>
        </is>
      </c>
      <c r="B134" s="68" t="inlineStr">
        <is>
          <t>Cốc nhựa dùng 1 lần 500ml</t>
        </is>
      </c>
      <c r="C134" s="69" t="n"/>
      <c r="D134" s="67" t="inlineStr">
        <is>
          <t>Thái dương</t>
        </is>
      </c>
      <c r="E134" s="67" t="n"/>
      <c r="F134" s="67" t="n"/>
      <c r="G134" s="67" t="inlineStr">
        <is>
          <t>Cái</t>
        </is>
      </c>
      <c r="H134" s="67" t="n">
        <v>400</v>
      </c>
      <c r="I134" s="66" t="n"/>
      <c r="J134" s="66" t="n"/>
      <c r="K134" s="66" t="n"/>
      <c r="L134" s="66" t="n"/>
      <c r="M134" s="64" t="inlineStr">
        <is>
          <t>NPV0316</t>
        </is>
      </c>
    </row>
    <row r="135" ht="27" customHeight="1">
      <c r="A135" s="67" t="inlineStr">
        <is>
          <t>CCDC2646</t>
        </is>
      </c>
      <c r="B135" s="68" t="inlineStr">
        <is>
          <t>Set cao cấp (đũa tre, muỗng trắng, tăm, giấy ăn)</t>
        </is>
      </c>
      <c r="C135" s="69" t="n"/>
      <c r="D135" s="67" t="inlineStr">
        <is>
          <t>Thái dương</t>
        </is>
      </c>
      <c r="E135" s="67" t="n"/>
      <c r="F135" s="67" t="n"/>
      <c r="G135" s="67" t="inlineStr">
        <is>
          <t>Bộ</t>
        </is>
      </c>
      <c r="H135" s="67" t="n">
        <v>450</v>
      </c>
      <c r="I135" s="66" t="n"/>
      <c r="J135" s="66" t="n"/>
      <c r="K135" s="66" t="n"/>
      <c r="L135" s="66" t="n"/>
      <c r="M135" s="64" t="inlineStr">
        <is>
          <t>CCDC2646</t>
        </is>
      </c>
    </row>
    <row r="136" ht="27" customHeight="1">
      <c r="A136" s="67" t="inlineStr">
        <is>
          <t>HHS0051</t>
        </is>
      </c>
      <c r="B136" s="68" t="inlineStr">
        <is>
          <t>Sữa fami bịch</t>
        </is>
      </c>
      <c r="C136" s="69" t="n"/>
      <c r="D136" s="67" t="inlineStr">
        <is>
          <t>Thái dương</t>
        </is>
      </c>
      <c r="E136" s="67" t="n"/>
      <c r="F136" s="67" t="n"/>
      <c r="G136" s="67" t="inlineStr">
        <is>
          <t>Túi</t>
        </is>
      </c>
      <c r="H136" s="67" t="n">
        <v>3400</v>
      </c>
      <c r="I136" s="66" t="n"/>
      <c r="J136" s="66" t="n"/>
      <c r="K136" s="66" t="n"/>
      <c r="L136" s="66" t="n"/>
      <c r="M136" s="64" t="inlineStr">
        <is>
          <t>HHS0051</t>
        </is>
      </c>
    </row>
    <row r="137" ht="27" customHeight="1">
      <c r="A137" s="67" t="inlineStr">
        <is>
          <t>HHS0045</t>
        </is>
      </c>
      <c r="B137" s="68" t="inlineStr">
        <is>
          <t>Sữa đậu nành Nuti nguyên chất 200ml, 36 hộp/ thùng</t>
        </is>
      </c>
      <c r="C137" s="69" t="n"/>
      <c r="D137" s="67" t="inlineStr">
        <is>
          <t>Thái dương</t>
        </is>
      </c>
      <c r="E137" s="67" t="n"/>
      <c r="F137" s="67" t="n"/>
      <c r="G137" s="67" t="inlineStr">
        <is>
          <t>Hộp</t>
        </is>
      </c>
      <c r="H137" s="67" t="n">
        <v>3300</v>
      </c>
      <c r="I137" s="66" t="n"/>
      <c r="J137" s="66" t="n"/>
      <c r="K137" s="66" t="n"/>
      <c r="L137" s="66" t="n"/>
      <c r="M137" s="64" t="inlineStr">
        <is>
          <t>HHS0045</t>
        </is>
      </c>
    </row>
    <row r="138" ht="27" customHeight="1">
      <c r="A138" s="67" t="inlineStr">
        <is>
          <t>NLR0118</t>
        </is>
      </c>
      <c r="B138" s="68" t="inlineStr">
        <is>
          <t>Nấm hương</t>
        </is>
      </c>
      <c r="C138" s="69" t="n"/>
      <c r="D138" s="67" t="inlineStr">
        <is>
          <t>Thái dương</t>
        </is>
      </c>
      <c r="E138" s="67" t="n"/>
      <c r="F138" s="67" t="n"/>
      <c r="G138" s="67" t="inlineStr">
        <is>
          <t>kg</t>
        </is>
      </c>
      <c r="H138" s="67" t="n">
        <v>120000</v>
      </c>
      <c r="I138" s="66" t="n"/>
      <c r="J138" s="66" t="n"/>
      <c r="K138" s="66" t="n"/>
      <c r="L138" s="66" t="n"/>
      <c r="M138" s="64" t="inlineStr">
        <is>
          <t>NLR0118</t>
        </is>
      </c>
    </row>
    <row r="139" ht="27" customHeight="1">
      <c r="A139" s="67" t="inlineStr">
        <is>
          <t>NLR0546</t>
        </is>
      </c>
      <c r="B139" s="68" t="inlineStr">
        <is>
          <t>Nấm hương khô</t>
        </is>
      </c>
      <c r="C139" s="69" t="n"/>
      <c r="D139" s="67" t="inlineStr">
        <is>
          <t>Thái dương</t>
        </is>
      </c>
      <c r="E139" s="67" t="n"/>
      <c r="F139" s="67" t="n"/>
      <c r="G139" s="67" t="inlineStr">
        <is>
          <t>kg</t>
        </is>
      </c>
      <c r="H139" s="67" t="n">
        <v>200000</v>
      </c>
      <c r="I139" s="66" t="n"/>
      <c r="J139" s="66" t="n"/>
      <c r="K139" s="66" t="n"/>
      <c r="L139" s="66" t="n"/>
      <c r="M139" s="64" t="inlineStr">
        <is>
          <t>NLR0546</t>
        </is>
      </c>
    </row>
    <row r="140" ht="27" customHeight="1">
      <c r="A140" s="67" t="inlineStr">
        <is>
          <t>CCDC1869</t>
        </is>
      </c>
      <c r="B140" s="68" t="inlineStr">
        <is>
          <t>Tô giấy Kraft 750ml nắp bằng nhựa PP</t>
        </is>
      </c>
      <c r="C140" s="69" t="n"/>
      <c r="D140" s="67" t="inlineStr">
        <is>
          <t>Thái dương</t>
        </is>
      </c>
      <c r="E140" s="67" t="n"/>
      <c r="F140" s="67" t="n"/>
      <c r="G140" s="67" t="inlineStr">
        <is>
          <t>Cái</t>
        </is>
      </c>
      <c r="H140" s="67" t="n">
        <v>1400</v>
      </c>
      <c r="I140" s="66" t="n"/>
      <c r="J140" s="66" t="n"/>
      <c r="K140" s="66" t="n"/>
      <c r="L140" s="66" t="n"/>
      <c r="M140" s="64" t="inlineStr">
        <is>
          <t>CCDC1869</t>
        </is>
      </c>
    </row>
    <row r="141" ht="27" customHeight="1">
      <c r="A141" s="67" t="inlineStr">
        <is>
          <t>NPG0046</t>
        </is>
      </c>
      <c r="B141" s="68" t="inlineStr">
        <is>
          <t>Dấm bỗng</t>
        </is>
      </c>
      <c r="C141" s="69" t="n"/>
      <c r="D141" s="67" t="inlineStr">
        <is>
          <t>Thái dương</t>
        </is>
      </c>
      <c r="E141" s="67" t="n"/>
      <c r="F141" s="67" t="n"/>
      <c r="G141" s="67" t="inlineStr">
        <is>
          <t>Lít</t>
        </is>
      </c>
      <c r="H141" s="67" t="n">
        <v>5000</v>
      </c>
      <c r="I141" s="66" t="n"/>
      <c r="J141" s="66" t="n"/>
      <c r="K141" s="66" t="n"/>
      <c r="L141" s="66" t="n"/>
      <c r="M141" s="64" t="inlineStr">
        <is>
          <t>NPG0046</t>
        </is>
      </c>
    </row>
    <row r="142" ht="27" customHeight="1">
      <c r="A142" s="67" t="inlineStr">
        <is>
          <t>NLS0002</t>
        </is>
      </c>
      <c r="B142" s="68" t="inlineStr">
        <is>
          <t>Cá ba sa sơ chế bỏ đầu</t>
        </is>
      </c>
      <c r="C142" s="69" t="n"/>
      <c r="D142" s="67" t="inlineStr">
        <is>
          <t>Thái dương</t>
        </is>
      </c>
      <c r="E142" s="67" t="n"/>
      <c r="F142" s="67" t="n"/>
      <c r="G142" s="67" t="inlineStr">
        <is>
          <t>kg</t>
        </is>
      </c>
      <c r="H142" s="67" t="n">
        <v>46000</v>
      </c>
      <c r="I142" s="66" t="n"/>
      <c r="J142" s="66" t="n"/>
      <c r="K142" s="66" t="n"/>
      <c r="L142" s="66" t="n"/>
      <c r="M142" s="64" t="inlineStr">
        <is>
          <t>NLS0002</t>
        </is>
      </c>
    </row>
    <row r="143" ht="27" customHeight="1">
      <c r="A143" s="67" t="inlineStr">
        <is>
          <t>NLS0143</t>
        </is>
      </c>
      <c r="B143" s="68" t="inlineStr">
        <is>
          <t>Cá cơm ĐL 12kg/thùng</t>
        </is>
      </c>
      <c r="C143" s="69" t="n"/>
      <c r="D143" s="67" t="inlineStr">
        <is>
          <t>Thái dương</t>
        </is>
      </c>
      <c r="E143" s="67" t="n"/>
      <c r="F143" s="67" t="n"/>
      <c r="G143" s="67" t="inlineStr">
        <is>
          <t>kg</t>
        </is>
      </c>
      <c r="H143" s="67" t="n">
        <v>36000</v>
      </c>
      <c r="I143" s="66" t="n"/>
      <c r="J143" s="66" t="n"/>
      <c r="K143" s="66" t="n"/>
      <c r="L143" s="66" t="n"/>
      <c r="M143" s="64" t="inlineStr">
        <is>
          <t>NLS0143</t>
        </is>
      </c>
    </row>
    <row r="144" ht="27" customHeight="1">
      <c r="A144" s="67" t="inlineStr">
        <is>
          <t>NLS0145</t>
        </is>
      </c>
      <c r="B144" s="68" t="inlineStr">
        <is>
          <t>Cá nục hoa 3-4 con/kg, 15kg/thùng</t>
        </is>
      </c>
      <c r="C144" s="69" t="n"/>
      <c r="D144" s="67" t="inlineStr">
        <is>
          <t>Thái dương</t>
        </is>
      </c>
      <c r="E144" s="67" t="n"/>
      <c r="F144" s="67" t="n"/>
      <c r="G144" s="67" t="inlineStr">
        <is>
          <t>kg</t>
        </is>
      </c>
      <c r="H144" s="67" t="n">
        <v>52000</v>
      </c>
      <c r="I144" s="66" t="n"/>
      <c r="J144" s="66" t="n"/>
      <c r="K144" s="66" t="n"/>
      <c r="L144" s="66" t="n"/>
      <c r="M144" s="64" t="inlineStr">
        <is>
          <t>NLS0145</t>
        </is>
      </c>
    </row>
    <row r="145" ht="27" customHeight="1">
      <c r="A145" s="67" t="inlineStr">
        <is>
          <t>NLS0224</t>
        </is>
      </c>
      <c r="B145" s="68" t="inlineStr">
        <is>
          <t>Chả cá ĐL Tú Phương 500g/gói.</t>
        </is>
      </c>
      <c r="C145" s="69" t="n"/>
      <c r="D145" s="67" t="inlineStr">
        <is>
          <t>Thái dương</t>
        </is>
      </c>
      <c r="E145" s="67" t="n"/>
      <c r="F145" s="67" t="n"/>
      <c r="G145" s="67" t="inlineStr">
        <is>
          <t>kg</t>
        </is>
      </c>
      <c r="H145" s="67" t="n">
        <v>60000</v>
      </c>
      <c r="I145" s="66" t="n"/>
      <c r="J145" s="66" t="n"/>
      <c r="K145" s="66" t="n"/>
      <c r="L145" s="66" t="n"/>
      <c r="M145" s="64" t="inlineStr">
        <is>
          <t>NLS0224</t>
        </is>
      </c>
    </row>
    <row r="146" ht="27" customHeight="1">
      <c r="A146" s="67" t="inlineStr">
        <is>
          <t>NLT0066</t>
        </is>
      </c>
      <c r="B146" s="68" t="inlineStr">
        <is>
          <t>Gà dai nguyên con Hàn Quốc 15kg/thùng</t>
        </is>
      </c>
      <c r="C146" s="69" t="n"/>
      <c r="D146" s="67" t="inlineStr">
        <is>
          <t>Thái dương</t>
        </is>
      </c>
      <c r="E146" s="67" t="n"/>
      <c r="F146" s="67" t="n"/>
      <c r="G146" s="67" t="inlineStr">
        <is>
          <t>kg</t>
        </is>
      </c>
      <c r="H146" s="67" t="n">
        <v>53000</v>
      </c>
      <c r="I146" s="66" t="n"/>
      <c r="J146" s="66" t="n"/>
      <c r="K146" s="66" t="n"/>
      <c r="L146" s="66" t="n"/>
      <c r="M146" s="64" t="inlineStr">
        <is>
          <t>NLT0066</t>
        </is>
      </c>
    </row>
    <row r="147" ht="27" customHeight="1">
      <c r="A147" s="67" t="inlineStr">
        <is>
          <t>NLT0067</t>
        </is>
      </c>
      <c r="B147" s="68" t="inlineStr">
        <is>
          <t>Gà góc 1/4 đông lạnh Mỹ 15kg/thùng</t>
        </is>
      </c>
      <c r="C147" s="69" t="n"/>
      <c r="D147" s="67" t="inlineStr">
        <is>
          <t>Thái dương</t>
        </is>
      </c>
      <c r="E147" s="67" t="n"/>
      <c r="F147" s="67" t="n"/>
      <c r="G147" s="67" t="inlineStr">
        <is>
          <t>kg</t>
        </is>
      </c>
      <c r="H147" s="67" t="n">
        <v>55000</v>
      </c>
      <c r="I147" s="66" t="n"/>
      <c r="J147" s="66" t="n"/>
      <c r="K147" s="66" t="n"/>
      <c r="L147" s="66" t="n"/>
      <c r="M147" s="64" t="inlineStr">
        <is>
          <t>NLT0067</t>
        </is>
      </c>
    </row>
    <row r="148" ht="27" customHeight="1">
      <c r="A148" s="67" t="inlineStr">
        <is>
          <t>NLT0144</t>
        </is>
      </c>
      <c r="B148" s="68" t="inlineStr">
        <is>
          <t>Thịt mông trâu ĐL ấn Độ (M45) 20kg/thùng</t>
        </is>
      </c>
      <c r="C148" s="69" t="n"/>
      <c r="D148" s="67" t="inlineStr">
        <is>
          <t>Thái dương</t>
        </is>
      </c>
      <c r="E148" s="67" t="n"/>
      <c r="F148" s="67" t="n"/>
      <c r="G148" s="67" t="inlineStr">
        <is>
          <t>kg</t>
        </is>
      </c>
      <c r="H148" s="67" t="n">
        <v>160000</v>
      </c>
      <c r="I148" s="66" t="n"/>
      <c r="J148" s="66" t="n"/>
      <c r="K148" s="66" t="n"/>
      <c r="L148" s="66" t="n"/>
      <c r="M148" s="64" t="inlineStr">
        <is>
          <t>NLT0144</t>
        </is>
      </c>
    </row>
    <row r="149" ht="27" customHeight="1">
      <c r="A149" s="67" t="inlineStr">
        <is>
          <t>NLT0252</t>
        </is>
      </c>
      <c r="B149" s="68" t="inlineStr">
        <is>
          <t>Thịt nạc vai ĐL Brazin ( 17-28)kg/thùng</t>
        </is>
      </c>
      <c r="C149" s="69" t="n"/>
      <c r="D149" s="67" t="inlineStr">
        <is>
          <t>Thái dương</t>
        </is>
      </c>
      <c r="E149" s="67" t="n"/>
      <c r="F149" s="67" t="inlineStr">
        <is>
          <t>F</t>
        </is>
      </c>
      <c r="G149" s="67" t="inlineStr">
        <is>
          <t>kg</t>
        </is>
      </c>
      <c r="H149" s="67" t="n">
        <v>94000</v>
      </c>
      <c r="I149" s="66" t="n"/>
      <c r="J149" s="66" t="n"/>
      <c r="K149" s="66" t="n"/>
      <c r="L149" s="66" t="n"/>
      <c r="M149" s="64" t="inlineStr">
        <is>
          <t>NLT0252</t>
        </is>
      </c>
    </row>
    <row r="150" ht="27" customHeight="1">
      <c r="A150" s="67" t="inlineStr">
        <is>
          <t>NLT0294</t>
        </is>
      </c>
      <c r="B150" s="68" t="inlineStr">
        <is>
          <t>Gà góc 1/4 SIMON Mỹ 15 kg/ thùng</t>
        </is>
      </c>
      <c r="C150" s="69" t="n"/>
      <c r="D150" s="67" t="inlineStr">
        <is>
          <t>Thái dương</t>
        </is>
      </c>
      <c r="E150" s="67" t="n"/>
      <c r="F150" s="67" t="n"/>
      <c r="G150" s="67" t="inlineStr">
        <is>
          <t>kg</t>
        </is>
      </c>
      <c r="H150" s="67" t="n">
        <v>55000</v>
      </c>
      <c r="I150" s="66" t="n"/>
      <c r="J150" s="66" t="n"/>
      <c r="K150" s="66" t="n"/>
      <c r="L150" s="66" t="n"/>
      <c r="M150" s="64" t="inlineStr">
        <is>
          <t>NLT0294</t>
        </is>
      </c>
    </row>
    <row r="151" ht="27" customHeight="1">
      <c r="A151" s="67" t="inlineStr">
        <is>
          <t>NLT0435</t>
        </is>
      </c>
      <c r="B151" s="68" t="inlineStr">
        <is>
          <t>Thịt dẻ sườn trâu 123</t>
        </is>
      </c>
      <c r="C151" s="69" t="n"/>
      <c r="D151" s="67" t="inlineStr">
        <is>
          <t>Thái dương</t>
        </is>
      </c>
      <c r="E151" s="67" t="n"/>
      <c r="F151" s="67" t="n"/>
      <c r="G151" s="67" t="inlineStr">
        <is>
          <t>kg</t>
        </is>
      </c>
      <c r="H151" s="67" t="n">
        <v>120000</v>
      </c>
      <c r="I151" s="66" t="n"/>
      <c r="J151" s="66" t="n"/>
      <c r="K151" s="66" t="n"/>
      <c r="L151" s="66" t="n"/>
      <c r="M151" s="64" t="inlineStr">
        <is>
          <t>NLT0435</t>
        </is>
      </c>
    </row>
    <row r="152" ht="27" customHeight="1">
      <c r="A152" s="67" t="inlineStr">
        <is>
          <t>NLT0499</t>
        </is>
      </c>
      <c r="B152" s="68" t="inlineStr">
        <is>
          <t>Thịt ba chỉ ĐL Miratog Nga có da không xương 25-35kg/thùng</t>
        </is>
      </c>
      <c r="C152" s="69" t="n"/>
      <c r="D152" s="67" t="inlineStr">
        <is>
          <t>Thái dương</t>
        </is>
      </c>
      <c r="E152" s="67" t="n"/>
      <c r="F152" s="67" t="n"/>
      <c r="G152" s="67" t="inlineStr">
        <is>
          <t>kg</t>
        </is>
      </c>
      <c r="H152" s="67" t="n">
        <v>103000</v>
      </c>
      <c r="I152" s="66" t="n"/>
      <c r="J152" s="66" t="n"/>
      <c r="K152" s="66" t="n"/>
      <c r="L152" s="66" t="n"/>
      <c r="M152" s="64" t="inlineStr">
        <is>
          <t>NLT0499</t>
        </is>
      </c>
    </row>
    <row r="153" ht="27" customHeight="1">
      <c r="A153" s="67" t="inlineStr">
        <is>
          <t>NLT0501</t>
        </is>
      </c>
      <c r="B153" s="68" t="inlineStr">
        <is>
          <t>Cá nục gai sơ chế bỏ đầu</t>
        </is>
      </c>
      <c r="C153" s="69" t="n"/>
      <c r="D153" s="67" t="inlineStr">
        <is>
          <t>Thái dương</t>
        </is>
      </c>
      <c r="E153" s="67" t="n"/>
      <c r="F153" s="67" t="n"/>
      <c r="G153" s="67" t="inlineStr">
        <is>
          <t>kg</t>
        </is>
      </c>
      <c r="H153" s="67" t="n">
        <v>44000</v>
      </c>
      <c r="I153" s="66" t="n"/>
      <c r="J153" s="66" t="n"/>
      <c r="K153" s="66" t="n"/>
      <c r="L153" s="66" t="n"/>
      <c r="M153" s="64" t="inlineStr">
        <is>
          <t>NLT0501</t>
        </is>
      </c>
    </row>
    <row r="154" ht="27" customHeight="1">
      <c r="A154" s="67" t="inlineStr">
        <is>
          <t>NLT0552</t>
        </is>
      </c>
      <c r="B154" s="68" t="inlineStr">
        <is>
          <t>Đùi gà mái mía Shinwo Hàn Quốc, 20kg/thùng</t>
        </is>
      </c>
      <c r="C154" s="69" t="n"/>
      <c r="D154" s="67" t="inlineStr">
        <is>
          <t>Thái dương</t>
        </is>
      </c>
      <c r="E154" s="67" t="n"/>
      <c r="F154" s="67" t="n"/>
      <c r="G154" s="67" t="inlineStr">
        <is>
          <t>kg</t>
        </is>
      </c>
      <c r="H154" s="67" t="n">
        <v>70000</v>
      </c>
      <c r="I154" s="66" t="n"/>
      <c r="J154" s="66" t="n"/>
      <c r="K154" s="66" t="n"/>
      <c r="L154" s="66" t="n"/>
      <c r="M154" s="64" t="inlineStr">
        <is>
          <t>NLT0552</t>
        </is>
      </c>
    </row>
    <row r="155" ht="27" customHeight="1">
      <c r="A155" s="67" t="inlineStr">
        <is>
          <t>NLT0557</t>
        </is>
      </c>
      <c r="B155" s="68" t="inlineStr">
        <is>
          <t>Thịt trâu nạm ấn độ M19, 18kg/thùng</t>
        </is>
      </c>
      <c r="C155" s="69" t="n"/>
      <c r="D155" s="67" t="inlineStr">
        <is>
          <t>Thái dương</t>
        </is>
      </c>
      <c r="E155" s="67" t="n"/>
      <c r="F155" s="67" t="n"/>
      <c r="G155" s="67" t="inlineStr">
        <is>
          <t>kg</t>
        </is>
      </c>
      <c r="H155" s="67" t="n">
        <v>107000</v>
      </c>
      <c r="I155" s="66" t="n"/>
      <c r="J155" s="66" t="n"/>
      <c r="K155" s="66" t="n"/>
      <c r="L155" s="66" t="n"/>
      <c r="M155" s="64" t="inlineStr">
        <is>
          <t>NLT0557</t>
        </is>
      </c>
    </row>
    <row r="156" ht="27" customHeight="1">
      <c r="A156" s="67" t="inlineStr">
        <is>
          <t>NLT0576</t>
        </is>
      </c>
      <c r="B156" s="68" t="inlineStr">
        <is>
          <t>trâu má đào</t>
        </is>
      </c>
      <c r="C156" s="69" t="n"/>
      <c r="D156" s="67" t="inlineStr">
        <is>
          <t>Thái dương</t>
        </is>
      </c>
      <c r="E156" s="67" t="n"/>
      <c r="F156" s="67" t="n"/>
      <c r="G156" s="67" t="inlineStr">
        <is>
          <t>kg</t>
        </is>
      </c>
      <c r="H156" s="67" t="n">
        <v>108000</v>
      </c>
      <c r="I156" s="66" t="n"/>
      <c r="J156" s="66" t="n"/>
      <c r="K156" s="66" t="n"/>
      <c r="L156" s="66" t="n"/>
      <c r="M156" s="64" t="inlineStr">
        <is>
          <t>NLT0576</t>
        </is>
      </c>
    </row>
    <row r="157" ht="27" customHeight="1">
      <c r="A157" s="67" t="inlineStr">
        <is>
          <t>NLT0076</t>
        </is>
      </c>
      <c r="B157" s="68" t="inlineStr">
        <is>
          <t>Thịt lợn mông sấn</t>
        </is>
      </c>
      <c r="C157" s="69" t="n"/>
      <c r="D157" s="67" t="inlineStr">
        <is>
          <t>Thái dương</t>
        </is>
      </c>
      <c r="E157" s="67" t="n"/>
      <c r="F157" s="67" t="n"/>
      <c r="G157" s="67" t="inlineStr">
        <is>
          <t>kg</t>
        </is>
      </c>
      <c r="H157" s="67" t="n">
        <v>101000</v>
      </c>
      <c r="I157" s="66" t="n"/>
      <c r="J157" s="66" t="n"/>
      <c r="K157" s="66" t="n"/>
      <c r="L157" s="66" t="n"/>
      <c r="M157" s="64" t="inlineStr">
        <is>
          <t>NLT0076</t>
        </is>
      </c>
    </row>
    <row r="158" ht="27" customHeight="1">
      <c r="A158" s="67" t="inlineStr">
        <is>
          <t>NLS0081</t>
        </is>
      </c>
      <c r="B158" s="68" t="inlineStr">
        <is>
          <t>Tôm dảo tươi 100-120</t>
        </is>
      </c>
      <c r="C158" s="69" t="n"/>
      <c r="D158" s="67" t="inlineStr">
        <is>
          <t>Thái dương</t>
        </is>
      </c>
      <c r="E158" s="67" t="n"/>
      <c r="F158" s="67" t="n"/>
      <c r="G158" s="67" t="inlineStr">
        <is>
          <t>kg</t>
        </is>
      </c>
      <c r="H158" s="67" t="n">
        <v>147000</v>
      </c>
      <c r="I158" s="66" t="n"/>
      <c r="J158" s="66" t="n"/>
      <c r="K158" s="66" t="n"/>
      <c r="L158" s="66" t="n"/>
      <c r="M158" s="64" t="inlineStr">
        <is>
          <t>NLS0081</t>
        </is>
      </c>
    </row>
    <row r="159" ht="27" customHeight="1">
      <c r="A159" s="67" t="inlineStr">
        <is>
          <t>NLR0156</t>
        </is>
      </c>
      <c r="B159" s="68" t="inlineStr">
        <is>
          <t>rau muống cắt gốc</t>
        </is>
      </c>
      <c r="C159" s="69" t="n"/>
      <c r="D159" s="67" t="inlineStr">
        <is>
          <t>Thái dương</t>
        </is>
      </c>
      <c r="E159" s="67" t="n"/>
      <c r="F159" s="67" t="n"/>
      <c r="G159" s="67" t="inlineStr">
        <is>
          <t>kg</t>
        </is>
      </c>
      <c r="H159" s="67" t="n">
        <v>9000</v>
      </c>
      <c r="I159" s="66" t="n"/>
      <c r="J159" s="66" t="n"/>
      <c r="K159" s="66" t="n"/>
      <c r="L159" s="66" t="n"/>
      <c r="M159" s="64" t="inlineStr">
        <is>
          <t>NLR0156</t>
        </is>
      </c>
    </row>
    <row r="160" ht="27" customHeight="1">
      <c r="A160" s="67" t="inlineStr">
        <is>
          <t>NPG0094</t>
        </is>
      </c>
      <c r="B160" s="68" t="inlineStr">
        <is>
          <t>Me khô</t>
        </is>
      </c>
      <c r="C160" s="69" t="n"/>
      <c r="D160" s="67" t="inlineStr">
        <is>
          <t>Thái dương</t>
        </is>
      </c>
      <c r="E160" s="67" t="n"/>
      <c r="F160" s="67" t="n"/>
      <c r="G160" s="67" t="inlineStr">
        <is>
          <t>kg</t>
        </is>
      </c>
      <c r="H160" s="67" t="n">
        <v>30000</v>
      </c>
      <c r="I160" s="66" t="n"/>
      <c r="J160" s="66" t="n"/>
      <c r="K160" s="66" t="n"/>
      <c r="L160" s="66" t="n"/>
      <c r="M160" s="64" t="inlineStr">
        <is>
          <t>NPG0094</t>
        </is>
      </c>
    </row>
    <row r="161" ht="27" customHeight="1">
      <c r="A161" s="67" t="inlineStr">
        <is>
          <t>NLR0148</t>
        </is>
      </c>
      <c r="B161" s="68" t="inlineStr">
        <is>
          <t>Rau dền</t>
        </is>
      </c>
      <c r="C161" s="69" t="n"/>
      <c r="D161" s="67" t="inlineStr">
        <is>
          <t>Thái dương</t>
        </is>
      </c>
      <c r="E161" s="67" t="n"/>
      <c r="F161" s="67" t="n"/>
      <c r="G161" s="67" t="inlineStr">
        <is>
          <t>kg</t>
        </is>
      </c>
      <c r="H161" s="67" t="n">
        <v>11000</v>
      </c>
      <c r="I161" s="66" t="n"/>
      <c r="J161" s="66" t="n"/>
      <c r="K161" s="66" t="n"/>
      <c r="L161" s="66" t="n"/>
      <c r="M161" s="64" t="inlineStr">
        <is>
          <t>NLR0148</t>
        </is>
      </c>
    </row>
    <row r="162" ht="27" customHeight="1">
      <c r="A162" s="67" t="inlineStr">
        <is>
          <t>NLQ0015</t>
        </is>
      </c>
      <c r="B162" s="68" t="inlineStr">
        <is>
          <t>Quả mận</t>
        </is>
      </c>
      <c r="C162" s="69" t="n"/>
      <c r="D162" s="67" t="inlineStr">
        <is>
          <t>Thái dương</t>
        </is>
      </c>
      <c r="E162" s="67" t="n"/>
      <c r="F162" s="67" t="n"/>
      <c r="G162" s="67" t="inlineStr">
        <is>
          <t>kg</t>
        </is>
      </c>
      <c r="H162" s="67" t="n">
        <v>11000</v>
      </c>
      <c r="I162" s="66" t="n"/>
      <c r="J162" s="66" t="n"/>
      <c r="K162" s="66" t="n"/>
      <c r="L162" s="66" t="n"/>
      <c r="M162" s="64" t="inlineStr">
        <is>
          <t>NLQ0015</t>
        </is>
      </c>
    </row>
    <row r="163" ht="27" customHeight="1">
      <c r="A163" s="67" t="inlineStr">
        <is>
          <t>NLT0090</t>
        </is>
      </c>
      <c r="B163" s="68" t="inlineStr">
        <is>
          <t>Thịt nạc  thăn</t>
        </is>
      </c>
      <c r="C163" s="69" t="n"/>
      <c r="D163" s="67" t="inlineStr">
        <is>
          <t>Thái dương</t>
        </is>
      </c>
      <c r="E163" s="67" t="n"/>
      <c r="F163" s="67" t="n"/>
      <c r="G163" s="67" t="inlineStr">
        <is>
          <t>kg</t>
        </is>
      </c>
      <c r="H163" s="67" t="n">
        <v>124000</v>
      </c>
      <c r="I163" s="66" t="n"/>
      <c r="J163" s="66" t="n"/>
      <c r="K163" s="66" t="n"/>
      <c r="L163" s="66" t="n"/>
      <c r="M163" s="64" t="inlineStr">
        <is>
          <t>NLT0090</t>
        </is>
      </c>
    </row>
    <row r="164" ht="27" customHeight="1">
      <c r="A164" s="67" t="inlineStr">
        <is>
          <t>NPV0064</t>
        </is>
      </c>
      <c r="B164" s="68" t="inlineStr">
        <is>
          <t>Túi nilon trắng 20kg</t>
        </is>
      </c>
      <c r="C164" s="69" t="n"/>
      <c r="D164" s="67" t="inlineStr">
        <is>
          <t>Thái dương</t>
        </is>
      </c>
      <c r="E164" s="67" t="n"/>
      <c r="F164" s="67" t="n"/>
      <c r="G164" s="67" t="inlineStr">
        <is>
          <t>kg</t>
        </is>
      </c>
      <c r="H164" s="67" t="n">
        <v>52000</v>
      </c>
      <c r="I164" s="66" t="n"/>
      <c r="J164" s="66" t="n"/>
      <c r="K164" s="66" t="n"/>
      <c r="L164" s="66" t="n"/>
      <c r="M164" s="64" t="inlineStr">
        <is>
          <t>NPV0064</t>
        </is>
      </c>
    </row>
    <row r="165" ht="27" customHeight="1">
      <c r="A165" s="67" t="inlineStr">
        <is>
          <t>NLT0094</t>
        </is>
      </c>
      <c r="B165" s="68" t="inlineStr">
        <is>
          <t>Thịt vịt sơ chế bỏ đầu, cổ cánh 2-2.5kg/con.</t>
        </is>
      </c>
      <c r="C165" s="69" t="n"/>
      <c r="D165" s="67" t="inlineStr">
        <is>
          <t>Thái dương</t>
        </is>
      </c>
      <c r="E165" s="67" t="n"/>
      <c r="F165" s="67" t="n"/>
      <c r="G165" s="67" t="inlineStr">
        <is>
          <t>kg</t>
        </is>
      </c>
      <c r="H165" s="67" t="n">
        <v>85000</v>
      </c>
      <c r="I165" s="66" t="n"/>
      <c r="J165" s="66" t="n"/>
      <c r="K165" s="66" t="n"/>
      <c r="L165" s="66" t="n"/>
      <c r="M165" s="64" t="inlineStr">
        <is>
          <t>NLT0094</t>
        </is>
      </c>
    </row>
    <row r="166" ht="27" customHeight="1">
      <c r="A166" s="67" t="inlineStr">
        <is>
          <t>NLR0142</t>
        </is>
      </c>
      <c r="B166" s="68" t="inlineStr">
        <is>
          <t>Quả sấu</t>
        </is>
      </c>
      <c r="C166" s="69" t="n"/>
      <c r="D166" s="67" t="inlineStr">
        <is>
          <t>Thái dương</t>
        </is>
      </c>
      <c r="E166" s="67" t="n"/>
      <c r="F166" s="67" t="n"/>
      <c r="G166" s="67" t="inlineStr">
        <is>
          <t>kg</t>
        </is>
      </c>
      <c r="H166" s="67" t="n">
        <v>23000</v>
      </c>
      <c r="I166" s="66" t="n"/>
      <c r="J166" s="66" t="n"/>
      <c r="K166" s="66" t="n"/>
      <c r="L166" s="66" t="n"/>
      <c r="M166" s="64" t="inlineStr">
        <is>
          <t>NLR0142</t>
        </is>
      </c>
    </row>
    <row r="167" ht="27" customHeight="1">
      <c r="A167" s="67" t="inlineStr">
        <is>
          <t>NLR0244</t>
        </is>
      </c>
      <c r="B167" s="68" t="inlineStr">
        <is>
          <t>khoai môn sc</t>
        </is>
      </c>
      <c r="C167" s="69" t="n"/>
      <c r="D167" s="67" t="inlineStr">
        <is>
          <t>Thái dương</t>
        </is>
      </c>
      <c r="E167" s="67" t="n"/>
      <c r="F167" s="67" t="n"/>
      <c r="G167" s="67" t="inlineStr">
        <is>
          <t>kg</t>
        </is>
      </c>
      <c r="H167" s="67" t="n">
        <v>30000</v>
      </c>
      <c r="I167" s="66" t="n"/>
      <c r="J167" s="66" t="n"/>
      <c r="K167" s="66" t="n"/>
      <c r="L167" s="66" t="n"/>
      <c r="M167" s="64" t="inlineStr">
        <is>
          <t>NLR0244</t>
        </is>
      </c>
    </row>
    <row r="168" ht="27" customHeight="1">
      <c r="A168" s="67" t="inlineStr">
        <is>
          <t>NLR0152</t>
        </is>
      </c>
      <c r="B168" s="68" t="inlineStr">
        <is>
          <t>Rau mồng tơi</t>
        </is>
      </c>
      <c r="C168" s="69" t="n"/>
      <c r="D168" s="67" t="inlineStr">
        <is>
          <t>Thái dương</t>
        </is>
      </c>
      <c r="E168" s="67" t="n"/>
      <c r="F168" s="67" t="n"/>
      <c r="G168" s="67" t="inlineStr">
        <is>
          <t>kg</t>
        </is>
      </c>
      <c r="H168" s="67" t="n">
        <v>14000</v>
      </c>
      <c r="I168" s="66" t="n"/>
      <c r="J168" s="66" t="n"/>
      <c r="K168" s="66" t="n"/>
      <c r="L168" s="66" t="n"/>
      <c r="M168" s="64" t="inlineStr">
        <is>
          <t>NLR0152</t>
        </is>
      </c>
    </row>
    <row r="169" ht="27" customHeight="1">
      <c r="A169" s="67" t="inlineStr">
        <is>
          <t>NLQ0062</t>
        </is>
      </c>
      <c r="B169" s="68" t="inlineStr">
        <is>
          <t>Cam sành 4-6 quả/kg</t>
        </is>
      </c>
      <c r="C169" s="69" t="n"/>
      <c r="D169" s="67" t="inlineStr">
        <is>
          <t>Thái dương</t>
        </is>
      </c>
      <c r="E169" s="67" t="n"/>
      <c r="F169" s="67" t="n"/>
      <c r="G169" s="67" t="inlineStr">
        <is>
          <t>kg</t>
        </is>
      </c>
      <c r="H169" s="67" t="n">
        <v>28000</v>
      </c>
      <c r="I169" s="66" t="n"/>
      <c r="J169" s="66" t="n"/>
      <c r="K169" s="66" t="n"/>
      <c r="L169" s="66" t="n"/>
      <c r="M169" s="64" t="inlineStr">
        <is>
          <t>NLQ0062</t>
        </is>
      </c>
    </row>
    <row r="170" ht="27" customHeight="1">
      <c r="A170" s="67" t="inlineStr">
        <is>
          <t>NLT0105</t>
        </is>
      </c>
      <c r="B170" s="68" t="inlineStr">
        <is>
          <t>Trứng vịt lộn</t>
        </is>
      </c>
      <c r="C170" s="69" t="n"/>
      <c r="D170" s="67" t="inlineStr">
        <is>
          <t>Thái dương</t>
        </is>
      </c>
      <c r="E170" s="67" t="n"/>
      <c r="F170" s="67" t="n"/>
      <c r="G170" s="67" t="inlineStr">
        <is>
          <t>quả</t>
        </is>
      </c>
      <c r="H170" s="67" t="n">
        <v>3900</v>
      </c>
      <c r="I170" s="66" t="n"/>
      <c r="J170" s="66" t="n"/>
      <c r="K170" s="66" t="n"/>
      <c r="L170" s="66" t="n"/>
      <c r="M170" s="64" t="inlineStr">
        <is>
          <t>NLT0105</t>
        </is>
      </c>
    </row>
    <row r="171" ht="27" customHeight="1">
      <c r="A171" s="67" t="inlineStr">
        <is>
          <t>NLG0005</t>
        </is>
      </c>
      <c r="B171" s="68" t="inlineStr">
        <is>
          <t>Gạo khang dân</t>
        </is>
      </c>
      <c r="C171" s="69" t="n"/>
      <c r="D171" s="67" t="inlineStr">
        <is>
          <t>Thái dương</t>
        </is>
      </c>
      <c r="E171" s="67" t="n"/>
      <c r="F171" s="67" t="n"/>
      <c r="G171" s="67" t="inlineStr">
        <is>
          <t>kg</t>
        </is>
      </c>
      <c r="H171" s="67" t="n">
        <v>12500</v>
      </c>
      <c r="I171" s="66" t="n"/>
      <c r="J171" s="66" t="n"/>
      <c r="K171" s="66" t="n"/>
      <c r="L171" s="66" t="n"/>
      <c r="M171" s="64" t="inlineStr">
        <is>
          <t>NLG0005</t>
        </is>
      </c>
    </row>
    <row r="172" ht="27" customHeight="1">
      <c r="A172" s="67" t="inlineStr">
        <is>
          <t>NLG0006</t>
        </is>
      </c>
      <c r="B172" s="68" t="inlineStr">
        <is>
          <t>Gạo nếp</t>
        </is>
      </c>
      <c r="C172" s="69" t="n"/>
      <c r="D172" s="67" t="inlineStr">
        <is>
          <t>Thái dương</t>
        </is>
      </c>
      <c r="E172" s="67" t="n"/>
      <c r="F172" s="67" t="n"/>
      <c r="G172" s="67" t="inlineStr">
        <is>
          <t>kg</t>
        </is>
      </c>
      <c r="H172" s="67" t="n">
        <v>35000</v>
      </c>
      <c r="I172" s="66" t="n"/>
      <c r="J172" s="66" t="n"/>
      <c r="K172" s="66" t="n"/>
      <c r="L172" s="66" t="n"/>
      <c r="M172" s="64" t="inlineStr">
        <is>
          <t>NLG0006</t>
        </is>
      </c>
    </row>
    <row r="173" ht="27" customHeight="1">
      <c r="A173" s="67" t="inlineStr">
        <is>
          <t>NPV0103</t>
        </is>
      </c>
      <c r="B173" s="68" t="inlineStr">
        <is>
          <t>Nước rửa chén power 3.8l/can</t>
        </is>
      </c>
      <c r="C173" s="69" t="n"/>
      <c r="D173" s="67" t="inlineStr">
        <is>
          <t>Thái dương</t>
        </is>
      </c>
      <c r="E173" s="67" t="n"/>
      <c r="F173" s="67" t="n"/>
      <c r="G173" s="67" t="inlineStr">
        <is>
          <t>can</t>
        </is>
      </c>
      <c r="H173" s="67" t="n">
        <v>51000</v>
      </c>
      <c r="I173" s="66" t="n"/>
      <c r="J173" s="66" t="n"/>
      <c r="K173" s="66" t="n"/>
      <c r="L173" s="66" t="n"/>
      <c r="M173" s="64" t="inlineStr">
        <is>
          <t>NPV0103</t>
        </is>
      </c>
    </row>
    <row r="174" ht="27" customHeight="1">
      <c r="A174" s="67" t="inlineStr">
        <is>
          <t>NPG0361</t>
        </is>
      </c>
      <c r="B174" s="68" t="inlineStr">
        <is>
          <t>Quẩy</t>
        </is>
      </c>
      <c r="C174" s="69" t="n"/>
      <c r="D174" s="67" t="inlineStr">
        <is>
          <t>Thái dương</t>
        </is>
      </c>
      <c r="E174" s="67" t="n"/>
      <c r="F174" s="67" t="n"/>
      <c r="G174" s="67" t="inlineStr">
        <is>
          <t>Cái</t>
        </is>
      </c>
      <c r="H174" s="67" t="n">
        <v>1300</v>
      </c>
      <c r="I174" s="66" t="n"/>
      <c r="J174" s="66" t="n"/>
      <c r="K174" s="66" t="n"/>
      <c r="L174" s="66" t="n"/>
      <c r="M174" s="64" t="inlineStr">
        <is>
          <t>NPG0361</t>
        </is>
      </c>
    </row>
    <row r="175" ht="27" customHeight="1">
      <c r="A175" s="67" t="inlineStr">
        <is>
          <t>NLR0077</t>
        </is>
      </c>
      <c r="B175" s="68" t="inlineStr">
        <is>
          <t>Giềng xay</t>
        </is>
      </c>
      <c r="C175" s="69" t="n"/>
      <c r="D175" s="67" t="inlineStr">
        <is>
          <t>Thái dương</t>
        </is>
      </c>
      <c r="E175" s="67" t="n"/>
      <c r="F175" s="67" t="n"/>
      <c r="G175" s="67" t="inlineStr">
        <is>
          <t>kg</t>
        </is>
      </c>
      <c r="H175" s="67" t="n">
        <v>15000</v>
      </c>
      <c r="I175" s="66" t="n"/>
      <c r="J175" s="66" t="n"/>
      <c r="K175" s="66" t="n"/>
      <c r="L175" s="66" t="n"/>
      <c r="M175" s="64" t="inlineStr">
        <is>
          <t>NLR0077</t>
        </is>
      </c>
    </row>
    <row r="176" ht="27" customHeight="1">
      <c r="A176" s="67" t="inlineStr">
        <is>
          <t>NLQ0013</t>
        </is>
      </c>
      <c r="B176" s="68" t="inlineStr">
        <is>
          <t>Dưa hấu 1,8- 3kg/quả</t>
        </is>
      </c>
      <c r="C176" s="69" t="n"/>
      <c r="D176" s="67" t="inlineStr">
        <is>
          <t>Thái dương</t>
        </is>
      </c>
      <c r="E176" s="67" t="n"/>
      <c r="F176" s="67" t="n"/>
      <c r="G176" s="67" t="inlineStr">
        <is>
          <t>kg</t>
        </is>
      </c>
      <c r="H176" s="67" t="n">
        <v>10000</v>
      </c>
      <c r="I176" s="66" t="n"/>
      <c r="J176" s="66" t="n"/>
      <c r="K176" s="66" t="n"/>
      <c r="L176" s="66" t="n"/>
      <c r="M176" s="64" t="inlineStr">
        <is>
          <t>NLQ0013</t>
        </is>
      </c>
    </row>
    <row r="177" ht="27" customHeight="1">
      <c r="A177" s="67" t="inlineStr">
        <is>
          <t>NLR0071</t>
        </is>
      </c>
      <c r="B177" s="68" t="inlineStr">
        <is>
          <t>Đu đủ</t>
        </is>
      </c>
      <c r="C177" s="69" t="n"/>
      <c r="D177" s="67" t="inlineStr">
        <is>
          <t>Thái dương</t>
        </is>
      </c>
      <c r="E177" s="67" t="n"/>
      <c r="F177" s="67" t="n"/>
      <c r="G177" s="67" t="inlineStr">
        <is>
          <t>kg</t>
        </is>
      </c>
      <c r="H177" s="67" t="n">
        <v>10000</v>
      </c>
      <c r="I177" s="66" t="n"/>
      <c r="J177" s="66" t="n"/>
      <c r="K177" s="66" t="n"/>
      <c r="L177" s="66" t="n"/>
      <c r="M177" s="64" t="inlineStr">
        <is>
          <t>NLR0071</t>
        </is>
      </c>
    </row>
    <row r="178" ht="27" customHeight="1">
      <c r="A178" s="67" t="inlineStr">
        <is>
          <t>NPG0049</t>
        </is>
      </c>
      <c r="B178" s="68" t="inlineStr">
        <is>
          <t>Dầu hào Maggi 820g/chai, 12 chai/thùng</t>
        </is>
      </c>
      <c r="C178" s="69" t="n"/>
      <c r="D178" s="67" t="inlineStr">
        <is>
          <t>Thái dương</t>
        </is>
      </c>
      <c r="E178" s="67" t="n"/>
      <c r="F178" s="67" t="n"/>
      <c r="G178" s="67" t="inlineStr">
        <is>
          <t>Chai</t>
        </is>
      </c>
      <c r="H178" s="67" t="n">
        <v>28000</v>
      </c>
      <c r="I178" s="66" t="n"/>
      <c r="J178" s="66" t="n"/>
      <c r="K178" s="66" t="n"/>
      <c r="L178" s="66" t="n"/>
      <c r="M178" s="64" t="inlineStr">
        <is>
          <t>NPG0049</t>
        </is>
      </c>
    </row>
    <row r="179" ht="27" customHeight="1">
      <c r="A179" s="67" t="inlineStr">
        <is>
          <t>NPG0105</t>
        </is>
      </c>
      <c r="B179" s="68" t="inlineStr">
        <is>
          <t>Nước cốt dừa wonderfarm 400ml/lon</t>
        </is>
      </c>
      <c r="C179" s="69" t="n"/>
      <c r="D179" s="67" t="inlineStr">
        <is>
          <t>Thái dương</t>
        </is>
      </c>
      <c r="E179" s="67" t="n"/>
      <c r="F179" s="67" t="n"/>
      <c r="G179" s="67" t="inlineStr">
        <is>
          <t>Hộp</t>
        </is>
      </c>
      <c r="H179" s="67" t="n">
        <v>34000</v>
      </c>
      <c r="I179" s="66" t="n"/>
      <c r="J179" s="66" t="n"/>
      <c r="K179" s="66" t="n"/>
      <c r="L179" s="66" t="n"/>
      <c r="M179" s="64" t="inlineStr">
        <is>
          <t>NPG0105</t>
        </is>
      </c>
    </row>
    <row r="180" ht="27" customHeight="1">
      <c r="A180" s="67" t="inlineStr">
        <is>
          <t>NPG0050</t>
        </is>
      </c>
      <c r="B180" s="68" t="inlineStr">
        <is>
          <t>Dầu mè Mezan 250ml/chai</t>
        </is>
      </c>
      <c r="C180" s="69" t="n"/>
      <c r="D180" s="67" t="inlineStr">
        <is>
          <t>Thái dương</t>
        </is>
      </c>
      <c r="E180" s="67" t="n"/>
      <c r="F180" s="67" t="n"/>
      <c r="G180" s="67" t="inlineStr">
        <is>
          <t>Chai</t>
        </is>
      </c>
      <c r="H180" s="67" t="n">
        <v>60000</v>
      </c>
      <c r="I180" s="66" t="n"/>
      <c r="J180" s="66" t="n"/>
      <c r="K180" s="66" t="n"/>
      <c r="L180" s="66" t="n"/>
      <c r="M180" s="64" t="inlineStr">
        <is>
          <t>NPG0050</t>
        </is>
      </c>
    </row>
    <row r="181" ht="27" customHeight="1">
      <c r="A181" s="67" t="inlineStr">
        <is>
          <t>CCDC1V00134</t>
        </is>
      </c>
      <c r="B181" s="68" t="inlineStr">
        <is>
          <t>Chai nhựa trong 350ml + nắp đen</t>
        </is>
      </c>
      <c r="C181" s="69" t="n"/>
      <c r="D181" s="67" t="inlineStr">
        <is>
          <t>Thái dương</t>
        </is>
      </c>
      <c r="E181" s="67" t="n"/>
      <c r="F181" s="67" t="n"/>
      <c r="G181" s="67" t="inlineStr">
        <is>
          <t>Bộ</t>
        </is>
      </c>
      <c r="H181" s="67" t="n">
        <v>2600</v>
      </c>
      <c r="I181" s="66" t="n"/>
      <c r="J181" s="66" t="n"/>
      <c r="K181" s="66" t="n"/>
      <c r="L181" s="66" t="n"/>
      <c r="M181" s="64" t="inlineStr">
        <is>
          <t>CCDC1V00134</t>
        </is>
      </c>
    </row>
    <row r="182" ht="27" customHeight="1">
      <c r="A182" s="67" t="inlineStr">
        <is>
          <t>NLR0047</t>
        </is>
      </c>
      <c r="B182" s="68" t="inlineStr">
        <is>
          <t>Cùi dừa</t>
        </is>
      </c>
      <c r="C182" s="69" t="n"/>
      <c r="D182" s="67" t="inlineStr">
        <is>
          <t>Thái dương</t>
        </is>
      </c>
      <c r="E182" s="67" t="n"/>
      <c r="F182" s="67" t="n"/>
      <c r="G182" s="67" t="inlineStr">
        <is>
          <t>kg</t>
        </is>
      </c>
      <c r="H182" s="67" t="n">
        <v>60000</v>
      </c>
      <c r="I182" s="66" t="n"/>
      <c r="J182" s="66" t="n"/>
      <c r="K182" s="66" t="n"/>
      <c r="L182" s="66" t="n"/>
      <c r="M182" s="64" t="inlineStr">
        <is>
          <t>NLR0047</t>
        </is>
      </c>
    </row>
    <row r="183" ht="27" customHeight="1">
      <c r="A183" s="67" t="inlineStr">
        <is>
          <t>HHN0172</t>
        </is>
      </c>
      <c r="B183" s="68" t="inlineStr">
        <is>
          <t>Đá viên 5kg/túi</t>
        </is>
      </c>
      <c r="C183" s="69" t="n"/>
      <c r="D183" s="67" t="inlineStr">
        <is>
          <t>Thái dương</t>
        </is>
      </c>
      <c r="E183" s="67" t="n"/>
      <c r="F183" s="67" t="n"/>
      <c r="G183" s="67" t="inlineStr">
        <is>
          <t>Túi</t>
        </is>
      </c>
      <c r="H183" s="67" t="n">
        <v>12500</v>
      </c>
      <c r="I183" s="66" t="n"/>
      <c r="J183" s="66" t="n"/>
      <c r="K183" s="66" t="n"/>
      <c r="L183" s="66" t="n"/>
      <c r="M183" s="64" t="inlineStr">
        <is>
          <t>HHN0172</t>
        </is>
      </c>
    </row>
    <row r="184" ht="27" customHeight="1">
      <c r="A184" s="67" t="inlineStr">
        <is>
          <t>NLS0490</t>
        </is>
      </c>
      <c r="B184" s="68" t="inlineStr">
        <is>
          <t>Cá rô phi lọc 0,4-0,6kg/miếng</t>
        </is>
      </c>
      <c r="C184" s="69" t="n"/>
      <c r="D184" s="67" t="inlineStr">
        <is>
          <t>Thái dương</t>
        </is>
      </c>
      <c r="E184" s="67" t="n"/>
      <c r="F184" s="67" t="n"/>
      <c r="G184" s="67" t="inlineStr">
        <is>
          <t>kg</t>
        </is>
      </c>
      <c r="H184" s="67" t="n">
        <v>66000</v>
      </c>
      <c r="I184" s="66" t="n"/>
      <c r="J184" s="66" t="n"/>
      <c r="K184" s="66" t="n"/>
      <c r="L184" s="66" t="n"/>
      <c r="M184" s="64" t="inlineStr">
        <is>
          <t>NLS0490</t>
        </is>
      </c>
    </row>
    <row r="185" ht="27" customHeight="1">
      <c r="A185" s="67" t="inlineStr">
        <is>
          <t>NLS0131</t>
        </is>
      </c>
      <c r="B185" s="68" t="inlineStr">
        <is>
          <t>Cá rô phi lọc 0.25- 0.4kg/miếng</t>
        </is>
      </c>
      <c r="C185" s="69" t="n"/>
      <c r="D185" s="67" t="inlineStr">
        <is>
          <t>Thái dương</t>
        </is>
      </c>
      <c r="E185" s="67" t="n"/>
      <c r="F185" s="67" t="n"/>
      <c r="G185" s="67" t="inlineStr">
        <is>
          <t>kg</t>
        </is>
      </c>
      <c r="H185" s="67" t="n">
        <v>60000</v>
      </c>
      <c r="I185" s="66" t="n"/>
      <c r="J185" s="66" t="n"/>
      <c r="K185" s="66" t="n"/>
      <c r="L185" s="66" t="n"/>
      <c r="M185" s="64" t="inlineStr">
        <is>
          <t>NLS0131</t>
        </is>
      </c>
    </row>
    <row r="186" ht="27" customHeight="1">
      <c r="A186" s="67" t="inlineStr">
        <is>
          <t>NLR0157</t>
        </is>
      </c>
      <c r="B186" s="68" t="inlineStr">
        <is>
          <t>Rau ngót</t>
        </is>
      </c>
      <c r="C186" s="69" t="n"/>
      <c r="D186" s="67" t="inlineStr">
        <is>
          <t>Thái dương</t>
        </is>
      </c>
      <c r="E186" s="67" t="n"/>
      <c r="F186" s="67" t="n"/>
      <c r="G186" s="67" t="inlineStr">
        <is>
          <t>kg</t>
        </is>
      </c>
      <c r="H186" s="67" t="n">
        <v>17000</v>
      </c>
      <c r="I186" s="66" t="n"/>
      <c r="J186" s="66" t="n"/>
      <c r="K186" s="66" t="n"/>
      <c r="L186" s="66" t="n"/>
      <c r="M186" s="64" t="inlineStr">
        <is>
          <t>NLR0157</t>
        </is>
      </c>
    </row>
    <row r="187" ht="27" customHeight="1">
      <c r="A187" s="67" t="inlineStr">
        <is>
          <t>CCDC1V00135</t>
        </is>
      </c>
      <c r="B187" s="68" t="inlineStr">
        <is>
          <t>Bình xịt côn trùng Jumbo Vape 600ml</t>
        </is>
      </c>
      <c r="C187" s="69" t="n"/>
      <c r="D187" s="67" t="inlineStr">
        <is>
          <t>Thái dương</t>
        </is>
      </c>
      <c r="E187" s="67" t="n"/>
      <c r="F187" s="67" t="n"/>
      <c r="G187" s="67" t="inlineStr">
        <is>
          <t>Chai</t>
        </is>
      </c>
      <c r="H187" s="67" t="n">
        <v>65000</v>
      </c>
      <c r="I187" s="66" t="n"/>
      <c r="J187" s="66" t="n"/>
      <c r="K187" s="66" t="n"/>
      <c r="L187" s="66" t="n"/>
      <c r="M187" s="64" t="inlineStr">
        <is>
          <t>CCDC1V00135</t>
        </is>
      </c>
    </row>
    <row r="188" ht="27" customHeight="1">
      <c r="A188" s="67" t="inlineStr">
        <is>
          <t>NLR0058</t>
        </is>
      </c>
      <c r="B188" s="68" t="inlineStr">
        <is>
          <t>Dứa chín sơ chế (kg)</t>
        </is>
      </c>
      <c r="C188" s="69" t="n"/>
      <c r="D188" s="67" t="inlineStr">
        <is>
          <t>Thái dương</t>
        </is>
      </c>
      <c r="E188" s="67" t="n"/>
      <c r="F188" s="67" t="n"/>
      <c r="G188" s="67" t="inlineStr">
        <is>
          <t>kg</t>
        </is>
      </c>
      <c r="H188" s="67" t="n">
        <v>28000</v>
      </c>
      <c r="I188" s="66" t="n"/>
      <c r="J188" s="66" t="n"/>
      <c r="K188" s="66" t="n"/>
      <c r="L188" s="66" t="n"/>
      <c r="M188" s="64" t="inlineStr">
        <is>
          <t>NLR0058</t>
        </is>
      </c>
    </row>
    <row r="189" ht="27" customHeight="1">
      <c r="A189" s="67" t="inlineStr">
        <is>
          <t>NLR0105</t>
        </is>
      </c>
      <c r="B189" s="68" t="inlineStr">
        <is>
          <t>Lá mắc mật (kg)</t>
        </is>
      </c>
      <c r="C189" s="69" t="n"/>
      <c r="D189" s="67" t="inlineStr">
        <is>
          <t>Thái dương</t>
        </is>
      </c>
      <c r="E189" s="67" t="n"/>
      <c r="F189" s="67" t="n"/>
      <c r="G189" s="67" t="inlineStr">
        <is>
          <t>kg</t>
        </is>
      </c>
      <c r="H189" s="67" t="n">
        <v>30000</v>
      </c>
      <c r="I189" s="66" t="n"/>
      <c r="J189" s="66" t="n"/>
      <c r="K189" s="66" t="n"/>
      <c r="L189" s="66" t="n"/>
      <c r="M189" s="64" t="inlineStr">
        <is>
          <t>NLR0105</t>
        </is>
      </c>
    </row>
    <row r="190" ht="27" customHeight="1">
      <c r="A190" s="67" t="inlineStr">
        <is>
          <t>NLT0694</t>
        </is>
      </c>
      <c r="B190" s="68" t="inlineStr">
        <is>
          <t>Gà ta sơ chế nguyên con: 1,7-2,5kg/con</t>
        </is>
      </c>
      <c r="C190" s="69" t="n"/>
      <c r="D190" s="67" t="inlineStr">
        <is>
          <t>Thái dương</t>
        </is>
      </c>
      <c r="E190" s="67" t="n"/>
      <c r="F190" s="67" t="n"/>
      <c r="G190" s="67" t="inlineStr">
        <is>
          <t>kg</t>
        </is>
      </c>
      <c r="H190" s="67" t="n">
        <v>90000</v>
      </c>
      <c r="I190" s="66" t="n"/>
      <c r="J190" s="66" t="n"/>
      <c r="K190" s="66" t="n"/>
      <c r="L190" s="66" t="n"/>
      <c r="M190" s="64" t="inlineStr">
        <is>
          <t>NLT0694</t>
        </is>
      </c>
    </row>
    <row r="191" ht="27" customHeight="1">
      <c r="A191" s="67" t="inlineStr">
        <is>
          <t>NLR0104</t>
        </is>
      </c>
      <c r="B191" s="68" t="inlineStr">
        <is>
          <t>Lá lốt không cành</t>
        </is>
      </c>
      <c r="C191" s="69" t="n"/>
      <c r="D191" s="67" t="inlineStr">
        <is>
          <t>Thái dương</t>
        </is>
      </c>
      <c r="E191" s="67" t="n"/>
      <c r="F191" s="67" t="n"/>
      <c r="G191" s="67" t="inlineStr">
        <is>
          <t>kg</t>
        </is>
      </c>
      <c r="H191" s="67" t="n">
        <v>20000</v>
      </c>
      <c r="I191" s="66" t="n"/>
      <c r="J191" s="66" t="n"/>
      <c r="K191" s="66" t="n"/>
      <c r="L191" s="66" t="n"/>
      <c r="M191" s="64" t="inlineStr">
        <is>
          <t>NLR0104</t>
        </is>
      </c>
    </row>
    <row r="192" ht="27" customHeight="1">
      <c r="A192" s="67" t="inlineStr">
        <is>
          <t>NLR0019</t>
        </is>
      </c>
      <c r="B192" s="68" t="inlineStr">
        <is>
          <t>Ngô ngọt tách hạt</t>
        </is>
      </c>
      <c r="C192" s="69" t="n"/>
      <c r="D192" s="67" t="inlineStr">
        <is>
          <t>Thái dương</t>
        </is>
      </c>
      <c r="E192" s="67" t="n"/>
      <c r="F192" s="67" t="n"/>
      <c r="G192" s="67" t="inlineStr">
        <is>
          <t>kg</t>
        </is>
      </c>
      <c r="H192" s="67" t="n">
        <v>28000</v>
      </c>
      <c r="I192" s="66" t="n"/>
      <c r="J192" s="66" t="n"/>
      <c r="K192" s="66" t="n"/>
      <c r="L192" s="66" t="n"/>
      <c r="M192" s="64" t="inlineStr">
        <is>
          <t>NLR0019</t>
        </is>
      </c>
    </row>
    <row r="193" ht="27" customHeight="1">
      <c r="A193" s="67" t="inlineStr">
        <is>
          <t>NLS0189</t>
        </is>
      </c>
      <c r="B193" s="68" t="inlineStr">
        <is>
          <t>Cá Cơm khô xanh</t>
        </is>
      </c>
      <c r="C193" s="69" t="n"/>
      <c r="D193" s="67" t="inlineStr">
        <is>
          <t>Thái dương</t>
        </is>
      </c>
      <c r="E193" s="67" t="n"/>
      <c r="F193" s="67" t="n"/>
      <c r="G193" s="67" t="inlineStr">
        <is>
          <t>kg</t>
        </is>
      </c>
      <c r="H193" s="67" t="n">
        <v>106000</v>
      </c>
      <c r="I193" s="66" t="n"/>
      <c r="J193" s="66" t="n"/>
      <c r="K193" s="66" t="n"/>
      <c r="L193" s="66" t="n"/>
      <c r="M193" s="64" t="inlineStr">
        <is>
          <t>NLS0189</t>
        </is>
      </c>
    </row>
    <row r="194" ht="27" customHeight="1">
      <c r="A194" s="67" t="inlineStr">
        <is>
          <t>NPG0313</t>
        </is>
      </c>
      <c r="B194" s="68" t="inlineStr">
        <is>
          <t>Dầu hào quê tôi 2l/can</t>
        </is>
      </c>
      <c r="C194" s="69" t="n"/>
      <c r="D194" s="67" t="inlineStr">
        <is>
          <t>Thái dương</t>
        </is>
      </c>
      <c r="E194" s="67" t="n"/>
      <c r="F194" s="67" t="n"/>
      <c r="G194" s="67" t="inlineStr">
        <is>
          <t>can</t>
        </is>
      </c>
      <c r="H194" s="67" t="n">
        <v>65000</v>
      </c>
      <c r="I194" s="66" t="n"/>
      <c r="J194" s="66" t="n"/>
      <c r="K194" s="66" t="n"/>
      <c r="L194" s="66" t="n"/>
      <c r="M194" s="64" t="inlineStr">
        <is>
          <t>NPG0313</t>
        </is>
      </c>
    </row>
    <row r="195" ht="27" customHeight="1">
      <c r="A195" s="70" t="inlineStr">
        <is>
          <t>NPG0166</t>
        </is>
      </c>
      <c r="B195" s="71" t="inlineStr">
        <is>
          <t>Bơ Meizan hộp 800g</t>
        </is>
      </c>
      <c r="C195" s="70" t="inlineStr">
        <is>
          <t>NCC00480</t>
        </is>
      </c>
      <c r="D195" s="70" t="inlineStr">
        <is>
          <t>Phù sa</t>
        </is>
      </c>
      <c r="E195" s="70" t="inlineStr"/>
      <c r="F195" s="70" t="n"/>
      <c r="G195" s="70" t="inlineStr">
        <is>
          <t>Cái</t>
        </is>
      </c>
      <c r="H195" s="72" t="n">
        <v>43000</v>
      </c>
      <c r="I195" s="73" t="n">
        <v>45870</v>
      </c>
      <c r="J195" s="73" t="n">
        <v>45900</v>
      </c>
      <c r="K195" s="74" t="inlineStr">
        <is>
          <t>1</t>
        </is>
      </c>
      <c r="L195" s="74" t="inlineStr">
        <is>
          <t>NPG0166</t>
        </is>
      </c>
      <c r="M195" s="64" t="inlineStr">
        <is>
          <t>NPG0166</t>
        </is>
      </c>
    </row>
    <row r="196" ht="27" customHeight="1">
      <c r="A196" s="70" t="inlineStr">
        <is>
          <t>DPG0001</t>
        </is>
      </c>
      <c r="B196" s="71" t="inlineStr">
        <is>
          <t>Găng tay cao su</t>
        </is>
      </c>
      <c r="C196" s="70" t="inlineStr">
        <is>
          <t>NNCC00972</t>
        </is>
      </c>
      <c r="D196" s="70" t="inlineStr">
        <is>
          <t>Phù sa</t>
        </is>
      </c>
      <c r="E196" s="70" t="inlineStr">
        <is>
          <t>B-1523</t>
        </is>
      </c>
      <c r="F196" s="70" t="n"/>
      <c r="G196" s="70" t="inlineStr">
        <is>
          <t>Cái</t>
        </is>
      </c>
      <c r="H196" s="72" t="n">
        <v>16500</v>
      </c>
      <c r="I196" s="73" t="n">
        <v>45870</v>
      </c>
      <c r="J196" s="73" t="n">
        <v>45900</v>
      </c>
      <c r="K196" s="74" t="inlineStr">
        <is>
          <t>1</t>
        </is>
      </c>
      <c r="L196" s="74" t="inlineStr">
        <is>
          <t>DPG0001</t>
        </is>
      </c>
      <c r="M196" s="64" t="inlineStr">
        <is>
          <t>DPG0001</t>
        </is>
      </c>
    </row>
    <row r="197" ht="27" customHeight="1">
      <c r="A197" s="70" t="inlineStr">
        <is>
          <t>HHB0022</t>
        </is>
      </c>
      <c r="B197" s="71" t="inlineStr">
        <is>
          <t>dừa khô hữu nghị 275g/ gói</t>
        </is>
      </c>
      <c r="C197" s="70" t="inlineStr">
        <is>
          <t>NCC00480</t>
        </is>
      </c>
      <c r="D197" s="70" t="inlineStr">
        <is>
          <t>Phù sa</t>
        </is>
      </c>
      <c r="E197" s="70" t="inlineStr"/>
      <c r="F197" s="70" t="n"/>
      <c r="G197" s="70" t="inlineStr">
        <is>
          <t>Chiếc</t>
        </is>
      </c>
      <c r="H197" s="72" t="n">
        <v>17000</v>
      </c>
      <c r="I197" s="73" t="n">
        <v>45870</v>
      </c>
      <c r="J197" s="73" t="n">
        <v>45900</v>
      </c>
      <c r="K197" s="74" t="inlineStr">
        <is>
          <t>1</t>
        </is>
      </c>
      <c r="L197" s="74" t="inlineStr">
        <is>
          <t>HHB0022</t>
        </is>
      </c>
      <c r="M197" s="64" t="inlineStr">
        <is>
          <t>HHB0022</t>
        </is>
      </c>
    </row>
    <row r="198" ht="27" customHeight="1">
      <c r="A198" s="70" t="inlineStr">
        <is>
          <t>HHN0022</t>
        </is>
      </c>
      <c r="B198" s="71" t="inlineStr">
        <is>
          <t>Coca chai 1,5l</t>
        </is>
      </c>
      <c r="C198" s="70" t="inlineStr">
        <is>
          <t>NNCC01256</t>
        </is>
      </c>
      <c r="D198" s="70" t="inlineStr">
        <is>
          <t>Phù sa</t>
        </is>
      </c>
      <c r="E198" s="70" t="inlineStr"/>
      <c r="F198" s="70" t="n"/>
      <c r="G198" s="70" t="inlineStr">
        <is>
          <t>Lần</t>
        </is>
      </c>
      <c r="H198" s="72" t="n">
        <v>17000</v>
      </c>
      <c r="I198" s="73" t="n">
        <v>45853</v>
      </c>
      <c r="J198" s="73" t="n">
        <v>45900</v>
      </c>
      <c r="K198" s="74" t="inlineStr">
        <is>
          <t>1</t>
        </is>
      </c>
      <c r="L198" s="74" t="inlineStr">
        <is>
          <t>HHN0022</t>
        </is>
      </c>
      <c r="M198" s="64" t="inlineStr">
        <is>
          <t>HHN0022</t>
        </is>
      </c>
    </row>
    <row r="199" ht="27" customHeight="1">
      <c r="A199" s="70" t="inlineStr">
        <is>
          <t>HHN0063</t>
        </is>
      </c>
      <c r="B199" s="71" t="inlineStr">
        <is>
          <t>Nước 7up 1.5 lít/chai</t>
        </is>
      </c>
      <c r="C199" s="70" t="inlineStr">
        <is>
          <t>NCC00200</t>
        </is>
      </c>
      <c r="D199" s="70" t="inlineStr">
        <is>
          <t>Phù sa</t>
        </is>
      </c>
      <c r="E199" s="70" t="inlineStr">
        <is>
          <t>B-1523</t>
        </is>
      </c>
      <c r="F199" s="70" t="n"/>
      <c r="G199" s="70" t="inlineStr">
        <is>
          <t>Cái</t>
        </is>
      </c>
      <c r="H199" s="72" t="n">
        <v>17000</v>
      </c>
      <c r="I199" s="73" t="n">
        <v>45870</v>
      </c>
      <c r="J199" s="73" t="n">
        <v>45900</v>
      </c>
      <c r="K199" s="74" t="inlineStr">
        <is>
          <t>1</t>
        </is>
      </c>
      <c r="L199" s="74" t="inlineStr">
        <is>
          <t>HHN0063</t>
        </is>
      </c>
      <c r="M199" s="64" t="inlineStr">
        <is>
          <t>HHN0063</t>
        </is>
      </c>
    </row>
    <row r="200" ht="27" customHeight="1">
      <c r="A200" s="70" t="inlineStr">
        <is>
          <t>HHP0015</t>
        </is>
      </c>
      <c r="B200" s="71" t="inlineStr">
        <is>
          <t>Trà mạch (10g*30 gói/hộp)</t>
        </is>
      </c>
      <c r="C200" s="70" t="inlineStr">
        <is>
          <t>NCC00480</t>
        </is>
      </c>
      <c r="D200" s="70" t="inlineStr">
        <is>
          <t>Phù sa</t>
        </is>
      </c>
      <c r="E200" s="70" t="inlineStr"/>
      <c r="F200" s="70" t="n"/>
      <c r="G200" s="70" t="inlineStr">
        <is>
          <t>Cái</t>
        </is>
      </c>
      <c r="H200" s="72" t="n">
        <v>80000</v>
      </c>
      <c r="I200" s="73" t="n">
        <v>45870</v>
      </c>
      <c r="J200" s="73" t="n">
        <v>45900</v>
      </c>
      <c r="K200" s="74" t="inlineStr">
        <is>
          <t>1</t>
        </is>
      </c>
      <c r="L200" s="74" t="inlineStr">
        <is>
          <t>HHP0015</t>
        </is>
      </c>
      <c r="M200" s="64" t="inlineStr">
        <is>
          <t>HHP0015</t>
        </is>
      </c>
    </row>
    <row r="201" ht="27" customHeight="1">
      <c r="A201" s="70" t="inlineStr">
        <is>
          <t>NLG0006</t>
        </is>
      </c>
      <c r="B201" s="71" t="inlineStr">
        <is>
          <t>Gạo nếp</t>
        </is>
      </c>
      <c r="C201" s="70" t="inlineStr">
        <is>
          <t>NNCC00920</t>
        </is>
      </c>
      <c r="D201" s="70" t="inlineStr">
        <is>
          <t>Phù sa</t>
        </is>
      </c>
      <c r="E201" s="70" t="inlineStr"/>
      <c r="F201" s="70" t="n"/>
      <c r="G201" s="70" t="inlineStr">
        <is>
          <t>Cái</t>
        </is>
      </c>
      <c r="H201" s="72" t="n">
        <v>23000</v>
      </c>
      <c r="I201" s="73" t="n">
        <v>45870</v>
      </c>
      <c r="J201" s="73" t="n">
        <v>45900</v>
      </c>
      <c r="K201" s="74" t="inlineStr">
        <is>
          <t>1</t>
        </is>
      </c>
      <c r="L201" s="74" t="inlineStr">
        <is>
          <t>NLG0006</t>
        </is>
      </c>
      <c r="M201" s="64" t="inlineStr">
        <is>
          <t>NLG0006</t>
        </is>
      </c>
    </row>
    <row r="202" ht="27" customHeight="1">
      <c r="A202" s="70" t="inlineStr">
        <is>
          <t>NLG0007</t>
        </is>
      </c>
      <c r="B202" s="71" t="inlineStr">
        <is>
          <t>Gạo nếp cẩm</t>
        </is>
      </c>
      <c r="C202" s="70" t="inlineStr">
        <is>
          <t>NNCC00972</t>
        </is>
      </c>
      <c r="D202" s="70" t="inlineStr">
        <is>
          <t>Phù sa</t>
        </is>
      </c>
      <c r="E202" s="70" t="inlineStr">
        <is>
          <t>B-1523</t>
        </is>
      </c>
      <c r="F202" s="70" t="n"/>
      <c r="G202" s="70" t="inlineStr">
        <is>
          <t>Cái</t>
        </is>
      </c>
      <c r="H202" s="72" t="n">
        <v>34800</v>
      </c>
      <c r="I202" s="73" t="n">
        <v>45870</v>
      </c>
      <c r="J202" s="73" t="n">
        <v>45900</v>
      </c>
      <c r="K202" s="74" t="inlineStr">
        <is>
          <t>1</t>
        </is>
      </c>
      <c r="L202" s="74" t="inlineStr">
        <is>
          <t>NLG0007</t>
        </is>
      </c>
      <c r="M202" s="64" t="inlineStr">
        <is>
          <t>NLG0007</t>
        </is>
      </c>
    </row>
    <row r="203" ht="27" customHeight="1">
      <c r="A203" s="70" t="inlineStr">
        <is>
          <t>NLG0009</t>
        </is>
      </c>
      <c r="B203" s="71" t="inlineStr">
        <is>
          <t>Gạo tám</t>
        </is>
      </c>
      <c r="C203" s="70" t="inlineStr">
        <is>
          <t>NCC00480</t>
        </is>
      </c>
      <c r="D203" s="70" t="inlineStr">
        <is>
          <t>Phù sa</t>
        </is>
      </c>
      <c r="E203" s="70" t="inlineStr"/>
      <c r="F203" s="70" t="n"/>
      <c r="G203" s="70" t="inlineStr">
        <is>
          <t>Cốc</t>
        </is>
      </c>
      <c r="H203" s="72" t="n">
        <v>14800</v>
      </c>
      <c r="I203" s="73" t="n">
        <v>45870</v>
      </c>
      <c r="J203" s="73" t="n">
        <v>45900</v>
      </c>
      <c r="K203" s="74" t="inlineStr">
        <is>
          <t>1</t>
        </is>
      </c>
      <c r="L203" s="74" t="inlineStr">
        <is>
          <t>NLG0009</t>
        </is>
      </c>
      <c r="M203" s="64" t="inlineStr">
        <is>
          <t>NLG0009</t>
        </is>
      </c>
    </row>
    <row r="204" ht="27" customHeight="1">
      <c r="A204" s="70" t="inlineStr">
        <is>
          <t>NLG0017</t>
        </is>
      </c>
      <c r="B204" s="71" t="inlineStr">
        <is>
          <t>Miến dong Túi 0.5kg/ túi</t>
        </is>
      </c>
      <c r="C204" s="70" t="inlineStr">
        <is>
          <t>NNCC00920</t>
        </is>
      </c>
      <c r="D204" s="70" t="inlineStr">
        <is>
          <t>Phù sa</t>
        </is>
      </c>
      <c r="E204" s="70" t="inlineStr"/>
      <c r="F204" s="70" t="n"/>
      <c r="G204" s="70" t="inlineStr">
        <is>
          <t>kg</t>
        </is>
      </c>
      <c r="H204" s="72" t="n">
        <v>55000</v>
      </c>
      <c r="I204" s="73" t="n">
        <v>45870</v>
      </c>
      <c r="J204" s="73" t="n">
        <v>45900</v>
      </c>
      <c r="K204" s="74" t="inlineStr">
        <is>
          <t>1</t>
        </is>
      </c>
      <c r="L204" s="74" t="inlineStr">
        <is>
          <t>NLG0017</t>
        </is>
      </c>
      <c r="M204" s="64" t="inlineStr">
        <is>
          <t>NLG0017</t>
        </is>
      </c>
    </row>
    <row r="205" ht="27" customHeight="1">
      <c r="A205" s="70" t="inlineStr">
        <is>
          <t>NLG0019</t>
        </is>
      </c>
      <c r="B205" s="71" t="inlineStr">
        <is>
          <t>Mỳ tôm hảo hảo 30 gói/thùng</t>
        </is>
      </c>
      <c r="C205" s="70" t="inlineStr">
        <is>
          <t>NNCC00972</t>
        </is>
      </c>
      <c r="D205" s="70" t="inlineStr">
        <is>
          <t>Phù sa</t>
        </is>
      </c>
      <c r="E205" s="70" t="inlineStr">
        <is>
          <t>B-1523</t>
        </is>
      </c>
      <c r="F205" s="70" t="n"/>
      <c r="G205" s="70" t="inlineStr">
        <is>
          <t>Cốc</t>
        </is>
      </c>
      <c r="H205" s="72" t="n">
        <v>3700</v>
      </c>
      <c r="I205" s="73" t="n">
        <v>45870</v>
      </c>
      <c r="J205" s="73" t="n">
        <v>45900</v>
      </c>
      <c r="K205" s="74" t="inlineStr">
        <is>
          <t>1</t>
        </is>
      </c>
      <c r="L205" s="74" t="inlineStr">
        <is>
          <t>NLG0019</t>
        </is>
      </c>
      <c r="M205" s="64" t="inlineStr">
        <is>
          <t>NLG0019</t>
        </is>
      </c>
    </row>
    <row r="206" ht="27" customHeight="1">
      <c r="A206" s="70" t="inlineStr">
        <is>
          <t>NLG0056</t>
        </is>
      </c>
      <c r="B206" s="71" t="inlineStr">
        <is>
          <t>Mỳ tôm cung đình 30 gói/thùng</t>
        </is>
      </c>
      <c r="C206" s="70" t="inlineStr">
        <is>
          <t>NCC00480</t>
        </is>
      </c>
      <c r="D206" s="70" t="inlineStr">
        <is>
          <t>Phù sa</t>
        </is>
      </c>
      <c r="E206" s="70" t="inlineStr"/>
      <c r="F206" s="70" t="n"/>
      <c r="G206" s="70" t="inlineStr">
        <is>
          <t>Hộp</t>
        </is>
      </c>
      <c r="H206" s="72" t="n">
        <v>7500</v>
      </c>
      <c r="I206" s="73" t="n">
        <v>45870</v>
      </c>
      <c r="J206" s="73" t="n">
        <v>45900</v>
      </c>
      <c r="K206" s="74" t="inlineStr">
        <is>
          <t>1</t>
        </is>
      </c>
      <c r="L206" s="74" t="inlineStr">
        <is>
          <t>NLG0056</t>
        </is>
      </c>
      <c r="M206" s="64" t="inlineStr">
        <is>
          <t>NLG0056</t>
        </is>
      </c>
    </row>
    <row r="207" ht="27" customHeight="1">
      <c r="A207" s="70" t="inlineStr">
        <is>
          <t>NLG0060</t>
        </is>
      </c>
      <c r="B207" s="71" t="inlineStr">
        <is>
          <t>Bánh đa cua</t>
        </is>
      </c>
      <c r="C207" s="70" t="inlineStr">
        <is>
          <t>NCC00480</t>
        </is>
      </c>
      <c r="D207" s="70" t="inlineStr">
        <is>
          <t>Phù sa</t>
        </is>
      </c>
      <c r="E207" s="70" t="inlineStr"/>
      <c r="F207" s="70" t="n"/>
      <c r="G207" s="70" t="inlineStr">
        <is>
          <t>Hộp</t>
        </is>
      </c>
      <c r="H207" s="72" t="n">
        <v>30000</v>
      </c>
      <c r="I207" s="73" t="n">
        <v>45870</v>
      </c>
      <c r="J207" s="73" t="n">
        <v>45900</v>
      </c>
      <c r="K207" s="74" t="inlineStr">
        <is>
          <t>1</t>
        </is>
      </c>
      <c r="L207" s="74" t="inlineStr">
        <is>
          <t>NLG0060</t>
        </is>
      </c>
      <c r="M207" s="64" t="inlineStr">
        <is>
          <t>NLG0060</t>
        </is>
      </c>
    </row>
    <row r="208" ht="27" customHeight="1">
      <c r="A208" s="70" t="inlineStr">
        <is>
          <t>NLG0062</t>
        </is>
      </c>
      <c r="B208" s="71" t="inlineStr">
        <is>
          <t>Bánh đa nem</t>
        </is>
      </c>
      <c r="C208" s="70" t="inlineStr">
        <is>
          <t>NCC00480</t>
        </is>
      </c>
      <c r="D208" s="70" t="inlineStr">
        <is>
          <t>Phù sa</t>
        </is>
      </c>
      <c r="E208" s="70" t="inlineStr"/>
      <c r="F208" s="70" t="n"/>
      <c r="G208" s="70" t="inlineStr">
        <is>
          <t>Cái</t>
        </is>
      </c>
      <c r="H208" s="72" t="n">
        <v>350</v>
      </c>
      <c r="I208" s="73" t="n">
        <v>45870</v>
      </c>
      <c r="J208" s="73" t="n">
        <v>45900</v>
      </c>
      <c r="K208" s="74" t="inlineStr">
        <is>
          <t>1</t>
        </is>
      </c>
      <c r="L208" s="74" t="inlineStr">
        <is>
          <t>NLG0062</t>
        </is>
      </c>
      <c r="M208" s="64" t="inlineStr">
        <is>
          <t>NLG0062</t>
        </is>
      </c>
    </row>
    <row r="209" ht="27" customHeight="1">
      <c r="A209" s="70" t="inlineStr">
        <is>
          <t>NLG0071</t>
        </is>
      </c>
      <c r="B209" s="71" t="inlineStr">
        <is>
          <t>Mỳ tôm hàn quốc My Shine 40 gói/ thùng</t>
        </is>
      </c>
      <c r="C209" s="70" t="inlineStr">
        <is>
          <t>NNCC00920</t>
        </is>
      </c>
      <c r="D209" s="70" t="inlineStr">
        <is>
          <t>Phù sa</t>
        </is>
      </c>
      <c r="E209" s="70" t="inlineStr"/>
      <c r="F209" s="70" t="n"/>
      <c r="G209" s="70" t="inlineStr">
        <is>
          <t>Cái</t>
        </is>
      </c>
      <c r="H209" s="72" t="n">
        <v>17000</v>
      </c>
      <c r="I209" s="73" t="n">
        <v>45870</v>
      </c>
      <c r="J209" s="73" t="n">
        <v>45900</v>
      </c>
      <c r="K209" s="74" t="inlineStr">
        <is>
          <t>1</t>
        </is>
      </c>
      <c r="L209" s="74" t="inlineStr">
        <is>
          <t>NLG0071</t>
        </is>
      </c>
      <c r="M209" s="64" t="inlineStr">
        <is>
          <t>NLG0071</t>
        </is>
      </c>
    </row>
    <row r="210" ht="27" customHeight="1">
      <c r="A210" s="70" t="inlineStr">
        <is>
          <t>NLG0072</t>
        </is>
      </c>
      <c r="B210" s="71" t="inlineStr">
        <is>
          <t>Bánh tấc xào 1kg/túi</t>
        </is>
      </c>
      <c r="C210" s="70" t="inlineStr">
        <is>
          <t>NCC00480</t>
        </is>
      </c>
      <c r="D210" s="70" t="inlineStr">
        <is>
          <t>Phù sa</t>
        </is>
      </c>
      <c r="E210" s="70" t="inlineStr"/>
      <c r="F210" s="70" t="n"/>
      <c r="G210" s="70" t="inlineStr">
        <is>
          <t>Cái</t>
        </is>
      </c>
      <c r="H210" s="72" t="n">
        <v>80000</v>
      </c>
      <c r="I210" s="73" t="n">
        <v>45870</v>
      </c>
      <c r="J210" s="73" t="n">
        <v>45900</v>
      </c>
      <c r="K210" s="74" t="inlineStr">
        <is>
          <t>1</t>
        </is>
      </c>
      <c r="L210" s="74" t="inlineStr">
        <is>
          <t>NLG0072</t>
        </is>
      </c>
      <c r="M210" s="64" t="inlineStr">
        <is>
          <t>NLG0072</t>
        </is>
      </c>
    </row>
    <row r="211" ht="27" customHeight="1">
      <c r="A211" s="70" t="inlineStr">
        <is>
          <t>NLG0074</t>
        </is>
      </c>
      <c r="B211" s="71" t="inlineStr">
        <is>
          <t>Gạo lứt</t>
        </is>
      </c>
      <c r="C211" s="70" t="inlineStr">
        <is>
          <t>NNCC00920</t>
        </is>
      </c>
      <c r="D211" s="70" t="inlineStr">
        <is>
          <t>Phù sa</t>
        </is>
      </c>
      <c r="E211" s="70" t="inlineStr"/>
      <c r="F211" s="70" t="n"/>
      <c r="G211" s="70" t="inlineStr">
        <is>
          <t>Cái</t>
        </is>
      </c>
      <c r="H211" s="72" t="n">
        <v>34000</v>
      </c>
      <c r="I211" s="73" t="n">
        <v>45870</v>
      </c>
      <c r="J211" s="73" t="n">
        <v>45900</v>
      </c>
      <c r="K211" s="74" t="inlineStr">
        <is>
          <t>1</t>
        </is>
      </c>
      <c r="L211" s="74" t="inlineStr">
        <is>
          <t>NLG0074</t>
        </is>
      </c>
      <c r="M211" s="64" t="inlineStr">
        <is>
          <t>NLG0074</t>
        </is>
      </c>
    </row>
    <row r="212" ht="27" customHeight="1">
      <c r="A212" s="70" t="inlineStr">
        <is>
          <t>NLG0075</t>
        </is>
      </c>
      <c r="B212" s="71" t="inlineStr">
        <is>
          <t>Bánh gạo nấu canh</t>
        </is>
      </c>
      <c r="C212" s="70" t="inlineStr">
        <is>
          <t>NNCC00972</t>
        </is>
      </c>
      <c r="D212" s="70" t="inlineStr">
        <is>
          <t>Phù sa</t>
        </is>
      </c>
      <c r="E212" s="70" t="inlineStr">
        <is>
          <t>B-1523</t>
        </is>
      </c>
      <c r="F212" s="70" t="n"/>
      <c r="G212" s="70" t="inlineStr">
        <is>
          <t>Cái</t>
        </is>
      </c>
      <c r="H212" s="72" t="n">
        <v>230000</v>
      </c>
      <c r="I212" s="73" t="n">
        <v>45870</v>
      </c>
      <c r="J212" s="73" t="n">
        <v>45900</v>
      </c>
      <c r="K212" s="74" t="inlineStr">
        <is>
          <t>1</t>
        </is>
      </c>
      <c r="L212" s="74" t="inlineStr">
        <is>
          <t>NLG0075</t>
        </is>
      </c>
      <c r="M212" s="64" t="inlineStr">
        <is>
          <t>NLG0075</t>
        </is>
      </c>
    </row>
    <row r="213" ht="29.1" customHeight="1">
      <c r="A213" s="70" t="inlineStr">
        <is>
          <t>NLG0084</t>
        </is>
      </c>
      <c r="B213" s="71" t="inlineStr">
        <is>
          <t>Mỳ cúc su Hàn Quốc</t>
        </is>
      </c>
      <c r="C213" s="70" t="inlineStr">
        <is>
          <t>NCC00480</t>
        </is>
      </c>
      <c r="D213" s="70" t="inlineStr">
        <is>
          <t>Phù sa</t>
        </is>
      </c>
      <c r="E213" s="70" t="inlineStr"/>
      <c r="F213" s="70" t="n"/>
      <c r="G213" s="70" t="inlineStr">
        <is>
          <t>Cái</t>
        </is>
      </c>
      <c r="H213" s="72" t="n">
        <v>260000</v>
      </c>
      <c r="I213" s="73" t="n">
        <v>45870</v>
      </c>
      <c r="J213" s="73" t="n">
        <v>45900</v>
      </c>
      <c r="K213" s="74" t="inlineStr">
        <is>
          <t>1</t>
        </is>
      </c>
      <c r="L213" s="74" t="inlineStr">
        <is>
          <t>NLG0084</t>
        </is>
      </c>
      <c r="M213" s="64" t="inlineStr">
        <is>
          <t>NLG0084</t>
        </is>
      </c>
    </row>
    <row r="214" ht="29.1" customHeight="1">
      <c r="A214" s="70" t="inlineStr">
        <is>
          <t>NLG0095</t>
        </is>
      </c>
      <c r="B214" s="71" t="inlineStr">
        <is>
          <t>Miến khô Hàn Quốc 1kg/gói</t>
        </is>
      </c>
      <c r="C214" s="70" t="inlineStr">
        <is>
          <t>NCC00480</t>
        </is>
      </c>
      <c r="D214" s="70" t="inlineStr">
        <is>
          <t>Phù sa</t>
        </is>
      </c>
      <c r="E214" s="70" t="inlineStr"/>
      <c r="F214" s="70" t="n"/>
      <c r="G214" s="70" t="inlineStr">
        <is>
          <t>Cái</t>
        </is>
      </c>
      <c r="H214" s="72" t="n">
        <v>100000</v>
      </c>
      <c r="I214" s="73" t="n">
        <v>45870</v>
      </c>
      <c r="J214" s="73" t="n">
        <v>45900</v>
      </c>
      <c r="K214" s="74" t="inlineStr">
        <is>
          <t>1</t>
        </is>
      </c>
      <c r="L214" s="74" t="inlineStr">
        <is>
          <t>NLG0095</t>
        </is>
      </c>
      <c r="M214" s="64" t="inlineStr">
        <is>
          <t>NLG0095</t>
        </is>
      </c>
    </row>
    <row r="215" ht="29.1" customHeight="1">
      <c r="A215" s="70" t="inlineStr">
        <is>
          <t>NLG0117</t>
        </is>
      </c>
      <c r="B215" s="71" t="inlineStr">
        <is>
          <t>Ngũ vị hương Hoàng Thịnh 5g/gói</t>
        </is>
      </c>
      <c r="C215" s="70" t="inlineStr">
        <is>
          <t>NCC00480</t>
        </is>
      </c>
      <c r="D215" s="70" t="inlineStr">
        <is>
          <t>Phù sa</t>
        </is>
      </c>
      <c r="E215" s="70" t="inlineStr"/>
      <c r="F215" s="70" t="n"/>
      <c r="G215" s="70" t="inlineStr">
        <is>
          <t>Cái</t>
        </is>
      </c>
      <c r="H215" s="72" t="n">
        <v>500</v>
      </c>
      <c r="I215" s="73" t="n">
        <v>45870</v>
      </c>
      <c r="J215" s="73" t="n">
        <v>45900</v>
      </c>
      <c r="K215" s="74" t="inlineStr">
        <is>
          <t>1</t>
        </is>
      </c>
      <c r="L215" s="74" t="inlineStr">
        <is>
          <t>NLG0117</t>
        </is>
      </c>
      <c r="M215" s="64" t="inlineStr">
        <is>
          <t>NLG0117</t>
        </is>
      </c>
    </row>
    <row r="216" ht="29.1" customHeight="1">
      <c r="A216" s="70" t="inlineStr">
        <is>
          <t>NLG0152</t>
        </is>
      </c>
      <c r="B216" s="71" t="inlineStr">
        <is>
          <t>Xì dầu Hàn Quốc 13lít/can</t>
        </is>
      </c>
      <c r="C216" s="70" t="inlineStr">
        <is>
          <t>NNCC00920</t>
        </is>
      </c>
      <c r="D216" s="70" t="inlineStr">
        <is>
          <t>Phù sa</t>
        </is>
      </c>
      <c r="E216" s="70" t="inlineStr"/>
      <c r="F216" s="70" t="n"/>
      <c r="G216" s="70" t="inlineStr">
        <is>
          <t>Gói</t>
        </is>
      </c>
      <c r="H216" s="72" t="n">
        <v>55000</v>
      </c>
      <c r="I216" s="73" t="n">
        <v>45870</v>
      </c>
      <c r="J216" s="73" t="n">
        <v>45900</v>
      </c>
      <c r="K216" s="74" t="inlineStr">
        <is>
          <t>1</t>
        </is>
      </c>
      <c r="L216" s="74" t="inlineStr">
        <is>
          <t>NLG0152</t>
        </is>
      </c>
      <c r="M216" s="64" t="inlineStr">
        <is>
          <t>NLG0152</t>
        </is>
      </c>
    </row>
    <row r="217" ht="29.1" customHeight="1">
      <c r="A217" s="70" t="inlineStr">
        <is>
          <t>NLG0186</t>
        </is>
      </c>
      <c r="B217" s="71" t="inlineStr">
        <is>
          <t>Mạch nha HQ 10 kg/can</t>
        </is>
      </c>
      <c r="C217" s="70" t="inlineStr">
        <is>
          <t>NCC00480</t>
        </is>
      </c>
      <c r="D217" s="70" t="inlineStr">
        <is>
          <t>Phù sa</t>
        </is>
      </c>
      <c r="E217" s="70" t="inlineStr"/>
      <c r="F217" s="70" t="n"/>
      <c r="G217" s="70" t="inlineStr">
        <is>
          <t>Cái</t>
        </is>
      </c>
      <c r="H217" s="72" t="n">
        <v>59000</v>
      </c>
      <c r="I217" s="73" t="n">
        <v>45870</v>
      </c>
      <c r="J217" s="73" t="n">
        <v>45900</v>
      </c>
      <c r="K217" s="74" t="inlineStr">
        <is>
          <t>1</t>
        </is>
      </c>
      <c r="L217" s="74" t="inlineStr">
        <is>
          <t>NLG0186</t>
        </is>
      </c>
      <c r="M217" s="64" t="inlineStr">
        <is>
          <t>NLG0186</t>
        </is>
      </c>
    </row>
    <row r="218" ht="29.1" customHeight="1">
      <c r="A218" s="70" t="inlineStr">
        <is>
          <t>NLG0204</t>
        </is>
      </c>
      <c r="B218" s="71" t="inlineStr">
        <is>
          <t>Bánh đa nem Làng Chều (100 lá/tệp)</t>
        </is>
      </c>
      <c r="C218" s="70" t="inlineStr">
        <is>
          <t>NCC00480</t>
        </is>
      </c>
      <c r="D218" s="70" t="inlineStr">
        <is>
          <t>Phù sa</t>
        </is>
      </c>
      <c r="E218" s="70" t="inlineStr"/>
      <c r="F218" s="70" t="n"/>
      <c r="G218" s="70" t="inlineStr">
        <is>
          <t>Cái</t>
        </is>
      </c>
      <c r="H218" s="72" t="n">
        <v>400</v>
      </c>
      <c r="I218" s="73" t="n">
        <v>45870</v>
      </c>
      <c r="J218" s="73" t="n">
        <v>45900</v>
      </c>
      <c r="K218" s="74" t="inlineStr">
        <is>
          <t>1</t>
        </is>
      </c>
      <c r="L218" s="74" t="inlineStr">
        <is>
          <t>NLG0204</t>
        </is>
      </c>
      <c r="M218" s="64" t="inlineStr">
        <is>
          <t>NLG0204</t>
        </is>
      </c>
    </row>
    <row r="219" ht="29.1" customHeight="1">
      <c r="A219" s="70" t="inlineStr">
        <is>
          <t>NLR0080</t>
        </is>
      </c>
      <c r="B219" s="71" t="inlineStr">
        <is>
          <t>Hành phi</t>
        </is>
      </c>
      <c r="C219" s="70" t="inlineStr">
        <is>
          <t>NCC00480</t>
        </is>
      </c>
      <c r="D219" s="70" t="inlineStr">
        <is>
          <t>Phù sa</t>
        </is>
      </c>
      <c r="E219" s="70" t="inlineStr"/>
      <c r="F219" s="70" t="n"/>
      <c r="G219" s="70" t="inlineStr">
        <is>
          <t>Gói</t>
        </is>
      </c>
      <c r="H219" s="72" t="n">
        <v>60000</v>
      </c>
      <c r="I219" s="73" t="n">
        <v>45870</v>
      </c>
      <c r="J219" s="73" t="n">
        <v>45900</v>
      </c>
      <c r="K219" s="74" t="inlineStr">
        <is>
          <t>1</t>
        </is>
      </c>
      <c r="L219" s="74" t="inlineStr">
        <is>
          <t>NLR0080</t>
        </is>
      </c>
      <c r="M219" s="64" t="inlineStr">
        <is>
          <t>NLR0080</t>
        </is>
      </c>
    </row>
    <row r="220" ht="29.1" customHeight="1">
      <c r="A220" s="70" t="inlineStr">
        <is>
          <t>NLR0086</t>
        </is>
      </c>
      <c r="B220" s="71" t="inlineStr">
        <is>
          <t>Hạt đậu trắng</t>
        </is>
      </c>
      <c r="C220" s="70" t="inlineStr">
        <is>
          <t>NCC00480</t>
        </is>
      </c>
      <c r="D220" s="70" t="inlineStr">
        <is>
          <t>Phù sa</t>
        </is>
      </c>
      <c r="E220" s="70" t="inlineStr"/>
      <c r="F220" s="70" t="n"/>
      <c r="G220" s="70" t="inlineStr">
        <is>
          <t>Gói</t>
        </is>
      </c>
      <c r="H220" s="72" t="n">
        <v>45000</v>
      </c>
      <c r="I220" s="73" t="n">
        <v>45870</v>
      </c>
      <c r="J220" s="73" t="n">
        <v>45900</v>
      </c>
      <c r="K220" s="74" t="inlineStr">
        <is>
          <t>1</t>
        </is>
      </c>
      <c r="L220" s="74" t="inlineStr">
        <is>
          <t>NLR0086</t>
        </is>
      </c>
      <c r="M220" s="64" t="inlineStr">
        <is>
          <t>NLR0086</t>
        </is>
      </c>
    </row>
    <row r="221" ht="29.1" customHeight="1">
      <c r="A221" s="70" t="inlineStr">
        <is>
          <t>NLR0118</t>
        </is>
      </c>
      <c r="B221" s="71" t="inlineStr">
        <is>
          <t>Nấm hương</t>
        </is>
      </c>
      <c r="C221" s="70" t="inlineStr">
        <is>
          <t>NCC00480</t>
        </is>
      </c>
      <c r="D221" s="70" t="inlineStr">
        <is>
          <t>Phù sa</t>
        </is>
      </c>
      <c r="E221" s="70" t="inlineStr"/>
      <c r="F221" s="70" t="n"/>
      <c r="G221" s="70" t="inlineStr">
        <is>
          <t>Gói</t>
        </is>
      </c>
      <c r="H221" s="72" t="n">
        <v>245000</v>
      </c>
      <c r="I221" s="73" t="n">
        <v>45870</v>
      </c>
      <c r="J221" s="73" t="n">
        <v>45900</v>
      </c>
      <c r="K221" s="74" t="inlineStr">
        <is>
          <t>1</t>
        </is>
      </c>
      <c r="L221" s="74" t="inlineStr">
        <is>
          <t>NLR0118</t>
        </is>
      </c>
      <c r="M221" s="64" t="inlineStr">
        <is>
          <t>NLR0118</t>
        </is>
      </c>
    </row>
    <row r="222" ht="29.1" customHeight="1">
      <c r="A222" s="70" t="inlineStr">
        <is>
          <t>NLR0134</t>
        </is>
      </c>
      <c r="B222" s="71" t="inlineStr">
        <is>
          <t>Ngô hộp hạt Asean 400g</t>
        </is>
      </c>
      <c r="C222" s="70" t="inlineStr">
        <is>
          <t>NCC00480</t>
        </is>
      </c>
      <c r="D222" s="70" t="inlineStr">
        <is>
          <t>Phù sa</t>
        </is>
      </c>
      <c r="E222" s="70" t="inlineStr"/>
      <c r="F222" s="70" t="n"/>
      <c r="G222" s="70" t="inlineStr">
        <is>
          <t>Cốc</t>
        </is>
      </c>
      <c r="H222" s="72" t="n">
        <v>13000</v>
      </c>
      <c r="I222" s="73" t="n">
        <v>45870</v>
      </c>
      <c r="J222" s="73" t="n">
        <v>45900</v>
      </c>
      <c r="K222" s="74" t="inlineStr">
        <is>
          <t>1</t>
        </is>
      </c>
      <c r="L222" s="74" t="inlineStr">
        <is>
          <t>NLR0134</t>
        </is>
      </c>
      <c r="M222" s="64" t="inlineStr">
        <is>
          <t>NLR0134</t>
        </is>
      </c>
    </row>
    <row r="223" ht="29.1" customHeight="1">
      <c r="A223" s="70" t="inlineStr">
        <is>
          <t>NLR0187</t>
        </is>
      </c>
      <c r="B223" s="71" t="inlineStr">
        <is>
          <t>Kim chi</t>
        </is>
      </c>
      <c r="C223" s="70" t="inlineStr">
        <is>
          <t>NCC00480</t>
        </is>
      </c>
      <c r="D223" s="70" t="inlineStr">
        <is>
          <t>Phù sa</t>
        </is>
      </c>
      <c r="E223" s="70" t="inlineStr"/>
      <c r="F223" s="70" t="n"/>
      <c r="G223" s="70" t="inlineStr">
        <is>
          <t>Cốc</t>
        </is>
      </c>
      <c r="H223" s="72" t="n">
        <v>70000</v>
      </c>
      <c r="I223" s="73" t="n">
        <v>45870</v>
      </c>
      <c r="J223" s="73" t="n">
        <v>45900</v>
      </c>
      <c r="K223" s="74" t="inlineStr">
        <is>
          <t>1</t>
        </is>
      </c>
      <c r="L223" s="74" t="inlineStr">
        <is>
          <t>NLR0187</t>
        </is>
      </c>
      <c r="M223" s="64" t="inlineStr">
        <is>
          <t>NLR0187</t>
        </is>
      </c>
    </row>
    <row r="224" ht="29.1" customHeight="1">
      <c r="A224" s="70" t="inlineStr">
        <is>
          <t>NLR0223</t>
        </is>
      </c>
      <c r="B224" s="71" t="inlineStr">
        <is>
          <t>Ngó sen</t>
        </is>
      </c>
      <c r="C224" s="70" t="inlineStr">
        <is>
          <t>NCC00480</t>
        </is>
      </c>
      <c r="D224" s="70" t="inlineStr">
        <is>
          <t>Phù sa</t>
        </is>
      </c>
      <c r="E224" s="70" t="inlineStr"/>
      <c r="F224" s="70" t="n"/>
      <c r="G224" s="70" t="inlineStr">
        <is>
          <t>Gói</t>
        </is>
      </c>
      <c r="H224" s="72" t="n">
        <v>230000</v>
      </c>
      <c r="I224" s="73" t="n">
        <v>45870</v>
      </c>
      <c r="J224" s="73" t="n">
        <v>45900</v>
      </c>
      <c r="K224" s="74" t="inlineStr">
        <is>
          <t>1</t>
        </is>
      </c>
      <c r="L224" s="74" t="inlineStr">
        <is>
          <t>NLR0223</t>
        </is>
      </c>
      <c r="M224" s="64" t="inlineStr">
        <is>
          <t>NLR0223</t>
        </is>
      </c>
    </row>
    <row r="225" ht="29.1" customHeight="1">
      <c r="A225" s="70" t="inlineStr">
        <is>
          <t>NLR0236</t>
        </is>
      </c>
      <c r="B225" s="71" t="inlineStr">
        <is>
          <t>Lá kim cuộn cơm (100 lá)</t>
        </is>
      </c>
      <c r="C225" s="70" t="inlineStr">
        <is>
          <t>NCC00480</t>
        </is>
      </c>
      <c r="D225" s="70" t="inlineStr">
        <is>
          <t>Phù sa</t>
        </is>
      </c>
      <c r="E225" s="70" t="inlineStr"/>
      <c r="F225" s="70" t="n"/>
      <c r="G225" s="70" t="inlineStr">
        <is>
          <t>Chai</t>
        </is>
      </c>
      <c r="H225" s="72" t="n">
        <v>290000</v>
      </c>
      <c r="I225" s="73" t="n">
        <v>45870</v>
      </c>
      <c r="J225" s="73" t="n">
        <v>45900</v>
      </c>
      <c r="K225" s="74" t="inlineStr">
        <is>
          <t>1</t>
        </is>
      </c>
      <c r="L225" s="74" t="inlineStr">
        <is>
          <t>NLR0236</t>
        </is>
      </c>
      <c r="M225" s="64" t="inlineStr">
        <is>
          <t>NLR0236</t>
        </is>
      </c>
    </row>
    <row r="226" ht="29.1" customHeight="1">
      <c r="A226" s="70" t="inlineStr">
        <is>
          <t>NLR0250</t>
        </is>
      </c>
      <c r="B226" s="71" t="inlineStr">
        <is>
          <t>Lá kim ăn liền (16 gói/túi 5g/gói)</t>
        </is>
      </c>
      <c r="C226" s="70" t="inlineStr">
        <is>
          <t>NCC00480</t>
        </is>
      </c>
      <c r="D226" s="70" t="inlineStr">
        <is>
          <t>Phù sa</t>
        </is>
      </c>
      <c r="E226" s="70" t="inlineStr"/>
      <c r="F226" s="70" t="n"/>
      <c r="G226" s="70" t="inlineStr">
        <is>
          <t>Gói</t>
        </is>
      </c>
      <c r="H226" s="72" t="n">
        <v>165000</v>
      </c>
      <c r="I226" s="73" t="n">
        <v>45870</v>
      </c>
      <c r="J226" s="73" t="n">
        <v>45900</v>
      </c>
      <c r="K226" s="74" t="inlineStr">
        <is>
          <t>1</t>
        </is>
      </c>
      <c r="L226" s="74" t="inlineStr">
        <is>
          <t>NLR0250</t>
        </is>
      </c>
      <c r="M226" s="64" t="inlineStr">
        <is>
          <t>NLR0250</t>
        </is>
      </c>
    </row>
    <row r="227" ht="29.1" customHeight="1">
      <c r="A227" s="70" t="inlineStr">
        <is>
          <t>NLR0258</t>
        </is>
      </c>
      <c r="B227" s="71" t="inlineStr">
        <is>
          <t>Củ cải vàng HQ nguyên củ</t>
        </is>
      </c>
      <c r="C227" s="70" t="inlineStr">
        <is>
          <t>NCC00480</t>
        </is>
      </c>
      <c r="D227" s="70" t="inlineStr">
        <is>
          <t>Phù sa</t>
        </is>
      </c>
      <c r="E227" s="70" t="inlineStr"/>
      <c r="F227" s="70" t="n"/>
      <c r="G227" s="70" t="inlineStr">
        <is>
          <t>Chiếc</t>
        </is>
      </c>
      <c r="H227" s="72" t="n">
        <v>200000</v>
      </c>
      <c r="I227" s="73" t="n">
        <v>45870</v>
      </c>
      <c r="J227" s="73" t="n">
        <v>45900</v>
      </c>
      <c r="K227" s="74" t="inlineStr">
        <is>
          <t>1</t>
        </is>
      </c>
      <c r="L227" s="74" t="inlineStr">
        <is>
          <t>NLR0258</t>
        </is>
      </c>
      <c r="M227" s="64" t="inlineStr">
        <is>
          <t>NLR0258</t>
        </is>
      </c>
    </row>
    <row r="228" ht="29.1" customHeight="1">
      <c r="A228" s="70" t="inlineStr">
        <is>
          <t>NLS0022</t>
        </is>
      </c>
      <c r="B228" s="71" t="inlineStr">
        <is>
          <t>Cá ngừ ngâm dầu 175g/hộp</t>
        </is>
      </c>
      <c r="C228" s="70" t="inlineStr">
        <is>
          <t>NCC00480</t>
        </is>
      </c>
      <c r="D228" s="70" t="inlineStr">
        <is>
          <t>Phù sa</t>
        </is>
      </c>
      <c r="E228" s="70" t="inlineStr"/>
      <c r="F228" s="70" t="n"/>
      <c r="G228" s="70" t="inlineStr">
        <is>
          <t>Bịch</t>
        </is>
      </c>
      <c r="H228" s="72" t="n">
        <v>37000</v>
      </c>
      <c r="I228" s="73" t="n">
        <v>45870</v>
      </c>
      <c r="J228" s="73" t="n">
        <v>45900</v>
      </c>
      <c r="K228" s="74" t="inlineStr">
        <is>
          <t>1</t>
        </is>
      </c>
      <c r="L228" s="74" t="inlineStr">
        <is>
          <t>NLS0022</t>
        </is>
      </c>
      <c r="M228" s="64" t="inlineStr">
        <is>
          <t>NLS0022</t>
        </is>
      </c>
    </row>
    <row r="229" ht="29.1" customHeight="1">
      <c r="A229" s="70" t="inlineStr">
        <is>
          <t>NLS0103</t>
        </is>
      </c>
      <c r="B229" s="71" t="inlineStr">
        <is>
          <t>Cá khô xé Hàn Quốc 500g/gói</t>
        </is>
      </c>
      <c r="C229" s="70" t="inlineStr">
        <is>
          <t>NNCC00920</t>
        </is>
      </c>
      <c r="D229" s="70" t="inlineStr">
        <is>
          <t>Phù sa</t>
        </is>
      </c>
      <c r="E229" s="70" t="inlineStr"/>
      <c r="F229" s="70" t="n"/>
      <c r="G229" s="70" t="inlineStr">
        <is>
          <t>Chiếc</t>
        </is>
      </c>
      <c r="H229" s="72" t="n">
        <v>750000</v>
      </c>
      <c r="I229" s="73" t="n">
        <v>45870</v>
      </c>
      <c r="J229" s="73" t="n">
        <v>45900</v>
      </c>
      <c r="K229" s="74" t="inlineStr">
        <is>
          <t>1</t>
        </is>
      </c>
      <c r="L229" s="74" t="inlineStr">
        <is>
          <t>NLS0103</t>
        </is>
      </c>
      <c r="M229" s="64" t="inlineStr">
        <is>
          <t>NLS0103</t>
        </is>
      </c>
    </row>
    <row r="230" ht="29.1" customHeight="1">
      <c r="A230" s="70" t="inlineStr">
        <is>
          <t>NLS0105</t>
        </is>
      </c>
      <c r="B230" s="71" t="inlineStr">
        <is>
          <t>Chả cá hàn quốc</t>
        </is>
      </c>
      <c r="C230" s="70" t="inlineStr">
        <is>
          <t>NNCC00920</t>
        </is>
      </c>
      <c r="D230" s="70" t="inlineStr">
        <is>
          <t>Phù sa</t>
        </is>
      </c>
      <c r="E230" s="70" t="inlineStr"/>
      <c r="F230" s="70" t="n"/>
      <c r="G230" s="70" t="inlineStr">
        <is>
          <t>Chiếc</t>
        </is>
      </c>
      <c r="H230" s="72" t="n">
        <v>125000</v>
      </c>
      <c r="I230" s="73" t="n">
        <v>45870</v>
      </c>
      <c r="J230" s="73" t="n">
        <v>45900</v>
      </c>
      <c r="K230" s="74" t="inlineStr">
        <is>
          <t>1</t>
        </is>
      </c>
      <c r="L230" s="74" t="inlineStr">
        <is>
          <t>NLS0105</t>
        </is>
      </c>
      <c r="M230" s="64" t="inlineStr">
        <is>
          <t>NLS0105</t>
        </is>
      </c>
    </row>
    <row r="231" ht="29.1" customHeight="1">
      <c r="A231" s="70" t="inlineStr">
        <is>
          <t>NLS0215</t>
        </is>
      </c>
      <c r="B231" s="71" t="inlineStr">
        <is>
          <t>Cá cơm Hàn Quốc 1kg/ túi</t>
        </is>
      </c>
      <c r="C231" s="70" t="inlineStr">
        <is>
          <t>NNCC00920</t>
        </is>
      </c>
      <c r="D231" s="70" t="inlineStr">
        <is>
          <t>Phù sa</t>
        </is>
      </c>
      <c r="E231" s="70" t="inlineStr"/>
      <c r="F231" s="70" t="n"/>
      <c r="G231" s="70" t="inlineStr">
        <is>
          <t>Chiếc</t>
        </is>
      </c>
      <c r="H231" s="72" t="n">
        <v>250000</v>
      </c>
      <c r="I231" s="73" t="n">
        <v>45870</v>
      </c>
      <c r="J231" s="73" t="n">
        <v>45900</v>
      </c>
      <c r="K231" s="74" t="inlineStr">
        <is>
          <t>1</t>
        </is>
      </c>
      <c r="L231" s="74" t="inlineStr">
        <is>
          <t>NLS0215</t>
        </is>
      </c>
      <c r="M231" s="64" t="inlineStr">
        <is>
          <t>NLS0215</t>
        </is>
      </c>
    </row>
    <row r="232" ht="29.1" customHeight="1">
      <c r="A232" s="70" t="inlineStr">
        <is>
          <t>NLT0179</t>
        </is>
      </c>
      <c r="B232" s="71" t="inlineStr">
        <is>
          <t>Lạc rang</t>
        </is>
      </c>
      <c r="C232" s="70" t="inlineStr">
        <is>
          <t>NNCC00920</t>
        </is>
      </c>
      <c r="D232" s="70" t="inlineStr">
        <is>
          <t>Phù sa</t>
        </is>
      </c>
      <c r="E232" s="70" t="inlineStr"/>
      <c r="F232" s="70" t="n"/>
      <c r="G232" s="70" t="inlineStr">
        <is>
          <t>Chiếc</t>
        </is>
      </c>
      <c r="H232" s="72" t="n">
        <v>55000</v>
      </c>
      <c r="I232" s="73" t="n">
        <v>45870</v>
      </c>
      <c r="J232" s="73" t="n">
        <v>45900</v>
      </c>
      <c r="K232" s="74" t="inlineStr">
        <is>
          <t>1</t>
        </is>
      </c>
      <c r="L232" s="74" t="inlineStr">
        <is>
          <t>NLT0179</t>
        </is>
      </c>
      <c r="M232" s="64" t="inlineStr">
        <is>
          <t>NLT0179</t>
        </is>
      </c>
    </row>
    <row r="233" ht="29.1" customHeight="1">
      <c r="A233" s="70" t="inlineStr">
        <is>
          <t>NPG0010</t>
        </is>
      </c>
      <c r="B233" s="71" t="inlineStr">
        <is>
          <t>Bột canh thiên hương 200g</t>
        </is>
      </c>
      <c r="C233" s="70" t="inlineStr">
        <is>
          <t>NCC00480</t>
        </is>
      </c>
      <c r="D233" s="70" t="inlineStr">
        <is>
          <t>Phù sa</t>
        </is>
      </c>
      <c r="E233" s="70" t="inlineStr"/>
      <c r="F233" s="70" t="n"/>
      <c r="G233" s="70" t="inlineStr">
        <is>
          <t>Chai</t>
        </is>
      </c>
      <c r="H233" s="72" t="n">
        <v>3200</v>
      </c>
      <c r="I233" s="73" t="n">
        <v>45870</v>
      </c>
      <c r="J233" s="73" t="n">
        <v>45900</v>
      </c>
      <c r="K233" s="74" t="inlineStr">
        <is>
          <t>1</t>
        </is>
      </c>
      <c r="L233" s="74" t="inlineStr">
        <is>
          <t>NPG0010</t>
        </is>
      </c>
      <c r="M233" s="64" t="inlineStr">
        <is>
          <t>NPG0010</t>
        </is>
      </c>
    </row>
    <row r="234" ht="29.1" customHeight="1">
      <c r="A234" s="70" t="inlineStr">
        <is>
          <t>NPG0024</t>
        </is>
      </c>
      <c r="B234" s="71" t="inlineStr">
        <is>
          <t>Bột chiên xù màu Panco thùng 10kg</t>
        </is>
      </c>
      <c r="C234" s="70" t="inlineStr">
        <is>
          <t>NCC00480</t>
        </is>
      </c>
      <c r="D234" s="70" t="inlineStr">
        <is>
          <t>Phù sa</t>
        </is>
      </c>
      <c r="E234" s="70" t="inlineStr"/>
      <c r="F234" s="70" t="n"/>
      <c r="G234" s="70" t="inlineStr">
        <is>
          <t>Chai</t>
        </is>
      </c>
      <c r="H234" s="72" t="n">
        <v>46500</v>
      </c>
      <c r="I234" s="73" t="n">
        <v>45870</v>
      </c>
      <c r="J234" s="73" t="n">
        <v>45900</v>
      </c>
      <c r="K234" s="74" t="inlineStr">
        <is>
          <t>1</t>
        </is>
      </c>
      <c r="L234" s="74" t="inlineStr">
        <is>
          <t>NPG0024</t>
        </is>
      </c>
      <c r="M234" s="64" t="inlineStr">
        <is>
          <t>NPG0024</t>
        </is>
      </c>
    </row>
    <row r="235" ht="29.1" customHeight="1">
      <c r="A235" s="70" t="inlineStr">
        <is>
          <t>NPG0030</t>
        </is>
      </c>
      <c r="B235" s="71" t="inlineStr">
        <is>
          <t>Bột mỳ Mezan 1kg/gói</t>
        </is>
      </c>
      <c r="C235" s="70" t="inlineStr">
        <is>
          <t>NNCC00920</t>
        </is>
      </c>
      <c r="D235" s="70" t="inlineStr">
        <is>
          <t>Phù sa</t>
        </is>
      </c>
      <c r="E235" s="70" t="inlineStr"/>
      <c r="F235" s="70" t="n"/>
      <c r="G235" s="70" t="inlineStr">
        <is>
          <t>Chai</t>
        </is>
      </c>
      <c r="H235" s="72" t="n">
        <v>17500</v>
      </c>
      <c r="I235" s="73" t="n">
        <v>45870</v>
      </c>
      <c r="J235" s="73" t="n">
        <v>45900</v>
      </c>
      <c r="K235" s="74" t="inlineStr">
        <is>
          <t>1</t>
        </is>
      </c>
      <c r="L235" s="74" t="inlineStr">
        <is>
          <t>NPG0030</t>
        </is>
      </c>
      <c r="M235" s="64" t="inlineStr">
        <is>
          <t>NPG0030</t>
        </is>
      </c>
    </row>
    <row r="236" ht="29.1" customHeight="1">
      <c r="A236" s="70" t="inlineStr">
        <is>
          <t>NPG0038</t>
        </is>
      </c>
      <c r="B236" s="71" t="inlineStr">
        <is>
          <t>Bột tôm Vifon 10g/gói</t>
        </is>
      </c>
      <c r="C236" s="70" t="inlineStr">
        <is>
          <t>NCC00200</t>
        </is>
      </c>
      <c r="D236" s="70" t="inlineStr">
        <is>
          <t>Phù sa</t>
        </is>
      </c>
      <c r="E236" s="70" t="inlineStr">
        <is>
          <t>B-1523</t>
        </is>
      </c>
      <c r="F236" s="70" t="n"/>
      <c r="G236" s="70" t="inlineStr">
        <is>
          <t>Lon</t>
        </is>
      </c>
      <c r="H236" s="72" t="n">
        <v>500</v>
      </c>
      <c r="I236" s="73" t="n">
        <v>45870</v>
      </c>
      <c r="J236" s="73" t="n">
        <v>45900</v>
      </c>
      <c r="K236" s="74" t="inlineStr">
        <is>
          <t>1</t>
        </is>
      </c>
      <c r="L236" s="74" t="inlineStr">
        <is>
          <t>NPG0038</t>
        </is>
      </c>
      <c r="M236" s="64" t="inlineStr">
        <is>
          <t>NPG0038</t>
        </is>
      </c>
    </row>
    <row r="237" ht="29.1" customHeight="1">
      <c r="A237" s="70" t="inlineStr">
        <is>
          <t>NPG0046</t>
        </is>
      </c>
      <c r="B237" s="71" t="inlineStr">
        <is>
          <t>Dấm bỗng</t>
        </is>
      </c>
      <c r="C237" s="70" t="inlineStr">
        <is>
          <t>NCC00480</t>
        </is>
      </c>
      <c r="D237" s="70" t="inlineStr">
        <is>
          <t>Phù sa</t>
        </is>
      </c>
      <c r="E237" s="70" t="inlineStr"/>
      <c r="F237" s="70" t="n"/>
      <c r="G237" s="70" t="inlineStr">
        <is>
          <t>Lon</t>
        </is>
      </c>
      <c r="H237" s="72" t="n">
        <v>5000</v>
      </c>
      <c r="I237" s="73" t="n">
        <v>45870</v>
      </c>
      <c r="J237" s="73" t="n">
        <v>45900</v>
      </c>
      <c r="K237" s="74" t="inlineStr">
        <is>
          <t>1</t>
        </is>
      </c>
      <c r="L237" s="74" t="inlineStr">
        <is>
          <t>NPG0046</t>
        </is>
      </c>
      <c r="M237" s="64" t="inlineStr">
        <is>
          <t>NPG0046</t>
        </is>
      </c>
    </row>
    <row r="238" ht="29.1" customHeight="1">
      <c r="A238" s="70" t="inlineStr">
        <is>
          <t>NPG0050</t>
        </is>
      </c>
      <c r="B238" s="71" t="inlineStr">
        <is>
          <t>Dầu mè Mezan 250ml/chai</t>
        </is>
      </c>
      <c r="C238" s="70" t="inlineStr">
        <is>
          <t>NCC00480</t>
        </is>
      </c>
      <c r="D238" s="70" t="inlineStr">
        <is>
          <t>Phù sa</t>
        </is>
      </c>
      <c r="E238" s="70" t="inlineStr"/>
      <c r="F238" s="70" t="n"/>
      <c r="G238" s="70" t="inlineStr">
        <is>
          <t>Chai</t>
        </is>
      </c>
      <c r="H238" s="72" t="n">
        <v>55000</v>
      </c>
      <c r="I238" s="73" t="n">
        <v>45870</v>
      </c>
      <c r="J238" s="73" t="n">
        <v>45900</v>
      </c>
      <c r="K238" s="74" t="inlineStr">
        <is>
          <t>1</t>
        </is>
      </c>
      <c r="L238" s="74" t="inlineStr">
        <is>
          <t>NPG0050</t>
        </is>
      </c>
      <c r="M238" s="64" t="inlineStr">
        <is>
          <t>NPG0050</t>
        </is>
      </c>
    </row>
    <row r="239" ht="29.1" customHeight="1">
      <c r="A239" s="70" t="inlineStr">
        <is>
          <t>NPG0053</t>
        </is>
      </c>
      <c r="B239" s="71" t="inlineStr">
        <is>
          <t>Đậu đỏ</t>
        </is>
      </c>
      <c r="C239" s="70" t="inlineStr">
        <is>
          <t>NNCC00920</t>
        </is>
      </c>
      <c r="D239" s="70" t="inlineStr">
        <is>
          <t>Phù sa</t>
        </is>
      </c>
      <c r="E239" s="70" t="inlineStr"/>
      <c r="F239" s="70" t="n"/>
      <c r="G239" s="70" t="inlineStr">
        <is>
          <t>Chai</t>
        </is>
      </c>
      <c r="H239" s="72" t="n">
        <v>40000</v>
      </c>
      <c r="I239" s="73" t="n">
        <v>45870</v>
      </c>
      <c r="J239" s="73" t="n">
        <v>45900</v>
      </c>
      <c r="K239" s="74" t="inlineStr">
        <is>
          <t>1</t>
        </is>
      </c>
      <c r="L239" s="74" t="inlineStr">
        <is>
          <t>NPG0053</t>
        </is>
      </c>
      <c r="M239" s="64" t="inlineStr">
        <is>
          <t>NPG0053</t>
        </is>
      </c>
    </row>
    <row r="240" ht="29.1" customHeight="1">
      <c r="A240" s="70" t="inlineStr">
        <is>
          <t>NPG0058</t>
        </is>
      </c>
      <c r="B240" s="71" t="inlineStr">
        <is>
          <t>Đỗ đen</t>
        </is>
      </c>
      <c r="C240" s="70" t="inlineStr">
        <is>
          <t>NNCC00972</t>
        </is>
      </c>
      <c r="D240" s="70" t="inlineStr">
        <is>
          <t>Phù sa</t>
        </is>
      </c>
      <c r="E240" s="70" t="inlineStr">
        <is>
          <t>B-1523</t>
        </is>
      </c>
      <c r="F240" s="70" t="n"/>
      <c r="G240" s="70" t="inlineStr">
        <is>
          <t>Chai</t>
        </is>
      </c>
      <c r="H240" s="72" t="n">
        <v>48000</v>
      </c>
      <c r="I240" s="73" t="n">
        <v>45870</v>
      </c>
      <c r="J240" s="73" t="n">
        <v>45900</v>
      </c>
      <c r="K240" s="74" t="inlineStr">
        <is>
          <t>1</t>
        </is>
      </c>
      <c r="L240" s="74" t="inlineStr">
        <is>
          <t>NPG0058</t>
        </is>
      </c>
      <c r="M240" s="64" t="inlineStr">
        <is>
          <t>NPG0058</t>
        </is>
      </c>
    </row>
    <row r="241" ht="29.1" customHeight="1">
      <c r="A241" s="70" t="inlineStr">
        <is>
          <t>NPG0059</t>
        </is>
      </c>
      <c r="B241" s="71" t="inlineStr">
        <is>
          <t>Đỗ xanh</t>
        </is>
      </c>
      <c r="C241" s="70" t="inlineStr">
        <is>
          <t>NCC00480</t>
        </is>
      </c>
      <c r="D241" s="70" t="inlineStr">
        <is>
          <t>Phù sa</t>
        </is>
      </c>
      <c r="E241" s="70" t="inlineStr"/>
      <c r="F241" s="70" t="n"/>
      <c r="G241" s="70" t="inlineStr">
        <is>
          <t>Chai</t>
        </is>
      </c>
      <c r="H241" s="72" t="n">
        <v>49000</v>
      </c>
      <c r="I241" s="73" t="n">
        <v>45870</v>
      </c>
      <c r="J241" s="73" t="n">
        <v>45900</v>
      </c>
      <c r="K241" s="74" t="inlineStr">
        <is>
          <t>1</t>
        </is>
      </c>
      <c r="L241" s="74" t="inlineStr">
        <is>
          <t>NPG0059</t>
        </is>
      </c>
      <c r="M241" s="64" t="inlineStr">
        <is>
          <t>NPG0059</t>
        </is>
      </c>
    </row>
    <row r="242" ht="29.1" customHeight="1">
      <c r="A242" s="70" t="inlineStr">
        <is>
          <t>NPG0061</t>
        </is>
      </c>
      <c r="B242" s="71" t="inlineStr">
        <is>
          <t>Đường phèn</t>
        </is>
      </c>
      <c r="C242" s="70" t="inlineStr">
        <is>
          <t>NNCC00920</t>
        </is>
      </c>
      <c r="D242" s="70" t="inlineStr">
        <is>
          <t>Phù sa</t>
        </is>
      </c>
      <c r="E242" s="70" t="inlineStr"/>
      <c r="F242" s="70" t="n"/>
      <c r="G242" s="70" t="inlineStr">
        <is>
          <t>Chai</t>
        </is>
      </c>
      <c r="H242" s="72" t="n">
        <v>31000</v>
      </c>
      <c r="I242" s="73" t="n">
        <v>45870</v>
      </c>
      <c r="J242" s="73" t="n">
        <v>45900</v>
      </c>
      <c r="K242" s="74" t="inlineStr">
        <is>
          <t>1</t>
        </is>
      </c>
      <c r="L242" s="74" t="inlineStr">
        <is>
          <t>NPG0061</t>
        </is>
      </c>
      <c r="M242" s="64" t="inlineStr">
        <is>
          <t>NPG0061</t>
        </is>
      </c>
    </row>
    <row r="243" ht="29.1" customHeight="1">
      <c r="A243" s="70" t="inlineStr">
        <is>
          <t>NPG0063</t>
        </is>
      </c>
      <c r="B243" s="71" t="inlineStr">
        <is>
          <t>Đường vàng Lam Sơn (1kg/gói)</t>
        </is>
      </c>
      <c r="C243" s="70" t="inlineStr">
        <is>
          <t>NCC00480</t>
        </is>
      </c>
      <c r="D243" s="70" t="inlineStr">
        <is>
          <t>Phù sa</t>
        </is>
      </c>
      <c r="E243" s="70" t="inlineStr"/>
      <c r="F243" s="70" t="n"/>
      <c r="G243" s="70" t="inlineStr">
        <is>
          <t>Lon</t>
        </is>
      </c>
      <c r="H243" s="72" t="n">
        <v>22000</v>
      </c>
      <c r="I243" s="73" t="n">
        <v>45870</v>
      </c>
      <c r="J243" s="73" t="n">
        <v>45900</v>
      </c>
      <c r="K243" s="74" t="inlineStr">
        <is>
          <t>1</t>
        </is>
      </c>
      <c r="L243" s="74" t="inlineStr">
        <is>
          <t>NPG0063</t>
        </is>
      </c>
      <c r="M243" s="64" t="inlineStr">
        <is>
          <t>NPG0063</t>
        </is>
      </c>
    </row>
    <row r="244" ht="29.1" customHeight="1">
      <c r="A244" s="70" t="inlineStr">
        <is>
          <t>NPG0065</t>
        </is>
      </c>
      <c r="B244" s="71" t="inlineStr">
        <is>
          <t>Gia vị sốt vang Thành Lộc 5g/gói</t>
        </is>
      </c>
      <c r="C244" s="70" t="inlineStr">
        <is>
          <t>NCC00200</t>
        </is>
      </c>
      <c r="D244" s="70" t="inlineStr">
        <is>
          <t>Phù sa</t>
        </is>
      </c>
      <c r="E244" s="70" t="inlineStr">
        <is>
          <t>B-1523</t>
        </is>
      </c>
      <c r="F244" s="70" t="n"/>
      <c r="G244" s="70" t="inlineStr">
        <is>
          <t>Túi</t>
        </is>
      </c>
      <c r="H244" s="72" t="n">
        <v>5000</v>
      </c>
      <c r="I244" s="73" t="n">
        <v>45870</v>
      </c>
      <c r="J244" s="73" t="n">
        <v>45900</v>
      </c>
      <c r="K244" s="74" t="inlineStr">
        <is>
          <t>1</t>
        </is>
      </c>
      <c r="L244" s="74" t="inlineStr">
        <is>
          <t>NPG0065</t>
        </is>
      </c>
      <c r="M244" s="64" t="inlineStr">
        <is>
          <t>NPG0065</t>
        </is>
      </c>
    </row>
    <row r="245" ht="29.1" customHeight="1">
      <c r="A245" s="70" t="inlineStr">
        <is>
          <t>NPG0071</t>
        </is>
      </c>
      <c r="B245" s="71" t="inlineStr">
        <is>
          <t>Hạt sen</t>
        </is>
      </c>
      <c r="C245" s="70" t="inlineStr">
        <is>
          <t>NCC00480</t>
        </is>
      </c>
      <c r="D245" s="70" t="inlineStr">
        <is>
          <t>Phù sa</t>
        </is>
      </c>
      <c r="E245" s="70" t="inlineStr"/>
      <c r="F245" s="70" t="n"/>
      <c r="G245" s="70" t="inlineStr">
        <is>
          <t>Chai</t>
        </is>
      </c>
      <c r="H245" s="72" t="n">
        <v>157000</v>
      </c>
      <c r="I245" s="73" t="n">
        <v>45870</v>
      </c>
      <c r="J245" s="73" t="n">
        <v>45900</v>
      </c>
      <c r="K245" s="74" t="inlineStr">
        <is>
          <t>1</t>
        </is>
      </c>
      <c r="L245" s="74" t="inlineStr">
        <is>
          <t>NPG0071</t>
        </is>
      </c>
      <c r="M245" s="64" t="inlineStr">
        <is>
          <t>NPG0071</t>
        </is>
      </c>
    </row>
    <row r="246" ht="29.1" customHeight="1">
      <c r="A246" s="70" t="inlineStr">
        <is>
          <t>NPG0072</t>
        </is>
      </c>
      <c r="B246" s="71" t="inlineStr">
        <is>
          <t>Hạt tiêu</t>
        </is>
      </c>
      <c r="C246" s="70" t="inlineStr">
        <is>
          <t>NCC00480</t>
        </is>
      </c>
      <c r="D246" s="70" t="inlineStr">
        <is>
          <t>Phù sa</t>
        </is>
      </c>
      <c r="E246" s="70" t="inlineStr"/>
      <c r="F246" s="70" t="n"/>
      <c r="G246" s="70" t="inlineStr">
        <is>
          <t>Lon</t>
        </is>
      </c>
      <c r="H246" s="72" t="n">
        <v>210000</v>
      </c>
      <c r="I246" s="73" t="n">
        <v>45870</v>
      </c>
      <c r="J246" s="73" t="n">
        <v>45900</v>
      </c>
      <c r="K246" s="74" t="inlineStr">
        <is>
          <t>1</t>
        </is>
      </c>
      <c r="L246" s="74" t="inlineStr">
        <is>
          <t>NPG0072</t>
        </is>
      </c>
      <c r="M246" s="64" t="inlineStr">
        <is>
          <t>NPG0072</t>
        </is>
      </c>
    </row>
    <row r="247" ht="29.1" customHeight="1">
      <c r="A247" s="70" t="inlineStr">
        <is>
          <t>NPG0073</t>
        </is>
      </c>
      <c r="B247" s="71" t="inlineStr">
        <is>
          <t>Tiêu xay</t>
        </is>
      </c>
      <c r="C247" s="70" t="inlineStr">
        <is>
          <t>NNCC00920</t>
        </is>
      </c>
      <c r="D247" s="70" t="inlineStr">
        <is>
          <t>Phù sa</t>
        </is>
      </c>
      <c r="E247" s="70" t="inlineStr"/>
      <c r="F247" s="70" t="n"/>
      <c r="G247" s="70" t="inlineStr">
        <is>
          <t>Lon</t>
        </is>
      </c>
      <c r="H247" s="72" t="n">
        <v>210000</v>
      </c>
      <c r="I247" s="73" t="n">
        <v>45870</v>
      </c>
      <c r="J247" s="73" t="n">
        <v>45900</v>
      </c>
      <c r="K247" s="74" t="inlineStr">
        <is>
          <t>1</t>
        </is>
      </c>
      <c r="L247" s="74" t="inlineStr">
        <is>
          <t>NPG0073</t>
        </is>
      </c>
      <c r="M247" s="64" t="inlineStr">
        <is>
          <t>NPG0073</t>
        </is>
      </c>
    </row>
    <row r="248" ht="29.1" customHeight="1">
      <c r="A248" s="70" t="inlineStr">
        <is>
          <t>NPG0076</t>
        </is>
      </c>
      <c r="B248" s="71" t="inlineStr">
        <is>
          <t>Hoa hồi</t>
        </is>
      </c>
      <c r="C248" s="70" t="inlineStr">
        <is>
          <t>NCC00200</t>
        </is>
      </c>
      <c r="D248" s="70" t="inlineStr">
        <is>
          <t>Phù sa</t>
        </is>
      </c>
      <c r="E248" s="70" t="inlineStr">
        <is>
          <t>B-1523</t>
        </is>
      </c>
      <c r="F248" s="70" t="n"/>
      <c r="G248" s="70" t="inlineStr">
        <is>
          <t>Chai</t>
        </is>
      </c>
      <c r="H248" s="72" t="n">
        <v>150000</v>
      </c>
      <c r="I248" s="73" t="n">
        <v>45870</v>
      </c>
      <c r="J248" s="73" t="n">
        <v>45900</v>
      </c>
      <c r="K248" s="74" t="inlineStr">
        <is>
          <t>1</t>
        </is>
      </c>
      <c r="L248" s="74" t="inlineStr">
        <is>
          <t>NPG0076</t>
        </is>
      </c>
      <c r="M248" s="64" t="inlineStr">
        <is>
          <t>NPG0076</t>
        </is>
      </c>
    </row>
    <row r="249" ht="29.1" customHeight="1">
      <c r="A249" s="70" t="inlineStr">
        <is>
          <t>NPG0077</t>
        </is>
      </c>
      <c r="B249" s="71" t="inlineStr">
        <is>
          <t>Bột Húng lìu Hoàng Thịnh 5g/gói</t>
        </is>
      </c>
      <c r="C249" s="70" t="inlineStr">
        <is>
          <t>NCC00480</t>
        </is>
      </c>
      <c r="D249" s="70" t="inlineStr">
        <is>
          <t>Phù sa</t>
        </is>
      </c>
      <c r="E249" s="70" t="inlineStr"/>
      <c r="F249" s="70" t="n"/>
      <c r="G249" s="70" t="inlineStr">
        <is>
          <t>Lon</t>
        </is>
      </c>
      <c r="H249" s="72" t="n">
        <v>3500</v>
      </c>
      <c r="I249" s="73" t="n">
        <v>45870</v>
      </c>
      <c r="J249" s="73" t="n">
        <v>45900</v>
      </c>
      <c r="K249" s="74" t="inlineStr">
        <is>
          <t>1</t>
        </is>
      </c>
      <c r="L249" s="74" t="inlineStr">
        <is>
          <t>NPG0077</t>
        </is>
      </c>
      <c r="M249" s="64" t="inlineStr">
        <is>
          <t>NPG0077</t>
        </is>
      </c>
    </row>
    <row r="250" ht="29.1" customHeight="1">
      <c r="A250" s="70" t="inlineStr">
        <is>
          <t>NPG0081</t>
        </is>
      </c>
      <c r="B250" s="71" t="inlineStr">
        <is>
          <t>Két xì ( bột sư tử) - bột Lion 3.5kg</t>
        </is>
      </c>
      <c r="C250" s="70" t="inlineStr">
        <is>
          <t>NCC00200</t>
        </is>
      </c>
      <c r="D250" s="70" t="inlineStr">
        <is>
          <t>Phù sa</t>
        </is>
      </c>
      <c r="E250" s="70" t="inlineStr">
        <is>
          <t>B-1523</t>
        </is>
      </c>
      <c r="F250" s="70" t="n"/>
      <c r="G250" s="70" t="inlineStr">
        <is>
          <t>Bình</t>
        </is>
      </c>
      <c r="H250" s="72" t="n">
        <v>200000</v>
      </c>
      <c r="I250" s="73" t="n">
        <v>45870</v>
      </c>
      <c r="J250" s="73" t="n">
        <v>45900</v>
      </c>
      <c r="K250" s="74" t="inlineStr">
        <is>
          <t>1</t>
        </is>
      </c>
      <c r="L250" s="74" t="inlineStr">
        <is>
          <t>NPG0081</t>
        </is>
      </c>
      <c r="M250" s="64" t="inlineStr">
        <is>
          <t>NPG0081</t>
        </is>
      </c>
    </row>
    <row r="251" ht="29.1" customHeight="1">
      <c r="A251" s="70" t="inlineStr">
        <is>
          <t>NPG0082</t>
        </is>
      </c>
      <c r="B251" s="71" t="inlineStr">
        <is>
          <t>Lẩu sáu chai 0,5l</t>
        </is>
      </c>
      <c r="C251" s="70" t="inlineStr">
        <is>
          <t>NCC00480</t>
        </is>
      </c>
      <c r="D251" s="70" t="inlineStr">
        <is>
          <t>Phù sa</t>
        </is>
      </c>
      <c r="E251" s="70" t="inlineStr"/>
      <c r="F251" s="70" t="n"/>
      <c r="G251" s="70" t="inlineStr">
        <is>
          <t>Lon</t>
        </is>
      </c>
      <c r="H251" s="72" t="n">
        <v>24000</v>
      </c>
      <c r="I251" s="73" t="n">
        <v>45870</v>
      </c>
      <c r="J251" s="73" t="n">
        <v>45900</v>
      </c>
      <c r="K251" s="74" t="inlineStr">
        <is>
          <t>1</t>
        </is>
      </c>
      <c r="L251" s="74" t="inlineStr">
        <is>
          <t>NPG0082</t>
        </is>
      </c>
      <c r="M251" s="64" t="inlineStr">
        <is>
          <t>NPG0082</t>
        </is>
      </c>
    </row>
    <row r="252" ht="29.1" customHeight="1">
      <c r="A252" s="70" t="inlineStr">
        <is>
          <t>NPG0088</t>
        </is>
      </c>
      <c r="B252" s="71" t="inlineStr">
        <is>
          <t>Mật ong 650ml/chai</t>
        </is>
      </c>
      <c r="C252" s="70" t="inlineStr">
        <is>
          <t>NNCC00920</t>
        </is>
      </c>
      <c r="D252" s="70" t="inlineStr">
        <is>
          <t>Phù sa</t>
        </is>
      </c>
      <c r="E252" s="70" t="inlineStr"/>
      <c r="F252" s="70" t="n"/>
      <c r="G252" s="70" t="inlineStr">
        <is>
          <t>Lon</t>
        </is>
      </c>
      <c r="H252" s="72" t="n">
        <v>35000</v>
      </c>
      <c r="I252" s="73" t="n">
        <v>45870</v>
      </c>
      <c r="J252" s="73" t="n">
        <v>45900</v>
      </c>
      <c r="K252" s="74" t="inlineStr">
        <is>
          <t>1</t>
        </is>
      </c>
      <c r="L252" s="74" t="inlineStr">
        <is>
          <t>NPG0088</t>
        </is>
      </c>
      <c r="M252" s="64" t="inlineStr">
        <is>
          <t>NPG0088</t>
        </is>
      </c>
    </row>
    <row r="253" ht="29.1" customHeight="1">
      <c r="A253" s="70" t="inlineStr">
        <is>
          <t>NPG0094</t>
        </is>
      </c>
      <c r="B253" s="71" t="inlineStr">
        <is>
          <t>Me khô</t>
        </is>
      </c>
      <c r="C253" s="70" t="inlineStr">
        <is>
          <t>NNCC00920</t>
        </is>
      </c>
      <c r="D253" s="70" t="inlineStr">
        <is>
          <t>Phù sa</t>
        </is>
      </c>
      <c r="E253" s="70" t="inlineStr"/>
      <c r="F253" s="70" t="n"/>
      <c r="G253" s="70" t="inlineStr">
        <is>
          <t>Chai</t>
        </is>
      </c>
      <c r="H253" s="72" t="n">
        <v>36000</v>
      </c>
      <c r="I253" s="73" t="n">
        <v>45870</v>
      </c>
      <c r="J253" s="73" t="n">
        <v>45900</v>
      </c>
      <c r="K253" s="74" t="inlineStr">
        <is>
          <t>1</t>
        </is>
      </c>
      <c r="L253" s="74" t="inlineStr">
        <is>
          <t>NPG0094</t>
        </is>
      </c>
      <c r="M253" s="393" t="inlineStr">
        <is>
          <t>NPG0094</t>
        </is>
      </c>
    </row>
    <row r="254" ht="29.1" customHeight="1">
      <c r="A254" s="70" t="inlineStr">
        <is>
          <t>NPG0096</t>
        </is>
      </c>
      <c r="B254" s="71" t="inlineStr">
        <is>
          <t>Mộc nhĩ không chân</t>
        </is>
      </c>
      <c r="C254" s="70" t="inlineStr">
        <is>
          <t>NNCC00920</t>
        </is>
      </c>
      <c r="D254" s="70" t="inlineStr">
        <is>
          <t>Phù sa</t>
        </is>
      </c>
      <c r="E254" s="70" t="inlineStr"/>
      <c r="F254" s="70" t="n"/>
      <c r="G254" s="70" t="inlineStr">
        <is>
          <t>Chai</t>
        </is>
      </c>
      <c r="H254" s="72" t="n">
        <v>100000</v>
      </c>
      <c r="I254" s="73" t="n">
        <v>45870</v>
      </c>
      <c r="J254" s="73" t="n">
        <v>45900</v>
      </c>
      <c r="K254" s="74" t="inlineStr">
        <is>
          <t>1</t>
        </is>
      </c>
      <c r="L254" s="74" t="inlineStr">
        <is>
          <t>NPG0096</t>
        </is>
      </c>
      <c r="M254" s="64" t="inlineStr">
        <is>
          <t>NPG0096</t>
        </is>
      </c>
    </row>
    <row r="255" ht="29.1" customHeight="1">
      <c r="A255" s="70" t="inlineStr">
        <is>
          <t>NPG0101</t>
        </is>
      </c>
      <c r="B255" s="71" t="inlineStr">
        <is>
          <t>Muối vừng</t>
        </is>
      </c>
      <c r="C255" s="70" t="inlineStr">
        <is>
          <t>NCC00480</t>
        </is>
      </c>
      <c r="D255" s="70" t="inlineStr">
        <is>
          <t>Phù sa</t>
        </is>
      </c>
      <c r="E255" s="70" t="inlineStr"/>
      <c r="F255" s="70" t="n"/>
      <c r="G255" s="70" t="inlineStr">
        <is>
          <t>Hộp</t>
        </is>
      </c>
      <c r="H255" s="72" t="n">
        <v>70000</v>
      </c>
      <c r="I255" s="73" t="n">
        <v>45870</v>
      </c>
      <c r="J255" s="73" t="n">
        <v>45900</v>
      </c>
      <c r="K255" s="74" t="inlineStr">
        <is>
          <t>1</t>
        </is>
      </c>
      <c r="L255" s="74" t="inlineStr">
        <is>
          <t>NPG0101</t>
        </is>
      </c>
      <c r="M255" s="64" t="inlineStr">
        <is>
          <t>NPG0101</t>
        </is>
      </c>
    </row>
    <row r="256" ht="29.1" customHeight="1">
      <c r="A256" s="70" t="inlineStr">
        <is>
          <t>NPG0105</t>
        </is>
      </c>
      <c r="B256" s="71" t="inlineStr">
        <is>
          <t>Nước cốt dừa wonderfarm 400ml/lon</t>
        </is>
      </c>
      <c r="C256" s="70" t="inlineStr">
        <is>
          <t>NCC00480</t>
        </is>
      </c>
      <c r="D256" s="70" t="inlineStr">
        <is>
          <t>Phù sa</t>
        </is>
      </c>
      <c r="E256" s="70" t="inlineStr"/>
      <c r="F256" s="70" t="n"/>
      <c r="G256" s="70" t="inlineStr">
        <is>
          <t>Hộp</t>
        </is>
      </c>
      <c r="H256" s="72" t="n">
        <v>24000</v>
      </c>
      <c r="I256" s="73" t="n">
        <v>45870</v>
      </c>
      <c r="J256" s="73" t="n">
        <v>45900</v>
      </c>
      <c r="K256" s="74" t="inlineStr">
        <is>
          <t>1</t>
        </is>
      </c>
      <c r="L256" s="74" t="inlineStr">
        <is>
          <t>NPG0105</t>
        </is>
      </c>
      <c r="M256" s="64" t="inlineStr">
        <is>
          <t>NPG0105</t>
        </is>
      </c>
    </row>
    <row r="257" ht="29.1" customHeight="1">
      <c r="A257" s="70" t="inlineStr">
        <is>
          <t>NPG0117</t>
        </is>
      </c>
      <c r="B257" s="71" t="inlineStr">
        <is>
          <t>Quế chi</t>
        </is>
      </c>
      <c r="C257" s="70" t="inlineStr">
        <is>
          <t>NCC00480</t>
        </is>
      </c>
      <c r="D257" s="70" t="inlineStr">
        <is>
          <t>Phù sa</t>
        </is>
      </c>
      <c r="E257" s="70" t="inlineStr"/>
      <c r="F257" s="70" t="n"/>
      <c r="G257" s="70" t="inlineStr">
        <is>
          <t>Hộp</t>
        </is>
      </c>
      <c r="H257" s="72" t="n">
        <v>85000</v>
      </c>
      <c r="I257" s="73" t="n">
        <v>45870</v>
      </c>
      <c r="J257" s="73" t="n">
        <v>45900</v>
      </c>
      <c r="K257" s="74" t="inlineStr">
        <is>
          <t>1</t>
        </is>
      </c>
      <c r="L257" s="74" t="inlineStr">
        <is>
          <t>NPG0117</t>
        </is>
      </c>
      <c r="M257" s="64" t="inlineStr">
        <is>
          <t>NPG0117</t>
        </is>
      </c>
    </row>
    <row r="258" ht="29.1" customHeight="1">
      <c r="A258" s="70" t="inlineStr">
        <is>
          <t>NPG0127</t>
        </is>
      </c>
      <c r="B258" s="71" t="inlineStr">
        <is>
          <t>Sa tế Thuận phát 6 lọ /vỉ</t>
        </is>
      </c>
      <c r="C258" s="70" t="inlineStr">
        <is>
          <t>NCC00480</t>
        </is>
      </c>
      <c r="D258" s="70" t="inlineStr">
        <is>
          <t>Phù sa</t>
        </is>
      </c>
      <c r="E258" s="70" t="inlineStr"/>
      <c r="F258" s="70" t="n"/>
      <c r="G258" s="70" t="inlineStr">
        <is>
          <t>Chai</t>
        </is>
      </c>
      <c r="H258" s="72" t="n">
        <v>6200</v>
      </c>
      <c r="I258" s="73" t="n">
        <v>45870</v>
      </c>
      <c r="J258" s="73" t="n">
        <v>45900</v>
      </c>
      <c r="K258" s="74" t="inlineStr">
        <is>
          <t>1</t>
        </is>
      </c>
      <c r="L258" s="74" t="inlineStr">
        <is>
          <t>NPG0127</t>
        </is>
      </c>
      <c r="M258" s="64" t="inlineStr">
        <is>
          <t>NPG0127</t>
        </is>
      </c>
    </row>
    <row r="259" ht="29.1" customHeight="1">
      <c r="A259" s="70" t="inlineStr">
        <is>
          <t>NPG0135</t>
        </is>
      </c>
      <c r="B259" s="71" t="inlineStr">
        <is>
          <t>Sốt mayonnaise 3kg/hộp</t>
        </is>
      </c>
      <c r="C259" s="70" t="inlineStr">
        <is>
          <t>NNCC00920</t>
        </is>
      </c>
      <c r="D259" s="70" t="inlineStr">
        <is>
          <t>Phù sa</t>
        </is>
      </c>
      <c r="E259" s="70" t="inlineStr"/>
      <c r="F259" s="70" t="n"/>
      <c r="G259" s="70" t="inlineStr">
        <is>
          <t>Chai</t>
        </is>
      </c>
      <c r="H259" s="72" t="n">
        <v>75000</v>
      </c>
      <c r="I259" s="73" t="n">
        <v>45870</v>
      </c>
      <c r="J259" s="73" t="n">
        <v>45900</v>
      </c>
      <c r="K259" s="74" t="inlineStr">
        <is>
          <t>1</t>
        </is>
      </c>
      <c r="L259" s="74" t="inlineStr">
        <is>
          <t>NPG0135</t>
        </is>
      </c>
      <c r="M259" s="64" t="inlineStr">
        <is>
          <t>NPG0135</t>
        </is>
      </c>
    </row>
    <row r="260" ht="29.1" customHeight="1">
      <c r="A260" s="74" t="inlineStr">
        <is>
          <t>NLR0051</t>
        </is>
      </c>
      <c r="B260" s="74" t="inlineStr">
        <is>
          <t>Chuối xanh</t>
        </is>
      </c>
      <c r="C260" s="74" t="inlineStr">
        <is>
          <t>NLR0051</t>
        </is>
      </c>
      <c r="D260" s="74" t="inlineStr">
        <is>
          <t>Phù sa</t>
        </is>
      </c>
      <c r="E260" s="74" t="inlineStr"/>
      <c r="F260" s="74" t="n"/>
      <c r="G260" s="74" t="inlineStr">
        <is>
          <t>kg</t>
        </is>
      </c>
      <c r="H260" s="76" t="n">
        <v>11500</v>
      </c>
      <c r="I260" s="73" t="n">
        <v>45870</v>
      </c>
      <c r="J260" s="73" t="n">
        <v>45900</v>
      </c>
      <c r="K260" s="74" t="inlineStr">
        <is>
          <t>1</t>
        </is>
      </c>
      <c r="L260" s="74" t="inlineStr">
        <is>
          <t>NLR0051</t>
        </is>
      </c>
      <c r="M260" s="393" t="inlineStr">
        <is>
          <t>NLR0051</t>
        </is>
      </c>
    </row>
    <row r="261" ht="29.1" customHeight="1">
      <c r="A261" s="70" t="inlineStr">
        <is>
          <t>NPG0147</t>
        </is>
      </c>
      <c r="B261" s="71" t="inlineStr">
        <is>
          <t>Thảo quả</t>
        </is>
      </c>
      <c r="C261" s="70" t="inlineStr">
        <is>
          <t>NCC00480</t>
        </is>
      </c>
      <c r="D261" s="70" t="inlineStr">
        <is>
          <t>Phù sa</t>
        </is>
      </c>
      <c r="E261" s="70" t="inlineStr"/>
      <c r="F261" s="70" t="n"/>
      <c r="G261" s="70" t="inlineStr">
        <is>
          <t>Bịch</t>
        </is>
      </c>
      <c r="H261" s="72" t="n">
        <v>200000</v>
      </c>
      <c r="I261" s="73" t="n">
        <v>45870</v>
      </c>
      <c r="J261" s="73" t="n">
        <v>45900</v>
      </c>
      <c r="K261" s="74" t="inlineStr">
        <is>
          <t>1</t>
        </is>
      </c>
      <c r="L261" s="74" t="inlineStr">
        <is>
          <t>NPG0147</t>
        </is>
      </c>
      <c r="M261" s="64" t="inlineStr">
        <is>
          <t>NPG0147</t>
        </is>
      </c>
    </row>
    <row r="262" ht="29.1" customHeight="1">
      <c r="A262" s="70" t="inlineStr">
        <is>
          <t>NPG0149</t>
        </is>
      </c>
      <c r="B262" s="71" t="inlineStr">
        <is>
          <t>Thuốc bắc 0.1kg/gói</t>
        </is>
      </c>
      <c r="C262" s="70" t="inlineStr">
        <is>
          <t>NCC00480</t>
        </is>
      </c>
      <c r="D262" s="70" t="inlineStr">
        <is>
          <t>Phù sa</t>
        </is>
      </c>
      <c r="E262" s="70" t="inlineStr"/>
      <c r="F262" s="70" t="n"/>
      <c r="G262" s="70" t="inlineStr">
        <is>
          <t>Chai</t>
        </is>
      </c>
      <c r="H262" s="72" t="n">
        <v>3500</v>
      </c>
      <c r="I262" s="73" t="n">
        <v>45870</v>
      </c>
      <c r="J262" s="73" t="n">
        <v>45900</v>
      </c>
      <c r="K262" s="74" t="inlineStr">
        <is>
          <t>1</t>
        </is>
      </c>
      <c r="L262" s="74" t="inlineStr">
        <is>
          <t>NPG0149</t>
        </is>
      </c>
      <c r="M262" s="64" t="inlineStr">
        <is>
          <t>NPG0149</t>
        </is>
      </c>
    </row>
    <row r="263" ht="29.1" customHeight="1">
      <c r="A263" s="70" t="inlineStr">
        <is>
          <t>NPG0153</t>
        </is>
      </c>
      <c r="B263" s="71" t="inlineStr">
        <is>
          <t>Vừng nõn sống</t>
        </is>
      </c>
      <c r="C263" s="70" t="inlineStr">
        <is>
          <t>NNCC00920</t>
        </is>
      </c>
      <c r="D263" s="70" t="inlineStr">
        <is>
          <t>Phù sa</t>
        </is>
      </c>
      <c r="E263" s="70" t="inlineStr"/>
      <c r="F263" s="70" t="n"/>
      <c r="G263" s="70" t="inlineStr">
        <is>
          <t>Lon</t>
        </is>
      </c>
      <c r="H263" s="72" t="n">
        <v>75000</v>
      </c>
      <c r="I263" s="73" t="n">
        <v>45870</v>
      </c>
      <c r="J263" s="73" t="n">
        <v>45900</v>
      </c>
      <c r="K263" s="74" t="inlineStr">
        <is>
          <t>1</t>
        </is>
      </c>
      <c r="L263" s="74" t="inlineStr">
        <is>
          <t>NPG0153</t>
        </is>
      </c>
      <c r="M263" s="64" t="inlineStr">
        <is>
          <t>NPG0153</t>
        </is>
      </c>
    </row>
    <row r="264" ht="29.1" customHeight="1">
      <c r="A264" s="70" t="inlineStr">
        <is>
          <t>NPG0156</t>
        </is>
      </c>
      <c r="B264" s="71" t="inlineStr">
        <is>
          <t>Xì dầu Hàng Việt 500ml*24 chai</t>
        </is>
      </c>
      <c r="C264" s="70" t="inlineStr">
        <is>
          <t>NCC00480</t>
        </is>
      </c>
      <c r="D264" s="70" t="inlineStr">
        <is>
          <t>Phù sa</t>
        </is>
      </c>
      <c r="E264" s="70" t="inlineStr"/>
      <c r="F264" s="70" t="n"/>
      <c r="G264" s="70" t="inlineStr">
        <is>
          <t>Lon</t>
        </is>
      </c>
      <c r="H264" s="72" t="n">
        <v>7000</v>
      </c>
      <c r="I264" s="73" t="n">
        <v>45870</v>
      </c>
      <c r="J264" s="73" t="n">
        <v>45900</v>
      </c>
      <c r="K264" s="74" t="inlineStr">
        <is>
          <t>1</t>
        </is>
      </c>
      <c r="L264" s="74" t="inlineStr">
        <is>
          <t>NPG0156</t>
        </is>
      </c>
      <c r="M264" s="64" t="inlineStr">
        <is>
          <t>NPG0156</t>
        </is>
      </c>
    </row>
    <row r="265" ht="29.1" customHeight="1">
      <c r="A265" s="70" t="inlineStr">
        <is>
          <t>NPG0162</t>
        </is>
      </c>
      <c r="B265" s="71" t="inlineStr">
        <is>
          <t>Nước mắm Siêu tiết kiệm 800ml/chai, 18 chai/thùng</t>
        </is>
      </c>
      <c r="C265" s="70" t="inlineStr">
        <is>
          <t>NCC00480</t>
        </is>
      </c>
      <c r="D265" s="70" t="inlineStr">
        <is>
          <t>Phù sa</t>
        </is>
      </c>
      <c r="E265" s="70" t="inlineStr"/>
      <c r="F265" s="70" t="n"/>
      <c r="G265" s="70" t="inlineStr">
        <is>
          <t>Chai</t>
        </is>
      </c>
      <c r="H265" s="72" t="n">
        <v>12000</v>
      </c>
      <c r="I265" s="73" t="n">
        <v>45870</v>
      </c>
      <c r="J265" s="73" t="n">
        <v>45900</v>
      </c>
      <c r="K265" s="74" t="inlineStr">
        <is>
          <t>1</t>
        </is>
      </c>
      <c r="L265" s="74" t="inlineStr">
        <is>
          <t>NPG0162</t>
        </is>
      </c>
      <c r="M265" s="64" t="inlineStr">
        <is>
          <t>NPG0162</t>
        </is>
      </c>
    </row>
    <row r="266" ht="29.1" customHeight="1">
      <c r="A266" s="70" t="inlineStr">
        <is>
          <t>NPG0174</t>
        </is>
      </c>
      <c r="B266" s="71" t="inlineStr">
        <is>
          <t>Bột rang muối Tuấn Phương (gói 450g)</t>
        </is>
      </c>
      <c r="C266" s="70" t="inlineStr">
        <is>
          <t>NNCC00972</t>
        </is>
      </c>
      <c r="D266" s="70" t="inlineStr">
        <is>
          <t>Phù sa</t>
        </is>
      </c>
      <c r="E266" s="70" t="inlineStr">
        <is>
          <t>B-1523</t>
        </is>
      </c>
      <c r="F266" s="70" t="n"/>
      <c r="G266" s="70" t="inlineStr">
        <is>
          <t>Chai</t>
        </is>
      </c>
      <c r="H266" s="72" t="n">
        <v>27000</v>
      </c>
      <c r="I266" s="73" t="n">
        <v>45870</v>
      </c>
      <c r="J266" s="73" t="n">
        <v>45900</v>
      </c>
      <c r="K266" s="74" t="inlineStr">
        <is>
          <t>1</t>
        </is>
      </c>
      <c r="L266" s="74" t="inlineStr">
        <is>
          <t>NPG0174</t>
        </is>
      </c>
      <c r="M266" s="64" t="inlineStr">
        <is>
          <t>NPG0174</t>
        </is>
      </c>
    </row>
    <row r="267" ht="29.1" customHeight="1">
      <c r="A267" s="70" t="inlineStr">
        <is>
          <t>NPG0210</t>
        </is>
      </c>
      <c r="B267" s="71" t="inlineStr">
        <is>
          <t>Gia vị phở gà</t>
        </is>
      </c>
      <c r="C267" s="70" t="inlineStr">
        <is>
          <t>NCC00480</t>
        </is>
      </c>
      <c r="D267" s="70" t="inlineStr">
        <is>
          <t>Phù sa</t>
        </is>
      </c>
      <c r="E267" s="70" t="inlineStr"/>
      <c r="F267" s="70" t="n"/>
      <c r="G267" s="70" t="inlineStr">
        <is>
          <t>Chai</t>
        </is>
      </c>
      <c r="H267" s="72" t="n">
        <v>6000</v>
      </c>
      <c r="I267" s="73" t="n">
        <v>45870</v>
      </c>
      <c r="J267" s="73" t="n">
        <v>45900</v>
      </c>
      <c r="K267" s="74" t="inlineStr">
        <is>
          <t>1</t>
        </is>
      </c>
      <c r="L267" s="74" t="inlineStr">
        <is>
          <t>NPG0210</t>
        </is>
      </c>
      <c r="M267" s="64" t="inlineStr">
        <is>
          <t>NPG0210</t>
        </is>
      </c>
    </row>
    <row r="268" ht="29.1" customHeight="1">
      <c r="A268" s="70" t="inlineStr">
        <is>
          <t>NPG0241</t>
        </is>
      </c>
      <c r="B268" s="71" t="inlineStr">
        <is>
          <t>Hạt nêm vị bò Hàn Quốc 1kg/ gói</t>
        </is>
      </c>
      <c r="C268" s="70" t="inlineStr">
        <is>
          <t>NCC00480</t>
        </is>
      </c>
      <c r="D268" s="70" t="inlineStr">
        <is>
          <t>Phù sa</t>
        </is>
      </c>
      <c r="E268" s="70" t="inlineStr"/>
      <c r="F268" s="70" t="n"/>
      <c r="G268" s="70" t="inlineStr">
        <is>
          <t>Hộp</t>
        </is>
      </c>
      <c r="H268" s="72" t="n">
        <v>240000</v>
      </c>
      <c r="I268" s="73" t="n">
        <v>45870</v>
      </c>
      <c r="J268" s="73" t="n">
        <v>45900</v>
      </c>
      <c r="K268" s="74" t="inlineStr">
        <is>
          <t>1</t>
        </is>
      </c>
      <c r="L268" s="74" t="inlineStr">
        <is>
          <t>NPG0241</t>
        </is>
      </c>
      <c r="M268" s="64" t="inlineStr">
        <is>
          <t>NPG0241</t>
        </is>
      </c>
    </row>
    <row r="269" ht="29.1" customHeight="1">
      <c r="A269" s="70" t="inlineStr">
        <is>
          <t>NPG0242</t>
        </is>
      </c>
      <c r="B269" s="71" t="inlineStr">
        <is>
          <t>Hạt nêm cá cơm 1kg/gói</t>
        </is>
      </c>
      <c r="C269" s="70" t="inlineStr">
        <is>
          <t>NNCC00972</t>
        </is>
      </c>
      <c r="D269" s="70" t="inlineStr">
        <is>
          <t>Phù sa</t>
        </is>
      </c>
      <c r="E269" s="70" t="inlineStr">
        <is>
          <t>B-1523</t>
        </is>
      </c>
      <c r="F269" s="70" t="n"/>
      <c r="G269" s="70" t="inlineStr">
        <is>
          <t>Hộp</t>
        </is>
      </c>
      <c r="H269" s="72" t="n">
        <v>225000</v>
      </c>
      <c r="I269" s="73" t="n">
        <v>45870</v>
      </c>
      <c r="J269" s="73" t="n">
        <v>45900</v>
      </c>
      <c r="K269" s="74" t="inlineStr">
        <is>
          <t>1</t>
        </is>
      </c>
      <c r="L269" s="74" t="inlineStr">
        <is>
          <t>NPG0242</t>
        </is>
      </c>
      <c r="M269" s="64" t="inlineStr">
        <is>
          <t>NPG0242</t>
        </is>
      </c>
    </row>
    <row r="270" ht="29.1" customHeight="1">
      <c r="A270" s="70" t="inlineStr">
        <is>
          <t>NPG0243</t>
        </is>
      </c>
      <c r="B270" s="71" t="inlineStr">
        <is>
          <t>Bột tương đen hàn quốc 1kg/ gói</t>
        </is>
      </c>
      <c r="C270" s="70" t="inlineStr">
        <is>
          <t>NCC00480</t>
        </is>
      </c>
      <c r="D270" s="70" t="inlineStr">
        <is>
          <t>Phù sa</t>
        </is>
      </c>
      <c r="E270" s="70" t="inlineStr"/>
      <c r="F270" s="70" t="n"/>
      <c r="G270" s="70" t="inlineStr">
        <is>
          <t>Hộp</t>
        </is>
      </c>
      <c r="H270" s="72" t="n">
        <v>270000</v>
      </c>
      <c r="I270" s="73" t="n">
        <v>45870</v>
      </c>
      <c r="J270" s="73" t="n">
        <v>45900</v>
      </c>
      <c r="K270" s="74" t="inlineStr">
        <is>
          <t>1</t>
        </is>
      </c>
      <c r="L270" s="74" t="inlineStr">
        <is>
          <t>NPG0243</t>
        </is>
      </c>
      <c r="M270" s="64" t="inlineStr">
        <is>
          <t>NPG0243</t>
        </is>
      </c>
    </row>
    <row r="271" ht="29.1" customHeight="1">
      <c r="A271" s="70" t="inlineStr">
        <is>
          <t>NPG0244</t>
        </is>
      </c>
      <c r="B271" s="71" t="inlineStr">
        <is>
          <t>Dấm táo Hàn Quốc 1,8l/ chai</t>
        </is>
      </c>
      <c r="C271" s="70" t="inlineStr">
        <is>
          <t>NCC00480</t>
        </is>
      </c>
      <c r="D271" s="70" t="inlineStr">
        <is>
          <t>Phù sa</t>
        </is>
      </c>
      <c r="E271" s="70" t="inlineStr"/>
      <c r="F271" s="70" t="n"/>
      <c r="G271" s="70" t="inlineStr">
        <is>
          <t>Chai</t>
        </is>
      </c>
      <c r="H271" s="72" t="n">
        <v>95000</v>
      </c>
      <c r="I271" s="73" t="n">
        <v>45870</v>
      </c>
      <c r="J271" s="73" t="n">
        <v>45900</v>
      </c>
      <c r="K271" s="74" t="inlineStr">
        <is>
          <t>1</t>
        </is>
      </c>
      <c r="L271" s="74" t="inlineStr">
        <is>
          <t>NPG0244</t>
        </is>
      </c>
      <c r="M271" s="64" t="inlineStr">
        <is>
          <t>NPG0244</t>
        </is>
      </c>
    </row>
    <row r="272" ht="29.1" customHeight="1">
      <c r="A272" s="70" t="inlineStr">
        <is>
          <t>NPG0246</t>
        </is>
      </c>
      <c r="B272" s="71" t="inlineStr">
        <is>
          <t>Tương Vàng HQ 3kg/hộp</t>
        </is>
      </c>
      <c r="C272" s="70" t="inlineStr">
        <is>
          <t>NNCC00972</t>
        </is>
      </c>
      <c r="D272" s="70" t="inlineStr">
        <is>
          <t>Phù sa</t>
        </is>
      </c>
      <c r="E272" s="70" t="inlineStr">
        <is>
          <t>B-1523</t>
        </is>
      </c>
      <c r="F272" s="70" t="n"/>
      <c r="G272" s="70" t="inlineStr">
        <is>
          <t>Chai</t>
        </is>
      </c>
      <c r="H272" s="72" t="n">
        <v>220000</v>
      </c>
      <c r="I272" s="73" t="n">
        <v>45870</v>
      </c>
      <c r="J272" s="73" t="n">
        <v>45900</v>
      </c>
      <c r="K272" s="74" t="inlineStr">
        <is>
          <t>1</t>
        </is>
      </c>
      <c r="L272" s="74" t="inlineStr">
        <is>
          <t>NPG0246</t>
        </is>
      </c>
      <c r="M272" s="64" t="inlineStr">
        <is>
          <t>NPG0246</t>
        </is>
      </c>
    </row>
    <row r="273" ht="29.1" customHeight="1">
      <c r="A273" s="70" t="inlineStr">
        <is>
          <t>NPG0247</t>
        </is>
      </c>
      <c r="B273" s="71" t="inlineStr">
        <is>
          <t>Tương thối HQ 0,5g/túi</t>
        </is>
      </c>
      <c r="C273" s="70" t="inlineStr">
        <is>
          <t>NCC00480</t>
        </is>
      </c>
      <c r="D273" s="70" t="inlineStr">
        <is>
          <t>Phù sa</t>
        </is>
      </c>
      <c r="E273" s="70" t="inlineStr"/>
      <c r="F273" s="70" t="n"/>
      <c r="G273" s="70" t="inlineStr">
        <is>
          <t>Chai</t>
        </is>
      </c>
      <c r="H273" s="72" t="n">
        <v>89000</v>
      </c>
      <c r="I273" s="73" t="n">
        <v>45870</v>
      </c>
      <c r="J273" s="73" t="n">
        <v>45900</v>
      </c>
      <c r="K273" s="74" t="inlineStr">
        <is>
          <t>1</t>
        </is>
      </c>
      <c r="L273" s="74" t="inlineStr">
        <is>
          <t>NPG0247</t>
        </is>
      </c>
      <c r="M273" s="64" t="inlineStr">
        <is>
          <t>NPG0247</t>
        </is>
      </c>
    </row>
    <row r="274" ht="29.1" customHeight="1">
      <c r="A274" s="70" t="inlineStr">
        <is>
          <t>NPG0249</t>
        </is>
      </c>
      <c r="B274" s="71" t="inlineStr">
        <is>
          <t>Gia vị gà hầm HQ 70g/túi</t>
        </is>
      </c>
      <c r="C274" s="70" t="inlineStr">
        <is>
          <t>NCC00480</t>
        </is>
      </c>
      <c r="D274" s="70" t="inlineStr">
        <is>
          <t>Phù sa</t>
        </is>
      </c>
      <c r="E274" s="70" t="inlineStr"/>
      <c r="F274" s="70" t="n"/>
      <c r="G274" s="70" t="inlineStr">
        <is>
          <t>Chai</t>
        </is>
      </c>
      <c r="H274" s="72" t="n">
        <v>42000</v>
      </c>
      <c r="I274" s="73" t="n">
        <v>45870</v>
      </c>
      <c r="J274" s="73" t="n">
        <v>45900</v>
      </c>
      <c r="K274" s="74" t="inlineStr">
        <is>
          <t>1</t>
        </is>
      </c>
      <c r="L274" s="74" t="inlineStr">
        <is>
          <t>NPG0249</t>
        </is>
      </c>
      <c r="M274" s="64" t="inlineStr">
        <is>
          <t>NPG0249</t>
        </is>
      </c>
    </row>
    <row r="275" ht="29.1" customHeight="1">
      <c r="A275" s="70" t="inlineStr">
        <is>
          <t>NPG0263</t>
        </is>
      </c>
      <c r="B275" s="71" t="inlineStr">
        <is>
          <t>Tương cay Hàn Quốc 3kg/hộp</t>
        </is>
      </c>
      <c r="C275" s="70" t="inlineStr">
        <is>
          <t>NNCC00972</t>
        </is>
      </c>
      <c r="D275" s="70" t="inlineStr">
        <is>
          <t>Phù sa</t>
        </is>
      </c>
      <c r="E275" s="70" t="inlineStr">
        <is>
          <t>B-1523</t>
        </is>
      </c>
      <c r="F275" s="70" t="n"/>
      <c r="G275" s="70" t="inlineStr">
        <is>
          <t>Chai</t>
        </is>
      </c>
      <c r="H275" s="72" t="n">
        <v>135000</v>
      </c>
      <c r="I275" s="73" t="n">
        <v>45870</v>
      </c>
      <c r="J275" s="73" t="n">
        <v>45900</v>
      </c>
      <c r="K275" s="74" t="inlineStr">
        <is>
          <t>1</t>
        </is>
      </c>
      <c r="L275" s="74" t="inlineStr">
        <is>
          <t>NPG0263</t>
        </is>
      </c>
      <c r="M275" s="64" t="inlineStr">
        <is>
          <t>NPG0263</t>
        </is>
      </c>
    </row>
    <row r="276" ht="29.1" customHeight="1">
      <c r="A276" s="70" t="inlineStr">
        <is>
          <t>NPG0268</t>
        </is>
      </c>
      <c r="B276" s="71" t="inlineStr">
        <is>
          <t>Bột béo Tuấn Phương 1kg/ túi</t>
        </is>
      </c>
      <c r="C276" s="70" t="inlineStr">
        <is>
          <t>NNCC00972</t>
        </is>
      </c>
      <c r="D276" s="70" t="inlineStr">
        <is>
          <t>Phù sa</t>
        </is>
      </c>
      <c r="E276" s="70" t="inlineStr">
        <is>
          <t>B-1523</t>
        </is>
      </c>
      <c r="F276" s="70" t="n"/>
      <c r="G276" s="70" t="inlineStr">
        <is>
          <t>Chai</t>
        </is>
      </c>
      <c r="H276" s="72" t="n">
        <v>25000</v>
      </c>
      <c r="I276" s="73" t="n">
        <v>45870</v>
      </c>
      <c r="J276" s="73" t="n">
        <v>45900</v>
      </c>
      <c r="K276" s="74" t="inlineStr">
        <is>
          <t>1</t>
        </is>
      </c>
      <c r="L276" s="74" t="inlineStr">
        <is>
          <t>NPG0268</t>
        </is>
      </c>
      <c r="M276" s="64" t="inlineStr">
        <is>
          <t>NPG0268</t>
        </is>
      </c>
    </row>
    <row r="277" ht="29.1" customHeight="1">
      <c r="A277" s="70" t="inlineStr">
        <is>
          <t>NPG0273</t>
        </is>
      </c>
      <c r="B277" s="71" t="inlineStr">
        <is>
          <t>Dấm Hoàng Hải 500ml/chai*24 chai</t>
        </is>
      </c>
      <c r="C277" s="70" t="inlineStr">
        <is>
          <t>NCC00480</t>
        </is>
      </c>
      <c r="D277" s="70" t="inlineStr">
        <is>
          <t>Phù sa</t>
        </is>
      </c>
      <c r="E277" s="70" t="inlineStr"/>
      <c r="F277" s="70" t="n"/>
      <c r="G277" s="70" t="inlineStr">
        <is>
          <t>Chai</t>
        </is>
      </c>
      <c r="H277" s="72" t="n">
        <v>2000</v>
      </c>
      <c r="I277" s="73" t="n">
        <v>45870</v>
      </c>
      <c r="J277" s="73" t="n">
        <v>45900</v>
      </c>
      <c r="K277" s="74" t="inlineStr">
        <is>
          <t>1</t>
        </is>
      </c>
      <c r="L277" s="74" t="inlineStr">
        <is>
          <t>NPG0273</t>
        </is>
      </c>
      <c r="M277" s="64" t="inlineStr">
        <is>
          <t>NPG0273</t>
        </is>
      </c>
    </row>
    <row r="278" ht="29.1" customHeight="1">
      <c r="A278" s="70" t="inlineStr">
        <is>
          <t>NPG0277</t>
        </is>
      </c>
      <c r="B278" s="71" t="inlineStr">
        <is>
          <t>Bột năng Thành phát 1kg/gói</t>
        </is>
      </c>
      <c r="C278" s="70" t="inlineStr">
        <is>
          <t>NNCC00972</t>
        </is>
      </c>
      <c r="D278" s="70" t="inlineStr">
        <is>
          <t>Phù sa</t>
        </is>
      </c>
      <c r="E278" s="70" t="inlineStr">
        <is>
          <t>B-1523</t>
        </is>
      </c>
      <c r="F278" s="70" t="n"/>
      <c r="G278" s="70" t="inlineStr">
        <is>
          <t>Chai</t>
        </is>
      </c>
      <c r="H278" s="72" t="n">
        <v>18000</v>
      </c>
      <c r="I278" s="73" t="n">
        <v>45870</v>
      </c>
      <c r="J278" s="73" t="n">
        <v>45900</v>
      </c>
      <c r="K278" s="74" t="inlineStr">
        <is>
          <t>1</t>
        </is>
      </c>
      <c r="L278" s="74" t="inlineStr">
        <is>
          <t>NPG0277</t>
        </is>
      </c>
      <c r="M278" s="64" t="inlineStr">
        <is>
          <t>NPG0277</t>
        </is>
      </c>
    </row>
    <row r="279" ht="29.1" customHeight="1">
      <c r="A279" s="70" t="inlineStr">
        <is>
          <t>NPG0278</t>
        </is>
      </c>
      <c r="B279" s="71" t="inlineStr">
        <is>
          <t>Quả tai chua khô ( 1kg/ gói)</t>
        </is>
      </c>
      <c r="C279" s="70" t="inlineStr">
        <is>
          <t>NCC00480</t>
        </is>
      </c>
      <c r="D279" s="70" t="inlineStr">
        <is>
          <t>Phù sa</t>
        </is>
      </c>
      <c r="E279" s="70" t="inlineStr"/>
      <c r="F279" s="70" t="n"/>
      <c r="G279" s="70" t="inlineStr">
        <is>
          <t>Hộp</t>
        </is>
      </c>
      <c r="H279" s="72" t="n">
        <v>80000</v>
      </c>
      <c r="I279" s="73" t="n">
        <v>45870</v>
      </c>
      <c r="J279" s="73" t="n">
        <v>45900</v>
      </c>
      <c r="K279" s="74" t="inlineStr">
        <is>
          <t>1</t>
        </is>
      </c>
      <c r="L279" s="74" t="inlineStr">
        <is>
          <t>NPG0278</t>
        </is>
      </c>
      <c r="M279" s="64" t="inlineStr">
        <is>
          <t>NPG0278</t>
        </is>
      </c>
    </row>
    <row r="280" ht="29.1" customHeight="1">
      <c r="A280" s="70" t="inlineStr">
        <is>
          <t>NPG0309</t>
        </is>
      </c>
      <c r="B280" s="71" t="inlineStr">
        <is>
          <t>Bột bắp tuấn phương 1kg/gói</t>
        </is>
      </c>
      <c r="C280" s="70" t="inlineStr">
        <is>
          <t>NCC00480</t>
        </is>
      </c>
      <c r="D280" s="70" t="inlineStr">
        <is>
          <t>Phù sa</t>
        </is>
      </c>
      <c r="E280" s="70" t="inlineStr"/>
      <c r="F280" s="70" t="n"/>
      <c r="G280" s="70" t="inlineStr">
        <is>
          <t>Hộp</t>
        </is>
      </c>
      <c r="H280" s="72" t="n">
        <v>25000</v>
      </c>
      <c r="I280" s="73" t="n">
        <v>45870</v>
      </c>
      <c r="J280" s="73" t="n">
        <v>45900</v>
      </c>
      <c r="K280" s="74" t="inlineStr">
        <is>
          <t>1</t>
        </is>
      </c>
      <c r="L280" s="74" t="inlineStr">
        <is>
          <t>NPG0309</t>
        </is>
      </c>
      <c r="M280" s="64" t="inlineStr">
        <is>
          <t>NPG0309</t>
        </is>
      </c>
    </row>
    <row r="281" ht="29.1" customHeight="1">
      <c r="A281" s="70" t="inlineStr">
        <is>
          <t>NPG0316</t>
        </is>
      </c>
      <c r="B281" s="71" t="inlineStr">
        <is>
          <t>Gia vị phở bò Nosa Food (75g /4 Viên)</t>
        </is>
      </c>
      <c r="C281" s="70" t="inlineStr">
        <is>
          <t>NCC00480</t>
        </is>
      </c>
      <c r="D281" s="70" t="inlineStr">
        <is>
          <t>Phù sa</t>
        </is>
      </c>
      <c r="E281" s="70" t="inlineStr"/>
      <c r="F281" s="70" t="n"/>
      <c r="G281" s="70" t="inlineStr">
        <is>
          <t>Chai</t>
        </is>
      </c>
      <c r="H281" s="72" t="n">
        <v>4800</v>
      </c>
      <c r="I281" s="73" t="n">
        <v>45870</v>
      </c>
      <c r="J281" s="73" t="n">
        <v>45900</v>
      </c>
      <c r="K281" s="74" t="inlineStr">
        <is>
          <t>1</t>
        </is>
      </c>
      <c r="L281" s="74" t="inlineStr">
        <is>
          <t>NPG0316</t>
        </is>
      </c>
      <c r="M281" s="64" t="inlineStr">
        <is>
          <t>NPG0316</t>
        </is>
      </c>
    </row>
    <row r="282" ht="29.1" customHeight="1">
      <c r="A282" s="70" t="inlineStr">
        <is>
          <t>NPG0334</t>
        </is>
      </c>
      <c r="B282" s="71" t="inlineStr">
        <is>
          <t>Ớt bột cánh to HQ( 1kg/túi)</t>
        </is>
      </c>
      <c r="C282" s="70" t="inlineStr">
        <is>
          <t>NNCC00920</t>
        </is>
      </c>
      <c r="D282" s="70" t="inlineStr">
        <is>
          <t>Phù sa</t>
        </is>
      </c>
      <c r="E282" s="70" t="inlineStr"/>
      <c r="F282" s="70" t="n"/>
      <c r="G282" s="70" t="inlineStr">
        <is>
          <t>Chai</t>
        </is>
      </c>
      <c r="H282" s="72" t="n">
        <v>160000</v>
      </c>
      <c r="I282" s="73" t="n">
        <v>45870</v>
      </c>
      <c r="J282" s="73" t="n">
        <v>45900</v>
      </c>
      <c r="K282" s="74" t="inlineStr">
        <is>
          <t>1</t>
        </is>
      </c>
      <c r="L282" s="74" t="inlineStr">
        <is>
          <t>NPG0334</t>
        </is>
      </c>
      <c r="M282" s="64" t="inlineStr">
        <is>
          <t>NPG0334</t>
        </is>
      </c>
    </row>
    <row r="283" ht="29.1" customHeight="1">
      <c r="A283" s="70" t="inlineStr">
        <is>
          <t>NPG0335</t>
        </is>
      </c>
      <c r="B283" s="71" t="inlineStr">
        <is>
          <t>Ớt bột cánh nhỏ HQ(1kg/túi)</t>
        </is>
      </c>
      <c r="C283" s="70" t="inlineStr">
        <is>
          <t>NCC00480</t>
        </is>
      </c>
      <c r="D283" s="70" t="inlineStr">
        <is>
          <t>Phù sa</t>
        </is>
      </c>
      <c r="E283" s="70" t="inlineStr"/>
      <c r="F283" s="70" t="n"/>
      <c r="G283" s="70" t="inlineStr">
        <is>
          <t>Lon</t>
        </is>
      </c>
      <c r="H283" s="72" t="n">
        <v>160000</v>
      </c>
      <c r="I283" s="73" t="n">
        <v>45870</v>
      </c>
      <c r="J283" s="73" t="n">
        <v>45900</v>
      </c>
      <c r="K283" s="74" t="inlineStr">
        <is>
          <t>1</t>
        </is>
      </c>
      <c r="L283" s="74" t="inlineStr">
        <is>
          <t>NPG0335</t>
        </is>
      </c>
      <c r="M283" s="64" t="inlineStr">
        <is>
          <t>NPG0335</t>
        </is>
      </c>
    </row>
    <row r="284" ht="29.1" customHeight="1">
      <c r="A284" s="70" t="inlineStr">
        <is>
          <t>NPG0343</t>
        </is>
      </c>
      <c r="B284" s="71" t="inlineStr">
        <is>
          <t>Bột chiên giòn Tuấn Phương 1kg/ gói : DVT kg</t>
        </is>
      </c>
      <c r="C284" s="70" t="inlineStr">
        <is>
          <t>NNCC00920</t>
        </is>
      </c>
      <c r="D284" s="70" t="inlineStr">
        <is>
          <t>Phù sa</t>
        </is>
      </c>
      <c r="E284" s="70" t="inlineStr"/>
      <c r="F284" s="70" t="n"/>
      <c r="G284" s="70" t="inlineStr">
        <is>
          <t>Chai</t>
        </is>
      </c>
      <c r="H284" s="72" t="n">
        <v>19000</v>
      </c>
      <c r="I284" s="73" t="n">
        <v>45870</v>
      </c>
      <c r="J284" s="73" t="n">
        <v>45900</v>
      </c>
      <c r="K284" s="74" t="inlineStr">
        <is>
          <t>1</t>
        </is>
      </c>
      <c r="L284" s="74" t="inlineStr">
        <is>
          <t>NPG0343</t>
        </is>
      </c>
      <c r="M284" s="64" t="inlineStr">
        <is>
          <t>NPG0343</t>
        </is>
      </c>
    </row>
    <row r="285" ht="29.1" customHeight="1">
      <c r="A285" s="70" t="inlineStr">
        <is>
          <t>NPG0346</t>
        </is>
      </c>
      <c r="B285" s="71" t="inlineStr">
        <is>
          <t>Sốt thịt chiên xù hàn quốc 2.1lit/chai</t>
        </is>
      </c>
      <c r="C285" s="70" t="inlineStr">
        <is>
          <t>NCC00480</t>
        </is>
      </c>
      <c r="D285" s="70" t="inlineStr">
        <is>
          <t>Phù sa</t>
        </is>
      </c>
      <c r="E285" s="70" t="inlineStr"/>
      <c r="F285" s="70" t="n"/>
      <c r="G285" s="70" t="inlineStr">
        <is>
          <t>Lon</t>
        </is>
      </c>
      <c r="H285" s="72" t="n">
        <v>180000</v>
      </c>
      <c r="I285" s="73" t="n">
        <v>45870</v>
      </c>
      <c r="J285" s="73" t="n">
        <v>45900</v>
      </c>
      <c r="K285" s="74" t="inlineStr">
        <is>
          <t>1</t>
        </is>
      </c>
      <c r="L285" s="74" t="inlineStr">
        <is>
          <t>NPG0346</t>
        </is>
      </c>
      <c r="M285" s="64" t="inlineStr">
        <is>
          <t>NPG0346</t>
        </is>
      </c>
    </row>
    <row r="286" ht="29.1" customHeight="1">
      <c r="A286" s="70" t="inlineStr">
        <is>
          <t>NPG0352</t>
        </is>
      </c>
      <c r="B286" s="71" t="inlineStr">
        <is>
          <t>Mạch nha Hàn Quốc 1.2kg/chai</t>
        </is>
      </c>
      <c r="C286" s="70" t="inlineStr">
        <is>
          <t>NNCC00920</t>
        </is>
      </c>
      <c r="D286" s="70" t="inlineStr">
        <is>
          <t>Phù sa</t>
        </is>
      </c>
      <c r="E286" s="70" t="inlineStr"/>
      <c r="F286" s="70" t="n"/>
      <c r="G286" s="70" t="inlineStr">
        <is>
          <t>Lon</t>
        </is>
      </c>
      <c r="H286" s="72" t="n">
        <v>100000</v>
      </c>
      <c r="I286" s="73" t="n">
        <v>45870</v>
      </c>
      <c r="J286" s="73" t="n">
        <v>45900</v>
      </c>
      <c r="K286" s="74" t="inlineStr">
        <is>
          <t>1</t>
        </is>
      </c>
      <c r="L286" s="74" t="inlineStr">
        <is>
          <t>NPG0352</t>
        </is>
      </c>
      <c r="M286" s="64" t="inlineStr">
        <is>
          <t>NPG0352</t>
        </is>
      </c>
    </row>
    <row r="287" ht="29.1" customHeight="1">
      <c r="A287" s="70" t="inlineStr">
        <is>
          <t>NPG0356</t>
        </is>
      </c>
      <c r="B287" s="71" t="inlineStr">
        <is>
          <t>Tảo hẹ (tảo biển khô) 1kg/túi</t>
        </is>
      </c>
      <c r="C287" s="70" t="inlineStr">
        <is>
          <t>NNCC00920</t>
        </is>
      </c>
      <c r="D287" s="70" t="inlineStr">
        <is>
          <t>Phù sa</t>
        </is>
      </c>
      <c r="E287" s="70" t="inlineStr"/>
      <c r="F287" s="70" t="n"/>
      <c r="G287" s="70" t="inlineStr">
        <is>
          <t>Lon</t>
        </is>
      </c>
      <c r="H287" s="72" t="n">
        <v>460000</v>
      </c>
      <c r="I287" s="73" t="n">
        <v>45870</v>
      </c>
      <c r="J287" s="73" t="n">
        <v>45900</v>
      </c>
      <c r="K287" s="74" t="inlineStr">
        <is>
          <t>1</t>
        </is>
      </c>
      <c r="L287" s="74" t="inlineStr">
        <is>
          <t>NPG0356</t>
        </is>
      </c>
      <c r="M287" s="64" t="inlineStr">
        <is>
          <t>NPG0356</t>
        </is>
      </c>
    </row>
    <row r="288" ht="29.1" customHeight="1">
      <c r="A288" s="70" t="inlineStr">
        <is>
          <t>NPG0357</t>
        </is>
      </c>
      <c r="B288" s="71" t="inlineStr">
        <is>
          <t>Mandu chiên hàn quốc , 1.4kg/ túi</t>
        </is>
      </c>
      <c r="C288" s="70" t="inlineStr">
        <is>
          <t>NCC00480</t>
        </is>
      </c>
      <c r="D288" s="70" t="inlineStr">
        <is>
          <t>Phù sa</t>
        </is>
      </c>
      <c r="E288" s="70" t="inlineStr"/>
      <c r="F288" s="70" t="n"/>
      <c r="G288" s="70" t="inlineStr">
        <is>
          <t>Hộp</t>
        </is>
      </c>
      <c r="H288" s="72" t="n">
        <v>255000</v>
      </c>
      <c r="I288" s="73" t="n">
        <v>45870</v>
      </c>
      <c r="J288" s="73" t="n">
        <v>45900</v>
      </c>
      <c r="K288" s="74" t="inlineStr">
        <is>
          <t>1</t>
        </is>
      </c>
      <c r="L288" s="74" t="inlineStr">
        <is>
          <t>NPG0357</t>
        </is>
      </c>
      <c r="M288" s="64" t="inlineStr">
        <is>
          <t>NPG0357</t>
        </is>
      </c>
    </row>
    <row r="289" ht="29.1" customHeight="1">
      <c r="A289" s="70" t="inlineStr">
        <is>
          <t>NPG0358</t>
        </is>
      </c>
      <c r="B289" s="71" t="inlineStr">
        <is>
          <t>Mandu hấp bibigo hàn quốc 1.4kg/túi</t>
        </is>
      </c>
      <c r="C289" s="70" t="inlineStr">
        <is>
          <t>NCC00480</t>
        </is>
      </c>
      <c r="D289" s="70" t="inlineStr">
        <is>
          <t>Phù sa</t>
        </is>
      </c>
      <c r="E289" s="70" t="inlineStr"/>
      <c r="F289" s="70" t="n"/>
      <c r="G289" s="70" t="inlineStr">
        <is>
          <t>Hộp</t>
        </is>
      </c>
      <c r="H289" s="72" t="n">
        <v>255000</v>
      </c>
      <c r="I289" s="73" t="n">
        <v>45870</v>
      </c>
      <c r="J289" s="73" t="n">
        <v>45900</v>
      </c>
      <c r="K289" s="74" t="inlineStr">
        <is>
          <t>1</t>
        </is>
      </c>
      <c r="L289" s="74" t="inlineStr">
        <is>
          <t>NPG0358</t>
        </is>
      </c>
      <c r="M289" s="64" t="inlineStr">
        <is>
          <t>NPG0358</t>
        </is>
      </c>
    </row>
    <row r="290" ht="29.1" customHeight="1">
      <c r="A290" s="70" t="inlineStr">
        <is>
          <t>NPG0359</t>
        </is>
      </c>
      <c r="B290" s="71" t="inlineStr">
        <is>
          <t>Mandu canh bibigo hàn quốc  1,35kg/túi</t>
        </is>
      </c>
      <c r="C290" s="70" t="inlineStr">
        <is>
          <t>NNCC00920</t>
        </is>
      </c>
      <c r="D290" s="70" t="inlineStr">
        <is>
          <t>Phù sa</t>
        </is>
      </c>
      <c r="E290" s="70" t="inlineStr"/>
      <c r="F290" s="70" t="n"/>
      <c r="G290" s="70" t="inlineStr">
        <is>
          <t>Hộp</t>
        </is>
      </c>
      <c r="H290" s="72" t="n">
        <v>265000</v>
      </c>
      <c r="I290" s="73" t="n">
        <v>45870</v>
      </c>
      <c r="J290" s="73" t="n">
        <v>45900</v>
      </c>
      <c r="K290" s="74" t="inlineStr">
        <is>
          <t>1</t>
        </is>
      </c>
      <c r="L290" s="74" t="inlineStr">
        <is>
          <t>NPG0359</t>
        </is>
      </c>
      <c r="M290" s="64" t="inlineStr">
        <is>
          <t>NPG0359</t>
        </is>
      </c>
    </row>
    <row r="291" ht="29.1" customHeight="1">
      <c r="A291" s="70" t="inlineStr">
        <is>
          <t>NPG0363</t>
        </is>
      </c>
      <c r="B291" s="71" t="inlineStr">
        <is>
          <t>Rong biển 200g/túi</t>
        </is>
      </c>
      <c r="C291" s="70" t="inlineStr">
        <is>
          <t>NNCC00972</t>
        </is>
      </c>
      <c r="D291" s="70" t="inlineStr">
        <is>
          <t>Phù sa</t>
        </is>
      </c>
      <c r="E291" s="70" t="inlineStr">
        <is>
          <t>B-1523</t>
        </is>
      </c>
      <c r="F291" s="70" t="n"/>
      <c r="G291" s="70" t="inlineStr">
        <is>
          <t>Hộp</t>
        </is>
      </c>
      <c r="H291" s="72" t="n">
        <v>145000</v>
      </c>
      <c r="I291" s="73" t="n">
        <v>45870</v>
      </c>
      <c r="J291" s="73" t="n">
        <v>45900</v>
      </c>
      <c r="K291" s="74" t="inlineStr">
        <is>
          <t>1</t>
        </is>
      </c>
      <c r="L291" s="74" t="inlineStr">
        <is>
          <t>NPG0363</t>
        </is>
      </c>
      <c r="M291" s="64" t="inlineStr">
        <is>
          <t>NPG0363</t>
        </is>
      </c>
    </row>
    <row r="292" ht="29.1" customHeight="1">
      <c r="A292" s="70" t="inlineStr">
        <is>
          <t>NPG0364</t>
        </is>
      </c>
      <c r="B292" s="71" t="inlineStr">
        <is>
          <t>Sốt ướp Sườn heo Bulgogi 10kg/can</t>
        </is>
      </c>
      <c r="C292" s="70" t="inlineStr">
        <is>
          <t>NCC00480</t>
        </is>
      </c>
      <c r="D292" s="70" t="inlineStr">
        <is>
          <t>Phù sa</t>
        </is>
      </c>
      <c r="E292" s="70" t="inlineStr"/>
      <c r="F292" s="70" t="n"/>
      <c r="G292" s="70" t="inlineStr">
        <is>
          <t>Hộp</t>
        </is>
      </c>
      <c r="H292" s="72" t="n">
        <v>75000</v>
      </c>
      <c r="I292" s="73" t="n">
        <v>45870</v>
      </c>
      <c r="J292" s="73" t="n">
        <v>45900</v>
      </c>
      <c r="K292" s="74" t="inlineStr">
        <is>
          <t>1</t>
        </is>
      </c>
      <c r="L292" s="74" t="inlineStr">
        <is>
          <t>NPG0364</t>
        </is>
      </c>
      <c r="M292" s="64" t="inlineStr">
        <is>
          <t>NPG0364</t>
        </is>
      </c>
    </row>
    <row r="293" ht="29.1" customHeight="1">
      <c r="A293" s="70" t="inlineStr">
        <is>
          <t>NPG0365</t>
        </is>
      </c>
      <c r="B293" s="71" t="inlineStr">
        <is>
          <t>Mù tạt mật ong 1,95 kg/chai</t>
        </is>
      </c>
      <c r="C293" s="70" t="inlineStr">
        <is>
          <t>NCC00480</t>
        </is>
      </c>
      <c r="D293" s="70" t="inlineStr">
        <is>
          <t>Phù sa</t>
        </is>
      </c>
      <c r="E293" s="70" t="inlineStr"/>
      <c r="F293" s="70" t="n"/>
      <c r="G293" s="70" t="inlineStr">
        <is>
          <t>Hộp</t>
        </is>
      </c>
      <c r="H293" s="72" t="n">
        <v>235000</v>
      </c>
      <c r="I293" s="73" t="n">
        <v>45870</v>
      </c>
      <c r="J293" s="73" t="n">
        <v>45900</v>
      </c>
      <c r="K293" s="74" t="inlineStr">
        <is>
          <t>1</t>
        </is>
      </c>
      <c r="L293" s="74" t="inlineStr">
        <is>
          <t>NPG0365</t>
        </is>
      </c>
      <c r="M293" s="64" t="inlineStr">
        <is>
          <t>NPG0365</t>
        </is>
      </c>
    </row>
    <row r="294" ht="29.1" customHeight="1">
      <c r="A294" s="70" t="inlineStr">
        <is>
          <t>NPG0384</t>
        </is>
      </c>
      <c r="B294" s="71" t="inlineStr">
        <is>
          <t>Caribo Kim Tinh 3g/Gói</t>
        </is>
      </c>
      <c r="C294" s="70" t="inlineStr">
        <is>
          <t>NCC00480</t>
        </is>
      </c>
      <c r="D294" s="70" t="inlineStr">
        <is>
          <t>Phù sa</t>
        </is>
      </c>
      <c r="E294" s="70" t="inlineStr"/>
      <c r="F294" s="70" t="n"/>
      <c r="G294" s="70" t="inlineStr">
        <is>
          <t>Hộp</t>
        </is>
      </c>
      <c r="H294" s="72" t="n">
        <v>1000</v>
      </c>
      <c r="I294" s="73" t="n">
        <v>45870</v>
      </c>
      <c r="J294" s="73" t="n">
        <v>45900</v>
      </c>
      <c r="K294" s="74" t="inlineStr">
        <is>
          <t>1</t>
        </is>
      </c>
      <c r="L294" s="74" t="inlineStr">
        <is>
          <t>NPG0384</t>
        </is>
      </c>
      <c r="M294" s="64" t="inlineStr">
        <is>
          <t>NPG0384</t>
        </is>
      </c>
    </row>
    <row r="295" ht="29.1" customHeight="1">
      <c r="A295" s="70" t="inlineStr">
        <is>
          <t>NPG0385</t>
        </is>
      </c>
      <c r="B295" s="71" t="inlineStr">
        <is>
          <t>Mắm tôm Phương Nhung 500ml/Chai</t>
        </is>
      </c>
      <c r="C295" s="70" t="inlineStr">
        <is>
          <t>NNCC00920</t>
        </is>
      </c>
      <c r="D295" s="70" t="inlineStr">
        <is>
          <t>Phù sa</t>
        </is>
      </c>
      <c r="E295" s="70" t="inlineStr"/>
      <c r="F295" s="70" t="n"/>
      <c r="G295" s="70" t="inlineStr">
        <is>
          <t>Hộp</t>
        </is>
      </c>
      <c r="H295" s="72" t="n">
        <v>25000</v>
      </c>
      <c r="I295" s="73" t="n">
        <v>45870</v>
      </c>
      <c r="J295" s="73" t="n">
        <v>45900</v>
      </c>
      <c r="K295" s="74" t="inlineStr">
        <is>
          <t>1</t>
        </is>
      </c>
      <c r="L295" s="74" t="inlineStr">
        <is>
          <t>NPG0385</t>
        </is>
      </c>
      <c r="M295" s="64" t="inlineStr">
        <is>
          <t>NPG0385</t>
        </is>
      </c>
    </row>
    <row r="296" ht="29.1" customHeight="1">
      <c r="A296" s="70" t="inlineStr">
        <is>
          <t>NPG0391</t>
        </is>
      </c>
      <c r="B296" s="71" t="inlineStr">
        <is>
          <t>Bột thính gạo Lan Chi 1kg/gói</t>
        </is>
      </c>
      <c r="C296" s="70" t="inlineStr">
        <is>
          <t>NNCC00972</t>
        </is>
      </c>
      <c r="D296" s="70" t="inlineStr">
        <is>
          <t>Phù sa</t>
        </is>
      </c>
      <c r="E296" s="70" t="inlineStr">
        <is>
          <t>B-1523</t>
        </is>
      </c>
      <c r="F296" s="70" t="n"/>
      <c r="G296" s="70" t="inlineStr">
        <is>
          <t>Hộp</t>
        </is>
      </c>
      <c r="H296" s="72" t="n">
        <v>35000</v>
      </c>
      <c r="I296" s="73" t="n">
        <v>45870</v>
      </c>
      <c r="J296" s="73" t="n">
        <v>45900</v>
      </c>
      <c r="K296" s="74" t="inlineStr">
        <is>
          <t>1</t>
        </is>
      </c>
      <c r="L296" s="74" t="inlineStr">
        <is>
          <t>NPG0391</t>
        </is>
      </c>
      <c r="M296" s="64" t="inlineStr">
        <is>
          <t>NPG0391</t>
        </is>
      </c>
    </row>
    <row r="297" ht="29.1" customHeight="1">
      <c r="A297" s="70" t="inlineStr">
        <is>
          <t>NPG0392</t>
        </is>
      </c>
      <c r="B297" s="71" t="inlineStr">
        <is>
          <t>Bột rau câu Hiệp Long 12g/Gói</t>
        </is>
      </c>
      <c r="C297" s="70" t="inlineStr">
        <is>
          <t>NCC00480</t>
        </is>
      </c>
      <c r="D297" s="70" t="inlineStr">
        <is>
          <t>Phù sa</t>
        </is>
      </c>
      <c r="E297" s="70" t="inlineStr"/>
      <c r="F297" s="70" t="n"/>
      <c r="G297" s="70" t="inlineStr">
        <is>
          <t>Hộp</t>
        </is>
      </c>
      <c r="H297" s="72" t="n">
        <v>6000</v>
      </c>
      <c r="I297" s="73" t="n">
        <v>45870</v>
      </c>
      <c r="J297" s="73" t="n">
        <v>45900</v>
      </c>
      <c r="K297" s="74" t="inlineStr">
        <is>
          <t>1</t>
        </is>
      </c>
      <c r="L297" s="74" t="inlineStr">
        <is>
          <t>NPG0392</t>
        </is>
      </c>
      <c r="M297" s="64" t="inlineStr">
        <is>
          <t>NPG0392</t>
        </is>
      </c>
    </row>
    <row r="298" ht="29.1" customHeight="1">
      <c r="A298" s="70" t="inlineStr">
        <is>
          <t>NPG0395</t>
        </is>
      </c>
      <c r="B298" s="71" t="inlineStr">
        <is>
          <t>Sa tế Thơm Thực 75g/Lọ</t>
        </is>
      </c>
      <c r="C298" s="70" t="inlineStr">
        <is>
          <t>NNCC00920</t>
        </is>
      </c>
      <c r="D298" s="70" t="inlineStr">
        <is>
          <t>Phù sa</t>
        </is>
      </c>
      <c r="E298" s="70" t="inlineStr"/>
      <c r="F298" s="70" t="n"/>
      <c r="G298" s="70" t="inlineStr">
        <is>
          <t>Hộp</t>
        </is>
      </c>
      <c r="H298" s="72" t="n">
        <v>5000</v>
      </c>
      <c r="I298" s="73" t="n">
        <v>45870</v>
      </c>
      <c r="J298" s="73" t="n">
        <v>45900</v>
      </c>
      <c r="K298" s="74" t="inlineStr">
        <is>
          <t>1</t>
        </is>
      </c>
      <c r="L298" s="74" t="inlineStr">
        <is>
          <t>NPG0395</t>
        </is>
      </c>
      <c r="M298" s="64" t="inlineStr">
        <is>
          <t>NPG0395</t>
        </is>
      </c>
    </row>
    <row r="299" ht="29.1" customHeight="1">
      <c r="A299" s="70" t="inlineStr">
        <is>
          <t>NPG0398</t>
        </is>
      </c>
      <c r="B299" s="71" t="inlineStr">
        <is>
          <t>Tương cà Cholimex 2L/Can</t>
        </is>
      </c>
      <c r="C299" s="70" t="inlineStr">
        <is>
          <t>NNCC00972</t>
        </is>
      </c>
      <c r="D299" s="70" t="inlineStr">
        <is>
          <t>Phù sa</t>
        </is>
      </c>
      <c r="E299" s="70" t="inlineStr">
        <is>
          <t>B-1523</t>
        </is>
      </c>
      <c r="F299" s="70" t="n"/>
      <c r="G299" s="70" t="inlineStr">
        <is>
          <t>Hộp</t>
        </is>
      </c>
      <c r="H299" s="72" t="n">
        <v>55000</v>
      </c>
      <c r="I299" s="73" t="n">
        <v>45870</v>
      </c>
      <c r="J299" s="73" t="n">
        <v>45900</v>
      </c>
      <c r="K299" s="74" t="inlineStr">
        <is>
          <t>1</t>
        </is>
      </c>
      <c r="L299" s="74" t="inlineStr">
        <is>
          <t>NPG0398</t>
        </is>
      </c>
      <c r="M299" s="64" t="inlineStr">
        <is>
          <t>NPG0398</t>
        </is>
      </c>
    </row>
    <row r="300" ht="15.6" customHeight="1">
      <c r="A300" s="70" t="inlineStr">
        <is>
          <t>NPG0401</t>
        </is>
      </c>
      <c r="B300" s="71" t="inlineStr">
        <is>
          <t>Mù tạt xanh Wasabi 43gr</t>
        </is>
      </c>
      <c r="C300" s="70" t="inlineStr">
        <is>
          <t>NCC00200</t>
        </is>
      </c>
      <c r="D300" s="70" t="inlineStr">
        <is>
          <t>Phù sa</t>
        </is>
      </c>
      <c r="E300" s="70" t="inlineStr">
        <is>
          <t>B-1523</t>
        </is>
      </c>
      <c r="F300" s="70" t="n"/>
      <c r="G300" s="70" t="inlineStr">
        <is>
          <t>Hộp</t>
        </is>
      </c>
      <c r="H300" s="72" t="n">
        <v>16000</v>
      </c>
      <c r="I300" s="73" t="n">
        <v>45870</v>
      </c>
      <c r="J300" s="73" t="n">
        <v>45900</v>
      </c>
      <c r="K300" s="74" t="inlineStr">
        <is>
          <t>1</t>
        </is>
      </c>
      <c r="L300" s="74" t="inlineStr">
        <is>
          <t>NPG0401</t>
        </is>
      </c>
      <c r="M300" s="64" t="inlineStr">
        <is>
          <t>NPG0401</t>
        </is>
      </c>
    </row>
    <row r="301">
      <c r="A301" s="70" t="inlineStr">
        <is>
          <t>NPG0417</t>
        </is>
      </c>
      <c r="B301" s="71" t="inlineStr">
        <is>
          <t>Cây dương xỉ khô- hàng Hàn Quốc</t>
        </is>
      </c>
      <c r="C301" s="70" t="inlineStr">
        <is>
          <t>NCC00480</t>
        </is>
      </c>
      <c r="D301" s="70" t="inlineStr">
        <is>
          <t>Phù sa</t>
        </is>
      </c>
      <c r="E301" s="70" t="inlineStr"/>
      <c r="F301" s="70" t="n"/>
      <c r="G301" s="70" t="inlineStr">
        <is>
          <t>Hộp</t>
        </is>
      </c>
      <c r="H301" s="72" t="n">
        <v>470000</v>
      </c>
      <c r="I301" s="73" t="n">
        <v>45870</v>
      </c>
      <c r="J301" s="73" t="n">
        <v>45900</v>
      </c>
      <c r="K301" s="74" t="inlineStr">
        <is>
          <t>1</t>
        </is>
      </c>
      <c r="L301" s="74" t="inlineStr">
        <is>
          <t>NPG0417</t>
        </is>
      </c>
      <c r="M301" s="64" t="inlineStr">
        <is>
          <t>NPG0417</t>
        </is>
      </c>
    </row>
    <row r="302">
      <c r="A302" s="70" t="inlineStr">
        <is>
          <t>NPG0420</t>
        </is>
      </c>
      <c r="B302" s="71" t="inlineStr">
        <is>
          <t>Nước mắm Phan Thiết Hoàng Hải 860ml *15 chai</t>
        </is>
      </c>
      <c r="C302" s="70" t="inlineStr">
        <is>
          <t>NNCC00920</t>
        </is>
      </c>
      <c r="D302" s="70" t="inlineStr">
        <is>
          <t>Phù sa</t>
        </is>
      </c>
      <c r="E302" s="70" t="inlineStr"/>
      <c r="F302" s="70" t="n"/>
      <c r="G302" s="70" t="inlineStr">
        <is>
          <t>Hộp</t>
        </is>
      </c>
      <c r="H302" s="72" t="n">
        <v>4200</v>
      </c>
      <c r="I302" s="73" t="n">
        <v>45870</v>
      </c>
      <c r="J302" s="73" t="n">
        <v>45900</v>
      </c>
      <c r="K302" s="74" t="inlineStr">
        <is>
          <t>1</t>
        </is>
      </c>
      <c r="L302" s="74" t="inlineStr">
        <is>
          <t>NPG0420</t>
        </is>
      </c>
      <c r="M302" s="64" t="inlineStr">
        <is>
          <t>NPG0420</t>
        </is>
      </c>
    </row>
    <row r="303">
      <c r="A303" s="70" t="inlineStr">
        <is>
          <t>NPG0423</t>
        </is>
      </c>
      <c r="B303" s="71" t="inlineStr">
        <is>
          <t>Đường trắng xuất khẩu 1kg/gói</t>
        </is>
      </c>
      <c r="C303" s="70" t="inlineStr">
        <is>
          <t>NNCC00972</t>
        </is>
      </c>
      <c r="D303" s="70" t="inlineStr">
        <is>
          <t>Phù sa</t>
        </is>
      </c>
      <c r="E303" s="70" t="inlineStr">
        <is>
          <t>B-1523</t>
        </is>
      </c>
      <c r="F303" s="70" t="n"/>
      <c r="G303" s="70" t="inlineStr">
        <is>
          <t>Hộp</t>
        </is>
      </c>
      <c r="H303" s="72" t="n">
        <v>22000</v>
      </c>
      <c r="I303" s="73" t="n">
        <v>45870</v>
      </c>
      <c r="J303" s="73" t="n">
        <v>45900</v>
      </c>
      <c r="K303" s="74" t="inlineStr">
        <is>
          <t>1</t>
        </is>
      </c>
      <c r="L303" s="74" t="inlineStr">
        <is>
          <t>NPG0423</t>
        </is>
      </c>
      <c r="M303" s="64" t="inlineStr">
        <is>
          <t>NPG0423</t>
        </is>
      </c>
    </row>
    <row r="304" ht="15.6" customHeight="1">
      <c r="A304" s="70" t="inlineStr">
        <is>
          <t>NPG0469</t>
        </is>
      </c>
      <c r="B304" s="71" t="inlineStr">
        <is>
          <t>Mì tôm kokomy</t>
        </is>
      </c>
      <c r="C304" s="70" t="inlineStr">
        <is>
          <t>NCC00480</t>
        </is>
      </c>
      <c r="D304" s="70" t="inlineStr">
        <is>
          <t>Phù sa</t>
        </is>
      </c>
      <c r="E304" s="70" t="inlineStr"/>
      <c r="F304" s="70" t="n"/>
      <c r="G304" s="70" t="inlineStr">
        <is>
          <t>Hộp</t>
        </is>
      </c>
      <c r="H304" s="72" t="n">
        <v>2700</v>
      </c>
      <c r="I304" s="73" t="n">
        <v>45870</v>
      </c>
      <c r="J304" s="73" t="n">
        <v>45900</v>
      </c>
      <c r="K304" s="74" t="inlineStr">
        <is>
          <t>1</t>
        </is>
      </c>
      <c r="L304" s="74" t="inlineStr">
        <is>
          <t>NPG0469</t>
        </is>
      </c>
      <c r="M304" s="64" t="inlineStr">
        <is>
          <t>NPG0469</t>
        </is>
      </c>
    </row>
    <row r="305">
      <c r="A305" s="74" t="inlineStr">
        <is>
          <t>NPG0498</t>
        </is>
      </c>
      <c r="B305" s="74" t="inlineStr">
        <is>
          <t>Bột cà ri vàng (hơi cay ) Hàn Quốc 1kg/gói</t>
        </is>
      </c>
      <c r="C305" s="74" t="inlineStr">
        <is>
          <t>NNCC00972</t>
        </is>
      </c>
      <c r="D305" s="74" t="inlineStr">
        <is>
          <t>Phù sa</t>
        </is>
      </c>
      <c r="E305" s="74" t="inlineStr">
        <is>
          <t>B-1523</t>
        </is>
      </c>
      <c r="F305" s="74" t="n"/>
      <c r="G305" s="74" t="inlineStr">
        <is>
          <t>Hộp</t>
        </is>
      </c>
      <c r="H305" s="76" t="n">
        <v>240000</v>
      </c>
      <c r="I305" s="73" t="n">
        <v>45870</v>
      </c>
      <c r="J305" s="73" t="n">
        <v>45900</v>
      </c>
      <c r="K305" s="74" t="inlineStr">
        <is>
          <t>1</t>
        </is>
      </c>
      <c r="L305" s="74" t="inlineStr">
        <is>
          <t>NPG0498</t>
        </is>
      </c>
      <c r="M305" s="64" t="inlineStr">
        <is>
          <t>NPG0498</t>
        </is>
      </c>
    </row>
    <row r="306">
      <c r="A306" s="74" t="inlineStr">
        <is>
          <t>NPG0503</t>
        </is>
      </c>
      <c r="B306" s="74" t="inlineStr">
        <is>
          <t>Tôm muối Hàn Quôc 1kg/hộp</t>
        </is>
      </c>
      <c r="C306" s="74" t="inlineStr">
        <is>
          <t>NCC00480</t>
        </is>
      </c>
      <c r="D306" s="74" t="inlineStr">
        <is>
          <t>Phù sa</t>
        </is>
      </c>
      <c r="E306" s="74" t="inlineStr"/>
      <c r="F306" s="74" t="n"/>
      <c r="G306" s="74" t="inlineStr">
        <is>
          <t>Hộp</t>
        </is>
      </c>
      <c r="H306" s="76" t="n">
        <v>105000</v>
      </c>
      <c r="I306" s="73" t="n">
        <v>45870</v>
      </c>
      <c r="J306" s="73" t="n">
        <v>45900</v>
      </c>
      <c r="K306" s="74" t="inlineStr">
        <is>
          <t>1</t>
        </is>
      </c>
      <c r="L306" s="74" t="inlineStr">
        <is>
          <t>NPG0503</t>
        </is>
      </c>
      <c r="M306" s="64" t="inlineStr">
        <is>
          <t>NPG0503</t>
        </is>
      </c>
    </row>
    <row r="307">
      <c r="A307" s="74" t="inlineStr">
        <is>
          <t>NPG0504</t>
        </is>
      </c>
      <c r="B307" s="74" t="inlineStr">
        <is>
          <t>Nước sốt trộn mỳ Hàn Quốc 1,1kg/chai</t>
        </is>
      </c>
      <c r="C307" s="74" t="inlineStr">
        <is>
          <t>NNCC00920</t>
        </is>
      </c>
      <c r="D307" s="74" t="inlineStr">
        <is>
          <t>Phù sa</t>
        </is>
      </c>
      <c r="E307" s="74" t="inlineStr"/>
      <c r="F307" s="74" t="n"/>
      <c r="G307" s="74" t="inlineStr">
        <is>
          <t>Hộp</t>
        </is>
      </c>
      <c r="H307" s="76" t="n">
        <v>165000</v>
      </c>
      <c r="I307" s="73" t="n">
        <v>45870</v>
      </c>
      <c r="J307" s="73" t="n">
        <v>45900</v>
      </c>
      <c r="K307" s="74" t="inlineStr">
        <is>
          <t>1</t>
        </is>
      </c>
      <c r="L307" s="74" t="inlineStr">
        <is>
          <t>NPG0504</t>
        </is>
      </c>
      <c r="M307" s="64" t="inlineStr">
        <is>
          <t>NPG0504</t>
        </is>
      </c>
    </row>
    <row r="308" ht="15.6" customHeight="1">
      <c r="A308" s="74" t="inlineStr">
        <is>
          <t>NPG0505</t>
        </is>
      </c>
      <c r="B308" s="74" t="inlineStr">
        <is>
          <t>Rượu nấu ăn Hàn 2l/chai</t>
        </is>
      </c>
      <c r="C308" s="74" t="inlineStr">
        <is>
          <t>NNCC00972</t>
        </is>
      </c>
      <c r="D308" s="74" t="inlineStr">
        <is>
          <t>Phù sa</t>
        </is>
      </c>
      <c r="E308" s="74" t="inlineStr">
        <is>
          <t>B-1523</t>
        </is>
      </c>
      <c r="F308" s="74" t="n"/>
      <c r="G308" s="74" t="inlineStr">
        <is>
          <t>Hộp</t>
        </is>
      </c>
      <c r="H308" s="76" t="n">
        <v>145000</v>
      </c>
      <c r="I308" s="73" t="n">
        <v>45870</v>
      </c>
      <c r="J308" s="73" t="n">
        <v>45900</v>
      </c>
      <c r="K308" s="74" t="inlineStr">
        <is>
          <t>1</t>
        </is>
      </c>
      <c r="L308" s="74" t="inlineStr">
        <is>
          <t>NPG0505</t>
        </is>
      </c>
      <c r="M308" s="64" t="inlineStr">
        <is>
          <t>NPG0505</t>
        </is>
      </c>
    </row>
    <row r="309" ht="15.6" customHeight="1">
      <c r="A309" s="74" t="inlineStr">
        <is>
          <t>NPG0614</t>
        </is>
      </c>
      <c r="B309" s="74" t="inlineStr">
        <is>
          <t>Mạch nha HQ 5kg/can</t>
        </is>
      </c>
      <c r="C309" s="74" t="inlineStr">
        <is>
          <t>NCC00480</t>
        </is>
      </c>
      <c r="D309" s="74" t="inlineStr">
        <is>
          <t>Phù sa</t>
        </is>
      </c>
      <c r="E309" s="74" t="inlineStr"/>
      <c r="F309" s="74" t="n"/>
      <c r="G309" s="74" t="inlineStr">
        <is>
          <t>Hộp</t>
        </is>
      </c>
      <c r="H309" s="76" t="n">
        <v>60000</v>
      </c>
      <c r="I309" s="73" t="n">
        <v>45870</v>
      </c>
      <c r="J309" s="73" t="n">
        <v>45900</v>
      </c>
      <c r="K309" s="74" t="inlineStr">
        <is>
          <t>1</t>
        </is>
      </c>
      <c r="L309" s="74" t="inlineStr">
        <is>
          <t>NPG0614</t>
        </is>
      </c>
      <c r="M309" s="64" t="inlineStr">
        <is>
          <t>NPG0614</t>
        </is>
      </c>
    </row>
    <row r="310" ht="29.1" customHeight="1">
      <c r="A310" s="74" t="inlineStr">
        <is>
          <t>NPG0627</t>
        </is>
      </c>
      <c r="B310" s="74" t="inlineStr">
        <is>
          <t>Vỏ đậu phụ nhồi cơm Hàn Quốc 330gr/gói</t>
        </is>
      </c>
      <c r="C310" s="74" t="inlineStr">
        <is>
          <t>NCC00480</t>
        </is>
      </c>
      <c r="D310" s="74" t="inlineStr">
        <is>
          <t>Phù sa</t>
        </is>
      </c>
      <c r="E310" s="74" t="inlineStr"/>
      <c r="F310" s="74" t="n"/>
      <c r="G310" s="74" t="inlineStr">
        <is>
          <t>Hộp</t>
        </is>
      </c>
      <c r="H310" s="76" t="n">
        <v>135000</v>
      </c>
      <c r="I310" s="73" t="n">
        <v>45870</v>
      </c>
      <c r="J310" s="73" t="n">
        <v>45900</v>
      </c>
      <c r="K310" s="74" t="inlineStr">
        <is>
          <t>1</t>
        </is>
      </c>
      <c r="L310" s="74" t="inlineStr">
        <is>
          <t>NPG0627</t>
        </is>
      </c>
      <c r="M310" s="64" t="inlineStr">
        <is>
          <t>NPG0627</t>
        </is>
      </c>
    </row>
    <row r="311" ht="29.1" customHeight="1">
      <c r="A311" s="74" t="inlineStr">
        <is>
          <t>NPG0638</t>
        </is>
      </c>
      <c r="B311" s="74" t="inlineStr">
        <is>
          <t>Nước hàng Bến Tre 500ml/chai</t>
        </is>
      </c>
      <c r="C311" s="74" t="inlineStr">
        <is>
          <t>NNCC00972</t>
        </is>
      </c>
      <c r="D311" s="74" t="inlineStr">
        <is>
          <t>Phù sa</t>
        </is>
      </c>
      <c r="E311" s="74" t="inlineStr">
        <is>
          <t>B-1523</t>
        </is>
      </c>
      <c r="F311" s="74" t="n"/>
      <c r="G311" s="74" t="inlineStr">
        <is>
          <t>Hộp</t>
        </is>
      </c>
      <c r="H311" s="76" t="n">
        <v>25000</v>
      </c>
      <c r="I311" s="73" t="n">
        <v>45870</v>
      </c>
      <c r="J311" s="73" t="n">
        <v>45900</v>
      </c>
      <c r="K311" s="74" t="inlineStr">
        <is>
          <t>1</t>
        </is>
      </c>
      <c r="L311" s="74" t="inlineStr">
        <is>
          <t>NPG0638</t>
        </is>
      </c>
      <c r="M311" s="64" t="inlineStr">
        <is>
          <t>NPG0638</t>
        </is>
      </c>
    </row>
    <row r="312" ht="29.1" customHeight="1">
      <c r="A312" s="74" t="inlineStr">
        <is>
          <t>NPG0644</t>
        </is>
      </c>
      <c r="B312" s="74" t="inlineStr">
        <is>
          <t>Muối tinh 500g/gói</t>
        </is>
      </c>
      <c r="C312" s="74" t="inlineStr">
        <is>
          <t>NCC00480</t>
        </is>
      </c>
      <c r="D312" s="74" t="inlineStr">
        <is>
          <t>Phù sa</t>
        </is>
      </c>
      <c r="E312" s="74" t="inlineStr"/>
      <c r="F312" s="74" t="n"/>
      <c r="G312" s="74" t="inlineStr">
        <is>
          <t>Hộp</t>
        </is>
      </c>
      <c r="H312" s="76" t="n">
        <v>10000</v>
      </c>
      <c r="I312" s="73" t="n">
        <v>45870</v>
      </c>
      <c r="J312" s="73" t="n">
        <v>45900</v>
      </c>
      <c r="K312" s="74" t="inlineStr">
        <is>
          <t>1</t>
        </is>
      </c>
      <c r="L312" s="74" t="inlineStr">
        <is>
          <t>NPG0644</t>
        </is>
      </c>
      <c r="M312" s="64" t="inlineStr">
        <is>
          <t>NPG0644</t>
        </is>
      </c>
    </row>
    <row r="313" ht="29.1" customHeight="1">
      <c r="A313" s="74" t="inlineStr">
        <is>
          <t>NPG0700</t>
        </is>
      </c>
      <c r="B313" s="74" t="inlineStr">
        <is>
          <t>Tương ớt Nam Dương 2.1 lít/can</t>
        </is>
      </c>
      <c r="C313" s="74" t="inlineStr">
        <is>
          <t>NNCC00920</t>
        </is>
      </c>
      <c r="D313" s="74" t="inlineStr">
        <is>
          <t>Phù sa</t>
        </is>
      </c>
      <c r="E313" s="74" t="inlineStr"/>
      <c r="F313" s="74" t="n"/>
      <c r="G313" s="74" t="inlineStr">
        <is>
          <t>Hộp</t>
        </is>
      </c>
      <c r="H313" s="76" t="n">
        <v>32500</v>
      </c>
      <c r="I313" s="73" t="n">
        <v>45870</v>
      </c>
      <c r="J313" s="73" t="n">
        <v>45900</v>
      </c>
      <c r="K313" s="74" t="inlineStr">
        <is>
          <t>1</t>
        </is>
      </c>
      <c r="L313" s="74" t="inlineStr">
        <is>
          <t>NPG0700</t>
        </is>
      </c>
      <c r="M313" s="64" t="inlineStr">
        <is>
          <t>NPG0700</t>
        </is>
      </c>
    </row>
    <row r="314" ht="29.1" customHeight="1">
      <c r="A314" s="74" t="inlineStr">
        <is>
          <t>NPG0728</t>
        </is>
      </c>
      <c r="B314" s="74" t="inlineStr">
        <is>
          <t>Đường vàng xuất khẩu 1kg/gói</t>
        </is>
      </c>
      <c r="C314" s="74" t="inlineStr">
        <is>
          <t>NNCC00972</t>
        </is>
      </c>
      <c r="D314" s="74" t="inlineStr">
        <is>
          <t>Phù sa</t>
        </is>
      </c>
      <c r="E314" s="74" t="inlineStr">
        <is>
          <t>B-1523</t>
        </is>
      </c>
      <c r="F314" s="74" t="n"/>
      <c r="G314" s="74" t="inlineStr">
        <is>
          <t>Hộp</t>
        </is>
      </c>
      <c r="H314" s="76" t="n">
        <v>22000</v>
      </c>
      <c r="I314" s="73" t="n">
        <v>45870</v>
      </c>
      <c r="J314" s="73" t="n">
        <v>45900</v>
      </c>
      <c r="K314" s="74" t="inlineStr">
        <is>
          <t>1</t>
        </is>
      </c>
      <c r="L314" s="74" t="inlineStr">
        <is>
          <t>NPG0728</t>
        </is>
      </c>
      <c r="M314" s="64" t="inlineStr">
        <is>
          <t>NPG0728</t>
        </is>
      </c>
    </row>
    <row r="315" ht="29.1" customHeight="1">
      <c r="A315" s="74" t="inlineStr">
        <is>
          <t>NPG0772</t>
        </is>
      </c>
      <c r="B315" s="74" t="inlineStr">
        <is>
          <t>Sốt tiêu đen Kim Công 350g/chai</t>
        </is>
      </c>
      <c r="C315" s="74" t="inlineStr">
        <is>
          <t>NCC00480</t>
        </is>
      </c>
      <c r="D315" s="74" t="inlineStr">
        <is>
          <t>Phù sa</t>
        </is>
      </c>
      <c r="E315" s="74" t="inlineStr"/>
      <c r="F315" s="74" t="n"/>
      <c r="G315" s="74" t="inlineStr">
        <is>
          <t>Hộp</t>
        </is>
      </c>
      <c r="H315" s="76" t="n">
        <v>45000</v>
      </c>
      <c r="I315" s="73" t="n">
        <v>45870</v>
      </c>
      <c r="J315" s="73" t="n">
        <v>45900</v>
      </c>
      <c r="K315" s="74" t="inlineStr">
        <is>
          <t>1</t>
        </is>
      </c>
      <c r="L315" s="74" t="inlineStr">
        <is>
          <t>NPG0772</t>
        </is>
      </c>
      <c r="M315" s="64" t="inlineStr">
        <is>
          <t>NPG0772</t>
        </is>
      </c>
    </row>
    <row r="316" ht="29.1" customHeight="1">
      <c r="A316" s="74" t="inlineStr">
        <is>
          <t>NPG0869</t>
        </is>
      </c>
      <c r="B316" s="74" t="inlineStr">
        <is>
          <t>Dầu Hào Kim Tiêu Tuấn Phương 780g, 12 chai/thùng</t>
        </is>
      </c>
      <c r="C316" s="74" t="inlineStr">
        <is>
          <t>NNCC00972</t>
        </is>
      </c>
      <c r="D316" s="74" t="inlineStr">
        <is>
          <t>Phù sa</t>
        </is>
      </c>
      <c r="E316" s="74" t="inlineStr">
        <is>
          <t>B-1523</t>
        </is>
      </c>
      <c r="F316" s="74" t="n"/>
      <c r="G316" s="74" t="inlineStr">
        <is>
          <t>Hộp</t>
        </is>
      </c>
      <c r="H316" s="76" t="n">
        <v>30000</v>
      </c>
      <c r="I316" s="73" t="n">
        <v>45870</v>
      </c>
      <c r="J316" s="73" t="n">
        <v>45900</v>
      </c>
      <c r="K316" s="74" t="inlineStr">
        <is>
          <t>1</t>
        </is>
      </c>
      <c r="L316" s="74" t="inlineStr">
        <is>
          <t>NPG0869</t>
        </is>
      </c>
      <c r="M316" s="64" t="inlineStr">
        <is>
          <t>NPG0869</t>
        </is>
      </c>
    </row>
    <row r="317" ht="29.1" customHeight="1">
      <c r="A317" s="74" t="inlineStr">
        <is>
          <t>NPG0885</t>
        </is>
      </c>
      <c r="B317" s="74" t="inlineStr">
        <is>
          <t>Bột điều Tuấn Phương 500g</t>
        </is>
      </c>
      <c r="C317" s="74" t="inlineStr">
        <is>
          <t>NCC00480</t>
        </is>
      </c>
      <c r="D317" s="74" t="inlineStr">
        <is>
          <t>Phù sa</t>
        </is>
      </c>
      <c r="E317" s="74" t="inlineStr"/>
      <c r="F317" s="74" t="n"/>
      <c r="G317" s="74" t="inlineStr">
        <is>
          <t>Hộp</t>
        </is>
      </c>
      <c r="H317" s="76" t="n">
        <v>42000</v>
      </c>
      <c r="I317" s="73" t="n">
        <v>45870</v>
      </c>
      <c r="J317" s="73" t="n">
        <v>45900</v>
      </c>
      <c r="K317" s="74" t="inlineStr">
        <is>
          <t>1</t>
        </is>
      </c>
      <c r="L317" s="74" t="inlineStr">
        <is>
          <t>NPG0885</t>
        </is>
      </c>
      <c r="M317" s="64" t="inlineStr">
        <is>
          <t>NPG0885</t>
        </is>
      </c>
    </row>
    <row r="318" ht="29.1" customHeight="1">
      <c r="A318" s="74" t="inlineStr">
        <is>
          <t>NPG0886</t>
        </is>
      </c>
      <c r="B318" s="74" t="inlineStr">
        <is>
          <t>Bột nghệ Tuấn Phương 400g</t>
        </is>
      </c>
      <c r="C318" s="74" t="inlineStr">
        <is>
          <t>NNCC00972</t>
        </is>
      </c>
      <c r="D318" s="74" t="inlineStr">
        <is>
          <t>Phù sa</t>
        </is>
      </c>
      <c r="E318" s="74" t="inlineStr">
        <is>
          <t>B-1523</t>
        </is>
      </c>
      <c r="F318" s="74" t="n"/>
      <c r="G318" s="74" t="inlineStr">
        <is>
          <t>Hộp</t>
        </is>
      </c>
      <c r="H318" s="76" t="n">
        <v>18000</v>
      </c>
      <c r="I318" s="73" t="n">
        <v>45870</v>
      </c>
      <c r="J318" s="73" t="n">
        <v>45900</v>
      </c>
      <c r="K318" s="74" t="inlineStr">
        <is>
          <t>1</t>
        </is>
      </c>
      <c r="L318" s="74" t="inlineStr">
        <is>
          <t>NPG0886</t>
        </is>
      </c>
      <c r="M318" s="64" t="inlineStr">
        <is>
          <t>NPG0886</t>
        </is>
      </c>
    </row>
    <row r="319" ht="29.1" customHeight="1">
      <c r="A319" s="74" t="inlineStr">
        <is>
          <t>NPV0001</t>
        </is>
      </c>
      <c r="B319" s="74" t="inlineStr">
        <is>
          <t>Bẫy dính ruồi</t>
        </is>
      </c>
      <c r="C319" s="74" t="inlineStr">
        <is>
          <t>NCC00480</t>
        </is>
      </c>
      <c r="D319" s="74" t="inlineStr">
        <is>
          <t>Phù sa</t>
        </is>
      </c>
      <c r="E319" s="74" t="inlineStr"/>
      <c r="F319" s="74" t="n"/>
      <c r="G319" s="74" t="inlineStr">
        <is>
          <t>Hộp</t>
        </is>
      </c>
      <c r="H319" s="76" t="n">
        <v>1500</v>
      </c>
      <c r="I319" s="73" t="n">
        <v>45870</v>
      </c>
      <c r="J319" s="73" t="n">
        <v>45900</v>
      </c>
      <c r="K319" s="74" t="inlineStr">
        <is>
          <t>1</t>
        </is>
      </c>
      <c r="L319" s="74" t="inlineStr">
        <is>
          <t>NPV0001</t>
        </is>
      </c>
      <c r="M319" s="64" t="inlineStr">
        <is>
          <t>NPV0001</t>
        </is>
      </c>
    </row>
    <row r="320" ht="29.1" customHeight="1">
      <c r="A320" s="74" t="inlineStr">
        <is>
          <t>NPV0014</t>
        </is>
      </c>
      <c r="B320" s="74" t="inlineStr">
        <is>
          <t>Găng tay y tế 50 đôi/hộp</t>
        </is>
      </c>
      <c r="C320" s="74" t="inlineStr">
        <is>
          <t>NCC00480</t>
        </is>
      </c>
      <c r="D320" s="74" t="inlineStr">
        <is>
          <t>Phù sa</t>
        </is>
      </c>
      <c r="E320" s="74" t="inlineStr"/>
      <c r="F320" s="74" t="n"/>
      <c r="G320" s="74" t="inlineStr">
        <is>
          <t>Hộp</t>
        </is>
      </c>
      <c r="H320" s="76" t="n">
        <v>85000</v>
      </c>
      <c r="I320" s="73" t="n">
        <v>45870</v>
      </c>
      <c r="J320" s="73" t="n">
        <v>45900</v>
      </c>
      <c r="K320" s="74" t="inlineStr">
        <is>
          <t>1</t>
        </is>
      </c>
      <c r="L320" s="74" t="inlineStr">
        <is>
          <t>NPV0014</t>
        </is>
      </c>
      <c r="M320" s="64" t="inlineStr">
        <is>
          <t>NPV0014</t>
        </is>
      </c>
    </row>
    <row r="321" ht="29.1" customHeight="1">
      <c r="A321" s="74" t="inlineStr">
        <is>
          <t>NPV0025</t>
        </is>
      </c>
      <c r="B321" s="74" t="inlineStr">
        <is>
          <t>Lưới rửa bát</t>
        </is>
      </c>
      <c r="C321" s="74" t="inlineStr">
        <is>
          <t>NCC00480</t>
        </is>
      </c>
      <c r="D321" s="74" t="inlineStr">
        <is>
          <t>Phù sa</t>
        </is>
      </c>
      <c r="E321" s="74" t="inlineStr"/>
      <c r="F321" s="74" t="n"/>
      <c r="G321" s="74" t="inlineStr">
        <is>
          <t>Hộp</t>
        </is>
      </c>
      <c r="H321" s="76" t="n">
        <v>2000</v>
      </c>
      <c r="I321" s="73" t="n">
        <v>45870</v>
      </c>
      <c r="J321" s="73" t="n">
        <v>45900</v>
      </c>
      <c r="K321" s="74" t="inlineStr">
        <is>
          <t>1</t>
        </is>
      </c>
      <c r="L321" s="74" t="inlineStr">
        <is>
          <t>NPV0025</t>
        </is>
      </c>
      <c r="M321" s="64" t="inlineStr">
        <is>
          <t>NPV0025</t>
        </is>
      </c>
    </row>
    <row r="322" ht="29.1" customHeight="1">
      <c r="A322" s="74" t="inlineStr">
        <is>
          <t>NPV0028</t>
        </is>
      </c>
      <c r="B322" s="74" t="inlineStr">
        <is>
          <t>Màng bọc thực phẩm 45*420cm</t>
        </is>
      </c>
      <c r="C322" s="74" t="inlineStr">
        <is>
          <t>NCC00480</t>
        </is>
      </c>
      <c r="D322" s="74" t="inlineStr">
        <is>
          <t>Phù sa</t>
        </is>
      </c>
      <c r="E322" s="74" t="inlineStr"/>
      <c r="F322" s="74" t="n"/>
      <c r="G322" s="74" t="inlineStr">
        <is>
          <t>Hộp</t>
        </is>
      </c>
      <c r="H322" s="76" t="n">
        <v>230000</v>
      </c>
      <c r="I322" s="73" t="n">
        <v>45870</v>
      </c>
      <c r="J322" s="73" t="n">
        <v>45900</v>
      </c>
      <c r="K322" s="74" t="inlineStr">
        <is>
          <t>1</t>
        </is>
      </c>
      <c r="L322" s="74" t="inlineStr">
        <is>
          <t>NPV0028</t>
        </is>
      </c>
      <c r="M322" s="64" t="inlineStr">
        <is>
          <t>NPV0028</t>
        </is>
      </c>
    </row>
    <row r="323" ht="29.1" customHeight="1">
      <c r="A323" s="74" t="inlineStr">
        <is>
          <t>NPV0043</t>
        </is>
      </c>
      <c r="B323" s="74" t="inlineStr">
        <is>
          <t>Que xiên tre 0,5KG/Gói</t>
        </is>
      </c>
      <c r="C323" s="74" t="inlineStr">
        <is>
          <t>NNCC00920</t>
        </is>
      </c>
      <c r="D323" s="74" t="inlineStr">
        <is>
          <t>Phù sa</t>
        </is>
      </c>
      <c r="E323" s="74" t="inlineStr"/>
      <c r="F323" s="74" t="n"/>
      <c r="G323" s="74" t="inlineStr">
        <is>
          <t>Hộp</t>
        </is>
      </c>
      <c r="H323" s="76" t="n">
        <v>35000</v>
      </c>
      <c r="I323" s="73" t="n">
        <v>45870</v>
      </c>
      <c r="J323" s="73" t="n">
        <v>45900</v>
      </c>
      <c r="K323" s="74" t="inlineStr">
        <is>
          <t>1</t>
        </is>
      </c>
      <c r="L323" s="74" t="inlineStr">
        <is>
          <t>NPV0043</t>
        </is>
      </c>
      <c r="M323" s="64" t="inlineStr">
        <is>
          <t>NPV0043</t>
        </is>
      </c>
    </row>
    <row r="324" ht="15.6" customHeight="1">
      <c r="A324" s="74" t="inlineStr">
        <is>
          <t>NPV0046</t>
        </is>
      </c>
      <c r="B324" s="74" t="inlineStr">
        <is>
          <t>Tăm Vip</t>
        </is>
      </c>
      <c r="C324" s="74" t="inlineStr">
        <is>
          <t>NCC00480</t>
        </is>
      </c>
      <c r="D324" s="74" t="inlineStr">
        <is>
          <t>Phù sa</t>
        </is>
      </c>
      <c r="E324" s="74" t="inlineStr"/>
      <c r="F324" s="74" t="n"/>
      <c r="G324" s="74" t="inlineStr">
        <is>
          <t>Hộp</t>
        </is>
      </c>
      <c r="H324" s="76" t="n">
        <v>105000</v>
      </c>
      <c r="I324" s="73" t="n">
        <v>45870</v>
      </c>
      <c r="J324" s="73" t="n">
        <v>45900</v>
      </c>
      <c r="K324" s="74" t="inlineStr">
        <is>
          <t>1</t>
        </is>
      </c>
      <c r="L324" s="74" t="inlineStr">
        <is>
          <t>NPV0046</t>
        </is>
      </c>
      <c r="M324" s="64" t="inlineStr">
        <is>
          <t>NPV0046</t>
        </is>
      </c>
    </row>
    <row r="325" ht="15.6" customHeight="1">
      <c r="A325" s="74" t="inlineStr">
        <is>
          <t>NPV0048</t>
        </is>
      </c>
      <c r="B325" s="74" t="inlineStr">
        <is>
          <t>Túi nilon đen 10kg</t>
        </is>
      </c>
      <c r="C325" s="74" t="inlineStr">
        <is>
          <t>NNCC00920</t>
        </is>
      </c>
      <c r="D325" s="74" t="inlineStr">
        <is>
          <t>Phù sa</t>
        </is>
      </c>
      <c r="E325" s="74" t="inlineStr"/>
      <c r="F325" s="74" t="n"/>
      <c r="G325" s="74" t="inlineStr">
        <is>
          <t>Hộp</t>
        </is>
      </c>
      <c r="H325" s="76" t="n">
        <v>30000</v>
      </c>
      <c r="I325" s="73" t="n">
        <v>45870</v>
      </c>
      <c r="J325" s="73" t="n">
        <v>45900</v>
      </c>
      <c r="K325" s="74" t="inlineStr">
        <is>
          <t>1</t>
        </is>
      </c>
      <c r="L325" s="74" t="inlineStr">
        <is>
          <t>NPV0048</t>
        </is>
      </c>
      <c r="M325" s="64" t="inlineStr">
        <is>
          <t>NPV0048</t>
        </is>
      </c>
    </row>
    <row r="326" ht="15.6" customHeight="1">
      <c r="A326" s="74" t="inlineStr">
        <is>
          <t>NPV0049</t>
        </is>
      </c>
      <c r="B326" s="74" t="inlineStr">
        <is>
          <t>Túi nilon đen 20kg</t>
        </is>
      </c>
      <c r="C326" s="74" t="inlineStr">
        <is>
          <t>NCC00480</t>
        </is>
      </c>
      <c r="D326" s="74" t="inlineStr">
        <is>
          <t>Phù sa</t>
        </is>
      </c>
      <c r="E326" s="74" t="inlineStr"/>
      <c r="F326" s="74" t="n"/>
      <c r="G326" s="74" t="inlineStr">
        <is>
          <t>Lọ</t>
        </is>
      </c>
      <c r="H326" s="76" t="n">
        <v>30000</v>
      </c>
      <c r="I326" s="73" t="n">
        <v>45870</v>
      </c>
      <c r="J326" s="73" t="n">
        <v>45900</v>
      </c>
      <c r="K326" s="74" t="inlineStr">
        <is>
          <t>1</t>
        </is>
      </c>
      <c r="L326" s="74" t="inlineStr">
        <is>
          <t>NPV0049</t>
        </is>
      </c>
      <c r="M326" s="64" t="inlineStr">
        <is>
          <t>NPV0049</t>
        </is>
      </c>
    </row>
    <row r="327" ht="15.6" customHeight="1">
      <c r="A327" s="74" t="inlineStr">
        <is>
          <t>NPV0051</t>
        </is>
      </c>
      <c r="B327" s="74" t="inlineStr">
        <is>
          <t>Túi nilon xanh 5kg</t>
        </is>
      </c>
      <c r="C327" s="74" t="inlineStr">
        <is>
          <t>NNCC00972</t>
        </is>
      </c>
      <c r="D327" s="74" t="inlineStr">
        <is>
          <t>Phù sa</t>
        </is>
      </c>
      <c r="E327" s="74" t="inlineStr">
        <is>
          <t>B-1523</t>
        </is>
      </c>
      <c r="F327" s="74" t="n"/>
      <c r="G327" s="74" t="inlineStr">
        <is>
          <t>Lọ</t>
        </is>
      </c>
      <c r="H327" s="76" t="n">
        <v>40000</v>
      </c>
      <c r="I327" s="73" t="n">
        <v>45870</v>
      </c>
      <c r="J327" s="73" t="n">
        <v>45900</v>
      </c>
      <c r="K327" s="74" t="inlineStr">
        <is>
          <t>1</t>
        </is>
      </c>
      <c r="L327" s="74" t="inlineStr">
        <is>
          <t>NPV0051</t>
        </is>
      </c>
      <c r="M327" s="64" t="inlineStr">
        <is>
          <t>NPV0051</t>
        </is>
      </c>
    </row>
    <row r="328" ht="15.6" customHeight="1">
      <c r="A328" s="74" t="inlineStr">
        <is>
          <t>NPV0052</t>
        </is>
      </c>
      <c r="B328" s="74" t="inlineStr">
        <is>
          <t>Túi nilon trắng 1 kg</t>
        </is>
      </c>
      <c r="C328" s="74" t="inlineStr">
        <is>
          <t>NNCC00972</t>
        </is>
      </c>
      <c r="D328" s="74" t="inlineStr">
        <is>
          <t>Phù sa</t>
        </is>
      </c>
      <c r="E328" s="74" t="inlineStr">
        <is>
          <t>B-1523</t>
        </is>
      </c>
      <c r="F328" s="74" t="n"/>
      <c r="G328" s="74" t="inlineStr">
        <is>
          <t>Lọ</t>
        </is>
      </c>
      <c r="H328" s="76" t="n">
        <v>40000</v>
      </c>
      <c r="I328" s="73" t="n">
        <v>45870</v>
      </c>
      <c r="J328" s="73" t="n">
        <v>45900</v>
      </c>
      <c r="K328" s="74" t="inlineStr">
        <is>
          <t>1</t>
        </is>
      </c>
      <c r="L328" s="74" t="inlineStr">
        <is>
          <t>NPV0052</t>
        </is>
      </c>
      <c r="M328" s="64" t="inlineStr">
        <is>
          <t>NPV0052</t>
        </is>
      </c>
    </row>
    <row r="329" ht="29.1" customHeight="1">
      <c r="A329" s="74" t="inlineStr">
        <is>
          <t>NPV0053</t>
        </is>
      </c>
      <c r="B329" s="74" t="inlineStr">
        <is>
          <t>Túi nilon trắng 2kg</t>
        </is>
      </c>
      <c r="C329" s="74" t="inlineStr">
        <is>
          <t>NCC00480</t>
        </is>
      </c>
      <c r="D329" s="74" t="inlineStr">
        <is>
          <t>Phù sa</t>
        </is>
      </c>
      <c r="E329" s="74" t="inlineStr"/>
      <c r="F329" s="74" t="n"/>
      <c r="G329" s="74" t="inlineStr">
        <is>
          <t>Hộp</t>
        </is>
      </c>
      <c r="H329" s="76" t="n">
        <v>40000</v>
      </c>
      <c r="I329" s="73" t="n">
        <v>45870</v>
      </c>
      <c r="J329" s="73" t="n">
        <v>45900</v>
      </c>
      <c r="K329" s="74" t="inlineStr">
        <is>
          <t>1</t>
        </is>
      </c>
      <c r="L329" s="74" t="inlineStr">
        <is>
          <t>NPV0053</t>
        </is>
      </c>
      <c r="M329" s="64" t="inlineStr">
        <is>
          <t>NPV0053</t>
        </is>
      </c>
    </row>
    <row r="330" ht="29.1" customHeight="1">
      <c r="A330" s="74" t="inlineStr">
        <is>
          <t>NPV0054</t>
        </is>
      </c>
      <c r="B330" s="74" t="inlineStr">
        <is>
          <t>Túi nilon trắng 5kg</t>
        </is>
      </c>
      <c r="C330" s="74" t="inlineStr">
        <is>
          <t>NNCC00920</t>
        </is>
      </c>
      <c r="D330" s="74" t="inlineStr">
        <is>
          <t>Phù sa</t>
        </is>
      </c>
      <c r="E330" s="74" t="inlineStr"/>
      <c r="F330" s="74" t="n"/>
      <c r="G330" s="74" t="inlineStr">
        <is>
          <t>Hộp</t>
        </is>
      </c>
      <c r="H330" s="76" t="n">
        <v>40000</v>
      </c>
      <c r="I330" s="73" t="n">
        <v>45870</v>
      </c>
      <c r="J330" s="73" t="n">
        <v>45900</v>
      </c>
      <c r="K330" s="74" t="inlineStr">
        <is>
          <t>1</t>
        </is>
      </c>
      <c r="L330" s="74" t="inlineStr">
        <is>
          <t>NPV0054</t>
        </is>
      </c>
      <c r="M330" s="64" t="inlineStr">
        <is>
          <t>NPV0054</t>
        </is>
      </c>
    </row>
    <row r="331" ht="29.1" customHeight="1">
      <c r="A331" s="74" t="inlineStr">
        <is>
          <t>NPV0060</t>
        </is>
      </c>
      <c r="B331" s="74" t="inlineStr">
        <is>
          <t>Nước tẩy Vim 900ml/Chai</t>
        </is>
      </c>
      <c r="C331" s="74" t="inlineStr">
        <is>
          <t>NNCC00972</t>
        </is>
      </c>
      <c r="D331" s="74" t="inlineStr">
        <is>
          <t>Phù sa</t>
        </is>
      </c>
      <c r="E331" s="74" t="inlineStr">
        <is>
          <t>B-1523</t>
        </is>
      </c>
      <c r="F331" s="74" t="n"/>
      <c r="G331" s="74" t="inlineStr">
        <is>
          <t>Hộp</t>
        </is>
      </c>
      <c r="H331" s="76" t="n">
        <v>35000</v>
      </c>
      <c r="I331" s="73" t="n">
        <v>45870</v>
      </c>
      <c r="J331" s="73" t="n">
        <v>45900</v>
      </c>
      <c r="K331" s="74" t="inlineStr">
        <is>
          <t>1</t>
        </is>
      </c>
      <c r="L331" s="74" t="inlineStr">
        <is>
          <t>NPV0060</t>
        </is>
      </c>
      <c r="M331" s="64" t="inlineStr">
        <is>
          <t>NPV0060</t>
        </is>
      </c>
    </row>
    <row r="332" ht="29.1" customHeight="1">
      <c r="A332" s="74" t="inlineStr">
        <is>
          <t>NPV0063</t>
        </is>
      </c>
      <c r="B332" s="74" t="inlineStr">
        <is>
          <t>Túi nilon trắng 10kg</t>
        </is>
      </c>
      <c r="C332" s="74" t="inlineStr">
        <is>
          <t>NCC00480</t>
        </is>
      </c>
      <c r="D332" s="74" t="inlineStr">
        <is>
          <t>Phù sa</t>
        </is>
      </c>
      <c r="E332" s="74" t="inlineStr"/>
      <c r="F332" s="74" t="n"/>
      <c r="G332" s="74" t="inlineStr">
        <is>
          <t>Túi</t>
        </is>
      </c>
      <c r="H332" s="76" t="n">
        <v>40000</v>
      </c>
      <c r="I332" s="73" t="n">
        <v>45870</v>
      </c>
      <c r="J332" s="73" t="n">
        <v>45900</v>
      </c>
      <c r="K332" s="74" t="inlineStr">
        <is>
          <t>1</t>
        </is>
      </c>
      <c r="L332" s="74" t="inlineStr">
        <is>
          <t>NPV0063</t>
        </is>
      </c>
      <c r="M332" s="64" t="inlineStr">
        <is>
          <t>NPV0063</t>
        </is>
      </c>
    </row>
    <row r="333" ht="29.1" customHeight="1">
      <c r="A333" s="74" t="inlineStr">
        <is>
          <t>NPV0064</t>
        </is>
      </c>
      <c r="B333" s="74" t="inlineStr">
        <is>
          <t>Túi nilon trắng 20kg</t>
        </is>
      </c>
      <c r="C333" s="74" t="inlineStr">
        <is>
          <t>NNCC00920</t>
        </is>
      </c>
      <c r="D333" s="74" t="inlineStr">
        <is>
          <t>Phù sa</t>
        </is>
      </c>
      <c r="E333" s="74" t="inlineStr"/>
      <c r="F333" s="74" t="n"/>
      <c r="G333" s="74" t="inlineStr">
        <is>
          <t>Túi</t>
        </is>
      </c>
      <c r="H333" s="76" t="n">
        <v>40000</v>
      </c>
      <c r="I333" s="73" t="n">
        <v>45870</v>
      </c>
      <c r="J333" s="73" t="n">
        <v>45900</v>
      </c>
      <c r="K333" s="74" t="inlineStr">
        <is>
          <t>1</t>
        </is>
      </c>
      <c r="L333" s="74" t="inlineStr">
        <is>
          <t>NPV0064</t>
        </is>
      </c>
      <c r="M333" s="64" t="inlineStr">
        <is>
          <t>NPV0064</t>
        </is>
      </c>
    </row>
    <row r="334" ht="29.1" customHeight="1">
      <c r="A334" s="74" t="inlineStr">
        <is>
          <t>NPV0065</t>
        </is>
      </c>
      <c r="B334" s="74" t="inlineStr">
        <is>
          <t>Túi nilon trắng 3kg</t>
        </is>
      </c>
      <c r="C334" s="74" t="inlineStr">
        <is>
          <t>NCC00480</t>
        </is>
      </c>
      <c r="D334" s="74" t="inlineStr">
        <is>
          <t>Phù sa</t>
        </is>
      </c>
      <c r="E334" s="74" t="inlineStr"/>
      <c r="F334" s="74" t="n"/>
      <c r="G334" s="74" t="inlineStr">
        <is>
          <t>Hộp</t>
        </is>
      </c>
      <c r="H334" s="76" t="n">
        <v>40000</v>
      </c>
      <c r="I334" s="73" t="n">
        <v>45870</v>
      </c>
      <c r="J334" s="73" t="n">
        <v>45900</v>
      </c>
      <c r="K334" s="74" t="inlineStr">
        <is>
          <t>1</t>
        </is>
      </c>
      <c r="L334" s="74" t="inlineStr">
        <is>
          <t>NPV0065</t>
        </is>
      </c>
      <c r="M334" s="64" t="inlineStr">
        <is>
          <t>NPV0065</t>
        </is>
      </c>
    </row>
    <row r="335" ht="29.1" customHeight="1">
      <c r="A335" s="74" t="inlineStr">
        <is>
          <t>NPV0066</t>
        </is>
      </c>
      <c r="B335" s="74" t="inlineStr">
        <is>
          <t>Cuộn dây dù sợi 0,7mm * 200gr/cuộn</t>
        </is>
      </c>
      <c r="C335" s="74" t="inlineStr">
        <is>
          <t>NNCC00920</t>
        </is>
      </c>
      <c r="D335" s="74" t="inlineStr">
        <is>
          <t>Phù sa</t>
        </is>
      </c>
      <c r="E335" s="74" t="inlineStr"/>
      <c r="F335" s="74" t="n"/>
      <c r="G335" s="74" t="inlineStr">
        <is>
          <t>Hộp</t>
        </is>
      </c>
      <c r="H335" s="76" t="n">
        <v>35000</v>
      </c>
      <c r="I335" s="73" t="n">
        <v>45870</v>
      </c>
      <c r="J335" s="73" t="n">
        <v>45900</v>
      </c>
      <c r="K335" s="74" t="inlineStr">
        <is>
          <t>1</t>
        </is>
      </c>
      <c r="L335" s="74" t="inlineStr">
        <is>
          <t>NPV0066</t>
        </is>
      </c>
      <c r="M335" s="64" t="inlineStr">
        <is>
          <t>NPV0066</t>
        </is>
      </c>
    </row>
    <row r="336" ht="29.1" customHeight="1">
      <c r="A336" s="74" t="inlineStr">
        <is>
          <t>NPV0077</t>
        </is>
      </c>
      <c r="B336" s="74" t="inlineStr">
        <is>
          <t>Găng tay cao su</t>
        </is>
      </c>
      <c r="C336" s="74" t="inlineStr">
        <is>
          <t>NNCC00972</t>
        </is>
      </c>
      <c r="D336" s="74" t="inlineStr">
        <is>
          <t>Phù sa</t>
        </is>
      </c>
      <c r="E336" s="74" t="inlineStr">
        <is>
          <t>B-1523</t>
        </is>
      </c>
      <c r="F336" s="74" t="n"/>
      <c r="G336" s="74" t="inlineStr">
        <is>
          <t>Hộp</t>
        </is>
      </c>
      <c r="H336" s="76" t="n">
        <v>16000</v>
      </c>
      <c r="I336" s="73" t="n">
        <v>45870</v>
      </c>
      <c r="J336" s="73" t="n">
        <v>45900</v>
      </c>
      <c r="K336" s="74" t="inlineStr">
        <is>
          <t>1</t>
        </is>
      </c>
      <c r="L336" s="74" t="inlineStr">
        <is>
          <t>NPV0077</t>
        </is>
      </c>
      <c r="M336" s="64" t="inlineStr">
        <is>
          <t>NPV0077</t>
        </is>
      </c>
    </row>
    <row r="337">
      <c r="A337" s="74" t="inlineStr">
        <is>
          <t>NPV0080</t>
        </is>
      </c>
      <c r="B337" s="74" t="inlineStr">
        <is>
          <t>Nước rửa bát Hoàng Hải 5 sao 2l/Can*6can/Thùng</t>
        </is>
      </c>
      <c r="C337" s="74" t="inlineStr">
        <is>
          <t>NNCC00920</t>
        </is>
      </c>
      <c r="D337" s="74" t="inlineStr">
        <is>
          <t>Phù sa</t>
        </is>
      </c>
      <c r="E337" s="74" t="inlineStr"/>
      <c r="F337" s="74" t="n"/>
      <c r="G337" s="74" t="inlineStr">
        <is>
          <t>Hộp</t>
        </is>
      </c>
      <c r="H337" s="76" t="n">
        <v>11000</v>
      </c>
      <c r="I337" s="73" t="n">
        <v>45870</v>
      </c>
      <c r="J337" s="73" t="n">
        <v>45900</v>
      </c>
      <c r="K337" s="74" t="inlineStr">
        <is>
          <t>1</t>
        </is>
      </c>
      <c r="L337" s="74" t="inlineStr">
        <is>
          <t>NPV0080</t>
        </is>
      </c>
      <c r="M337" s="64" t="inlineStr">
        <is>
          <t>NPV0080</t>
        </is>
      </c>
    </row>
    <row r="338" ht="15.6" customHeight="1">
      <c r="A338" s="74" t="inlineStr">
        <is>
          <t>NPV0081</t>
        </is>
      </c>
      <c r="B338" s="74" t="inlineStr">
        <is>
          <t>Túi nilon đen 5kg</t>
        </is>
      </c>
      <c r="C338" s="74" t="inlineStr">
        <is>
          <t>NCC00480</t>
        </is>
      </c>
      <c r="D338" s="74" t="inlineStr">
        <is>
          <t>Phù sa</t>
        </is>
      </c>
      <c r="E338" s="74" t="inlineStr"/>
      <c r="F338" s="74" t="n"/>
      <c r="G338" s="74" t="inlineStr">
        <is>
          <t>Hộp</t>
        </is>
      </c>
      <c r="H338" s="76" t="n">
        <v>30000</v>
      </c>
      <c r="I338" s="73" t="n">
        <v>45870</v>
      </c>
      <c r="J338" s="73" t="n">
        <v>45900</v>
      </c>
      <c r="K338" s="74" t="inlineStr">
        <is>
          <t>1</t>
        </is>
      </c>
      <c r="L338" s="74" t="inlineStr">
        <is>
          <t>NPV0081</t>
        </is>
      </c>
      <c r="M338" s="64" t="inlineStr">
        <is>
          <t>NPV0081</t>
        </is>
      </c>
    </row>
    <row r="339" ht="15.6" customHeight="1">
      <c r="A339" s="74" t="inlineStr">
        <is>
          <t>NPV0085</t>
        </is>
      </c>
      <c r="B339" s="74" t="inlineStr">
        <is>
          <t>Túi nilon đen 2kg</t>
        </is>
      </c>
      <c r="C339" s="74" t="inlineStr">
        <is>
          <t>NCC00480</t>
        </is>
      </c>
      <c r="D339" s="74" t="inlineStr">
        <is>
          <t>Phù sa</t>
        </is>
      </c>
      <c r="E339" s="74" t="inlineStr"/>
      <c r="F339" s="74" t="n"/>
      <c r="G339" s="74" t="inlineStr">
        <is>
          <t>Chai</t>
        </is>
      </c>
      <c r="H339" s="76" t="n">
        <v>30000</v>
      </c>
      <c r="I339" s="73" t="n">
        <v>45870</v>
      </c>
      <c r="J339" s="73" t="n">
        <v>45900</v>
      </c>
      <c r="K339" s="74" t="inlineStr">
        <is>
          <t>1</t>
        </is>
      </c>
      <c r="L339" s="74" t="inlineStr">
        <is>
          <t>NPV0085</t>
        </is>
      </c>
      <c r="M339" s="64" t="inlineStr">
        <is>
          <t>NPV0085</t>
        </is>
      </c>
    </row>
    <row r="340">
      <c r="A340" s="74" t="inlineStr">
        <is>
          <t>NPV0087</t>
        </is>
      </c>
      <c r="B340" s="74" t="inlineStr">
        <is>
          <t>Nước lau sàn Power 3.8L/can</t>
        </is>
      </c>
      <c r="C340" s="74" t="inlineStr">
        <is>
          <t>NCC00480</t>
        </is>
      </c>
      <c r="D340" s="74" t="inlineStr">
        <is>
          <t>Phù sa</t>
        </is>
      </c>
      <c r="E340" s="74" t="inlineStr"/>
      <c r="F340" s="74" t="n"/>
      <c r="G340" s="74" t="inlineStr">
        <is>
          <t>can</t>
        </is>
      </c>
      <c r="H340" s="76" t="n">
        <v>80000</v>
      </c>
      <c r="I340" s="73" t="n">
        <v>45870</v>
      </c>
      <c r="J340" s="73" t="n">
        <v>45900</v>
      </c>
      <c r="K340" s="74" t="inlineStr">
        <is>
          <t>1</t>
        </is>
      </c>
      <c r="L340" s="74" t="inlineStr">
        <is>
          <t>NPV0087</t>
        </is>
      </c>
      <c r="M340" s="64" t="inlineStr">
        <is>
          <t>NPV0087</t>
        </is>
      </c>
    </row>
    <row r="341">
      <c r="A341" s="74" t="inlineStr">
        <is>
          <t>NPV0097</t>
        </is>
      </c>
      <c r="B341" s="74" t="inlineStr">
        <is>
          <t>Nước tẩy rửa okay 960ml( chai)</t>
        </is>
      </c>
      <c r="C341" s="74" t="inlineStr">
        <is>
          <t>NNCC00972</t>
        </is>
      </c>
      <c r="D341" s="74" t="inlineStr">
        <is>
          <t>Phù sa</t>
        </is>
      </c>
      <c r="E341" s="74" t="inlineStr">
        <is>
          <t>B-1523</t>
        </is>
      </c>
      <c r="F341" s="74" t="n"/>
      <c r="G341" s="74" t="inlineStr">
        <is>
          <t>can</t>
        </is>
      </c>
      <c r="H341" s="76" t="n">
        <v>23000</v>
      </c>
      <c r="I341" s="73" t="n">
        <v>45870</v>
      </c>
      <c r="J341" s="73" t="n">
        <v>45900</v>
      </c>
      <c r="K341" s="74" t="inlineStr">
        <is>
          <t>1</t>
        </is>
      </c>
      <c r="L341" s="74" t="inlineStr">
        <is>
          <t>NPV0097</t>
        </is>
      </c>
      <c r="M341" s="64" t="inlineStr">
        <is>
          <t>NPV0097</t>
        </is>
      </c>
    </row>
    <row r="342" ht="29.1" customHeight="1">
      <c r="A342" s="74" t="inlineStr">
        <is>
          <t>NPV0139</t>
        </is>
      </c>
      <c r="B342" s="74" t="inlineStr">
        <is>
          <t>Xịt kính Power 575ml/Chai</t>
        </is>
      </c>
      <c r="C342" s="74" t="inlineStr">
        <is>
          <t>NCC00480</t>
        </is>
      </c>
      <c r="D342" s="74" t="inlineStr">
        <is>
          <t>Phù sa</t>
        </is>
      </c>
      <c r="E342" s="74" t="inlineStr"/>
      <c r="F342" s="74" t="n"/>
      <c r="G342" s="74" t="inlineStr">
        <is>
          <t>Hộp</t>
        </is>
      </c>
      <c r="H342" s="76" t="n">
        <v>23000</v>
      </c>
      <c r="I342" s="73" t="n">
        <v>45870</v>
      </c>
      <c r="J342" s="73" t="n">
        <v>45900</v>
      </c>
      <c r="K342" s="74" t="inlineStr">
        <is>
          <t>1</t>
        </is>
      </c>
      <c r="L342" s="74" t="inlineStr">
        <is>
          <t>NPV0139</t>
        </is>
      </c>
      <c r="M342" s="64" t="inlineStr">
        <is>
          <t>NPV0139</t>
        </is>
      </c>
    </row>
    <row r="343" ht="29.1" customHeight="1">
      <c r="A343" s="74" t="inlineStr">
        <is>
          <t>NPV0158</t>
        </is>
      </c>
      <c r="B343" s="74" t="inlineStr">
        <is>
          <t>Túi nilon đen 110kg</t>
        </is>
      </c>
      <c r="C343" s="74" t="inlineStr">
        <is>
          <t>NNCC00972</t>
        </is>
      </c>
      <c r="D343" s="74" t="inlineStr">
        <is>
          <t>Phù sa</t>
        </is>
      </c>
      <c r="E343" s="74" t="inlineStr">
        <is>
          <t>B-1523</t>
        </is>
      </c>
      <c r="F343" s="74" t="n"/>
      <c r="G343" s="74" t="inlineStr">
        <is>
          <t>Hộp</t>
        </is>
      </c>
      <c r="H343" s="76" t="n">
        <v>30000</v>
      </c>
      <c r="I343" s="73" t="n">
        <v>45870</v>
      </c>
      <c r="J343" s="73" t="n">
        <v>45900</v>
      </c>
      <c r="K343" s="74" t="inlineStr">
        <is>
          <t>1</t>
        </is>
      </c>
      <c r="L343" s="74" t="inlineStr">
        <is>
          <t>NPV0158</t>
        </is>
      </c>
      <c r="M343" s="64" t="inlineStr">
        <is>
          <t>NPV0158</t>
        </is>
      </c>
    </row>
    <row r="344" ht="29.1" customHeight="1">
      <c r="A344" s="74" t="inlineStr">
        <is>
          <t>NLS0374</t>
        </is>
      </c>
      <c r="B344" s="74" t="inlineStr">
        <is>
          <t>Thanh giả cua Imitation Crab Sticks (Shirakiku) (1kg/gói)</t>
        </is>
      </c>
      <c r="C344" s="74" t="inlineStr">
        <is>
          <t>NCC00480</t>
        </is>
      </c>
      <c r="D344" s="74" t="inlineStr">
        <is>
          <t>Phù sa</t>
        </is>
      </c>
      <c r="E344" s="74" t="inlineStr"/>
      <c r="F344" s="74" t="n"/>
      <c r="G344" s="74" t="inlineStr">
        <is>
          <t>Hộp</t>
        </is>
      </c>
      <c r="H344" s="76" t="n">
        <v>270000</v>
      </c>
      <c r="I344" s="73" t="n">
        <v>45870</v>
      </c>
      <c r="J344" s="73" t="n">
        <v>45900</v>
      </c>
      <c r="K344" s="74" t="inlineStr">
        <is>
          <t>1</t>
        </is>
      </c>
      <c r="L344" s="74" t="inlineStr">
        <is>
          <t>NLS0374</t>
        </is>
      </c>
      <c r="M344" s="64" t="inlineStr">
        <is>
          <t>NLS0374</t>
        </is>
      </c>
    </row>
    <row r="345" ht="29.1" customHeight="1">
      <c r="A345" s="74" t="inlineStr">
        <is>
          <t>NLG0181</t>
        </is>
      </c>
      <c r="B345" s="74" t="inlineStr">
        <is>
          <t>Nước dùng mỳ lạnh Panga 324ml/gói</t>
        </is>
      </c>
      <c r="C345" s="74" t="inlineStr">
        <is>
          <t>NNCC00920</t>
        </is>
      </c>
      <c r="D345" s="74" t="inlineStr">
        <is>
          <t>Phù sa</t>
        </is>
      </c>
      <c r="E345" s="74" t="inlineStr"/>
      <c r="F345" s="74" t="n"/>
      <c r="G345" s="74" t="inlineStr">
        <is>
          <t>Hộp</t>
        </is>
      </c>
      <c r="H345" s="76" t="n">
        <v>52000</v>
      </c>
      <c r="I345" s="73" t="n">
        <v>45870</v>
      </c>
      <c r="J345" s="73" t="n">
        <v>45900</v>
      </c>
      <c r="K345" s="74" t="inlineStr">
        <is>
          <t>1</t>
        </is>
      </c>
      <c r="L345" s="74" t="inlineStr">
        <is>
          <t>NLG0181</t>
        </is>
      </c>
      <c r="M345" s="64" t="inlineStr">
        <is>
          <t>NLG0181</t>
        </is>
      </c>
    </row>
    <row r="346" ht="29.1" customHeight="1">
      <c r="A346" s="74" t="inlineStr">
        <is>
          <t>NLG0290</t>
        </is>
      </c>
      <c r="B346" s="74" t="inlineStr">
        <is>
          <t>Mỳ lạnh đen aGW 2 kg /túi đvt</t>
        </is>
      </c>
      <c r="C346" s="74" t="inlineStr">
        <is>
          <t>NNCC00972</t>
        </is>
      </c>
      <c r="D346" s="74" t="inlineStr">
        <is>
          <t>Phù sa</t>
        </is>
      </c>
      <c r="E346" s="74" t="inlineStr">
        <is>
          <t>B-1523</t>
        </is>
      </c>
      <c r="F346" s="74" t="n"/>
      <c r="G346" s="74" t="inlineStr">
        <is>
          <t>Hộp</t>
        </is>
      </c>
      <c r="H346" s="76" t="n">
        <v>150000</v>
      </c>
      <c r="I346" s="73" t="n">
        <v>45870</v>
      </c>
      <c r="J346" s="73" t="n">
        <v>45900</v>
      </c>
      <c r="K346" s="74" t="inlineStr">
        <is>
          <t>1</t>
        </is>
      </c>
      <c r="L346" s="74" t="inlineStr">
        <is>
          <t>NLG0290</t>
        </is>
      </c>
      <c r="M346" s="64" t="inlineStr">
        <is>
          <t>NLG0290</t>
        </is>
      </c>
    </row>
    <row r="347">
      <c r="A347" s="74" t="inlineStr">
        <is>
          <t>NPG0918</t>
        </is>
      </c>
      <c r="B347" s="74" t="inlineStr">
        <is>
          <t>Tương bần Ngân Hà 500ml/chai</t>
        </is>
      </c>
      <c r="C347" s="74" t="inlineStr">
        <is>
          <t>NCC00480</t>
        </is>
      </c>
      <c r="D347" s="74" t="inlineStr">
        <is>
          <t>Phù sa</t>
        </is>
      </c>
      <c r="E347" s="74" t="inlineStr"/>
      <c r="F347" s="74" t="n"/>
      <c r="G347" s="74" t="inlineStr">
        <is>
          <t>Hộp</t>
        </is>
      </c>
      <c r="H347" s="76" t="n">
        <v>7000</v>
      </c>
      <c r="I347" s="73" t="n">
        <v>45870</v>
      </c>
      <c r="J347" s="73" t="n">
        <v>45900</v>
      </c>
      <c r="K347" s="74" t="inlineStr">
        <is>
          <t>1</t>
        </is>
      </c>
      <c r="L347" s="74" t="inlineStr">
        <is>
          <t>NPG0918</t>
        </is>
      </c>
      <c r="M347" s="64" t="inlineStr">
        <is>
          <t>NPG0918</t>
        </is>
      </c>
    </row>
    <row r="348" ht="46.8" customHeight="1">
      <c r="A348" s="74" t="inlineStr">
        <is>
          <t>NPV0283</t>
        </is>
      </c>
      <c r="B348" s="74" t="inlineStr">
        <is>
          <t>Nước rửa chén chanh Power100 tiết kiệm hương chanh 3.5kg (4can/thùng )</t>
        </is>
      </c>
      <c r="C348" s="74" t="inlineStr">
        <is>
          <t>NNCC00972</t>
        </is>
      </c>
      <c r="D348" s="74" t="inlineStr">
        <is>
          <t>Phù sa</t>
        </is>
      </c>
      <c r="E348" s="74" t="inlineStr">
        <is>
          <t>B-1523</t>
        </is>
      </c>
      <c r="F348" s="74" t="n"/>
      <c r="G348" s="74" t="inlineStr">
        <is>
          <t>Hộp</t>
        </is>
      </c>
      <c r="H348" s="76" t="n">
        <v>60000</v>
      </c>
      <c r="I348" s="73" t="n">
        <v>45870</v>
      </c>
      <c r="J348" s="73" t="n">
        <v>45900</v>
      </c>
      <c r="K348" s="74" t="inlineStr">
        <is>
          <t>1</t>
        </is>
      </c>
      <c r="L348" s="74" t="inlineStr">
        <is>
          <t>NPV0283</t>
        </is>
      </c>
      <c r="M348" s="64" t="inlineStr">
        <is>
          <t>NPV0283</t>
        </is>
      </c>
    </row>
    <row r="349" ht="29.1" customHeight="1">
      <c r="A349" s="74" t="inlineStr">
        <is>
          <t>CCDC2253</t>
        </is>
      </c>
      <c r="B349" s="74" t="inlineStr">
        <is>
          <t>Giấy ăn Sen Việt kích thước 200x200mm (1kg / bịch )</t>
        </is>
      </c>
      <c r="C349" s="74" t="inlineStr">
        <is>
          <t>NCC00480</t>
        </is>
      </c>
      <c r="D349" s="74" t="inlineStr">
        <is>
          <t>Phù sa</t>
        </is>
      </c>
      <c r="E349" s="74" t="inlineStr"/>
      <c r="F349" s="74" t="n"/>
      <c r="G349" s="74" t="inlineStr">
        <is>
          <t>Hộp</t>
        </is>
      </c>
      <c r="H349" s="76" t="n">
        <v>34000</v>
      </c>
      <c r="I349" s="73" t="n">
        <v>45870</v>
      </c>
      <c r="J349" s="73" t="n">
        <v>45900</v>
      </c>
      <c r="K349" s="74" t="inlineStr">
        <is>
          <t>1</t>
        </is>
      </c>
      <c r="L349" s="74" t="inlineStr">
        <is>
          <t>CCDC2253</t>
        </is>
      </c>
      <c r="M349" s="64" t="inlineStr">
        <is>
          <t>CCDC2253</t>
        </is>
      </c>
    </row>
    <row r="350" ht="29.1" customHeight="1">
      <c r="A350" s="74" t="inlineStr">
        <is>
          <t>NPG0151</t>
        </is>
      </c>
      <c r="B350" s="74" t="inlineStr">
        <is>
          <t>Vừng đen</t>
        </is>
      </c>
      <c r="C350" s="74" t="inlineStr">
        <is>
          <t>NCC00480</t>
        </is>
      </c>
      <c r="D350" s="74" t="inlineStr">
        <is>
          <t>Phù sa</t>
        </is>
      </c>
      <c r="E350" s="74" t="inlineStr"/>
      <c r="F350" s="74" t="n"/>
      <c r="G350" s="74" t="inlineStr">
        <is>
          <t>Hộp</t>
        </is>
      </c>
      <c r="H350" s="76" t="n">
        <v>100000</v>
      </c>
      <c r="I350" s="73" t="n">
        <v>45870</v>
      </c>
      <c r="J350" s="73" t="n">
        <v>45900</v>
      </c>
      <c r="K350" s="74" t="inlineStr">
        <is>
          <t>1</t>
        </is>
      </c>
      <c r="L350" s="74" t="inlineStr">
        <is>
          <t>NPG0151</t>
        </is>
      </c>
      <c r="M350" s="64" t="inlineStr">
        <is>
          <t>NPG0151</t>
        </is>
      </c>
    </row>
    <row r="351" ht="29.1" customHeight="1">
      <c r="A351" s="74" t="inlineStr">
        <is>
          <t>NLR0321</t>
        </is>
      </c>
      <c r="B351" s="74" t="inlineStr">
        <is>
          <t>Lá kim ăn liền gói 400 gr</t>
        </is>
      </c>
      <c r="C351" s="74" t="inlineStr">
        <is>
          <t>NNCC00972</t>
        </is>
      </c>
      <c r="D351" s="74" t="inlineStr">
        <is>
          <t>Phù sa</t>
        </is>
      </c>
      <c r="E351" s="74" t="inlineStr">
        <is>
          <t>B-1523</t>
        </is>
      </c>
      <c r="F351" s="74" t="n"/>
      <c r="G351" s="74" t="inlineStr">
        <is>
          <t>Hộp</t>
        </is>
      </c>
      <c r="H351" s="76" t="n">
        <v>245000</v>
      </c>
      <c r="I351" s="73" t="n">
        <v>45870</v>
      </c>
      <c r="J351" s="73" t="n">
        <v>45900</v>
      </c>
      <c r="K351" s="74" t="inlineStr">
        <is>
          <t>1</t>
        </is>
      </c>
      <c r="L351" s="74" t="inlineStr">
        <is>
          <t>NLR0321</t>
        </is>
      </c>
      <c r="M351" s="64" t="inlineStr">
        <is>
          <t>NLR0321</t>
        </is>
      </c>
    </row>
    <row r="352" ht="15.6" customHeight="1">
      <c r="A352" s="74" t="inlineStr">
        <is>
          <t>NPG0169</t>
        </is>
      </c>
      <c r="B352" s="74" t="inlineStr">
        <is>
          <t>Hạt nêm Miwon 10 kg/gói</t>
        </is>
      </c>
      <c r="C352" s="74" t="inlineStr">
        <is>
          <t>NCC00480</t>
        </is>
      </c>
      <c r="D352" s="74" t="inlineStr">
        <is>
          <t>Phù sa</t>
        </is>
      </c>
      <c r="E352" s="74" t="inlineStr"/>
      <c r="F352" s="74" t="n"/>
      <c r="G352" s="74" t="inlineStr">
        <is>
          <t>Hộp</t>
        </is>
      </c>
      <c r="H352" s="76" t="n">
        <v>28000</v>
      </c>
      <c r="I352" s="73" t="n">
        <v>45870</v>
      </c>
      <c r="J352" s="73" t="n">
        <v>45900</v>
      </c>
      <c r="K352" s="74" t="inlineStr">
        <is>
          <t>1</t>
        </is>
      </c>
      <c r="L352" s="74" t="inlineStr">
        <is>
          <t>NPG0169</t>
        </is>
      </c>
      <c r="M352" s="64" t="inlineStr">
        <is>
          <t>NPG0169</t>
        </is>
      </c>
    </row>
    <row r="353" ht="29.1" customHeight="1">
      <c r="A353" s="74" t="inlineStr">
        <is>
          <t>NLG0281</t>
        </is>
      </c>
      <c r="B353" s="74" t="inlineStr">
        <is>
          <t>Bột nếp Tuấn Phương 1kg/gói</t>
        </is>
      </c>
      <c r="C353" s="74" t="inlineStr">
        <is>
          <t>NCC00480</t>
        </is>
      </c>
      <c r="D353" s="74" t="inlineStr">
        <is>
          <t>Phù sa</t>
        </is>
      </c>
      <c r="E353" s="74" t="inlineStr"/>
      <c r="F353" s="74" t="n"/>
      <c r="G353" s="74" t="inlineStr">
        <is>
          <t>Hộp</t>
        </is>
      </c>
      <c r="H353" s="76" t="n">
        <v>35000</v>
      </c>
      <c r="I353" s="73" t="n">
        <v>45870</v>
      </c>
      <c r="J353" s="73" t="n">
        <v>45900</v>
      </c>
      <c r="K353" s="74" t="inlineStr">
        <is>
          <t>1</t>
        </is>
      </c>
      <c r="L353" s="74" t="inlineStr">
        <is>
          <t>NLG0281</t>
        </is>
      </c>
      <c r="M353" s="64" t="inlineStr">
        <is>
          <t>NLG0281</t>
        </is>
      </c>
    </row>
    <row r="354" ht="29.1" customHeight="1">
      <c r="A354" s="74" t="inlineStr">
        <is>
          <t>NPV0209</t>
        </is>
      </c>
      <c r="B354" s="74" t="inlineStr">
        <is>
          <t>Cốc nhựa dùng 1 lần không nắp 300ml (1000c/day)</t>
        </is>
      </c>
      <c r="C354" s="74" t="inlineStr">
        <is>
          <t>NCC00480</t>
        </is>
      </c>
      <c r="D354" s="74" t="inlineStr">
        <is>
          <t>Phù sa</t>
        </is>
      </c>
      <c r="E354" s="74" t="inlineStr"/>
      <c r="F354" s="74" t="n"/>
      <c r="G354" s="74" t="inlineStr">
        <is>
          <t>Hộp</t>
        </is>
      </c>
      <c r="H354" s="76" t="n">
        <v>300</v>
      </c>
      <c r="I354" s="73" t="n">
        <v>45870</v>
      </c>
      <c r="J354" s="73" t="n">
        <v>45900</v>
      </c>
      <c r="K354" s="74" t="inlineStr">
        <is>
          <t>1</t>
        </is>
      </c>
      <c r="L354" s="74" t="inlineStr">
        <is>
          <t>NPV0209</t>
        </is>
      </c>
      <c r="M354" s="64" t="inlineStr">
        <is>
          <t>NPV0209</t>
        </is>
      </c>
    </row>
    <row r="355" ht="29.1" customHeight="1">
      <c r="A355" s="74" t="inlineStr">
        <is>
          <t>HHN0043</t>
        </is>
      </c>
      <c r="B355" s="74" t="inlineStr">
        <is>
          <t>Đá viên 6kg/túi</t>
        </is>
      </c>
      <c r="C355" s="74" t="inlineStr">
        <is>
          <t>NNCC00920</t>
        </is>
      </c>
      <c r="D355" s="74" t="inlineStr">
        <is>
          <t>Phù sa</t>
        </is>
      </c>
      <c r="E355" s="74" t="inlineStr"/>
      <c r="F355" s="74" t="n"/>
      <c r="G355" s="74" t="inlineStr">
        <is>
          <t>Hộp</t>
        </is>
      </c>
      <c r="H355" s="76" t="n">
        <v>10000</v>
      </c>
      <c r="I355" s="73" t="n">
        <v>45870</v>
      </c>
      <c r="J355" s="73" t="n">
        <v>45900</v>
      </c>
      <c r="K355" s="74" t="inlineStr">
        <is>
          <t>1</t>
        </is>
      </c>
      <c r="L355" s="74" t="inlineStr">
        <is>
          <t>HHN0043</t>
        </is>
      </c>
      <c r="M355" s="64" t="inlineStr">
        <is>
          <t>HHN0043</t>
        </is>
      </c>
    </row>
    <row r="356" ht="29.1" customHeight="1">
      <c r="A356" s="74" t="inlineStr">
        <is>
          <t>NLS0253</t>
        </is>
      </c>
      <c r="B356" s="74" t="inlineStr">
        <is>
          <t>Mực khô xé</t>
        </is>
      </c>
      <c r="C356" s="74" t="inlineStr">
        <is>
          <t>NNCC00972</t>
        </is>
      </c>
      <c r="D356" s="74" t="inlineStr">
        <is>
          <t>Phù sa</t>
        </is>
      </c>
      <c r="E356" s="74" t="inlineStr">
        <is>
          <t>B-1523</t>
        </is>
      </c>
      <c r="F356" s="74" t="n"/>
      <c r="G356" s="74" t="inlineStr">
        <is>
          <t>Hộp</t>
        </is>
      </c>
      <c r="H356" s="76" t="n">
        <v>650000</v>
      </c>
      <c r="I356" s="73" t="n">
        <v>45870</v>
      </c>
      <c r="J356" s="73" t="n">
        <v>45900</v>
      </c>
      <c r="K356" s="74" t="inlineStr">
        <is>
          <t>1</t>
        </is>
      </c>
      <c r="L356" s="74" t="inlineStr">
        <is>
          <t>NLS0253</t>
        </is>
      </c>
      <c r="M356" s="64" t="inlineStr">
        <is>
          <t>NLS0253</t>
        </is>
      </c>
    </row>
    <row r="357" ht="29.1" customHeight="1">
      <c r="A357" s="74" t="inlineStr">
        <is>
          <t>NPG0541</t>
        </is>
      </c>
      <c r="B357" s="74" t="inlineStr">
        <is>
          <t>Nước mơ HQ 1,5l/chai</t>
        </is>
      </c>
      <c r="C357" s="74" t="inlineStr">
        <is>
          <t>NCC00480</t>
        </is>
      </c>
      <c r="D357" s="74" t="inlineStr">
        <is>
          <t>Phù sa</t>
        </is>
      </c>
      <c r="E357" s="74" t="inlineStr"/>
      <c r="F357" s="74" t="n"/>
      <c r="G357" s="74" t="inlineStr">
        <is>
          <t>Hộp</t>
        </is>
      </c>
      <c r="H357" s="76" t="n">
        <v>320000</v>
      </c>
      <c r="I357" s="73" t="n">
        <v>45870</v>
      </c>
      <c r="J357" s="73" t="n">
        <v>45900</v>
      </c>
      <c r="K357" s="74" t="inlineStr">
        <is>
          <t>1</t>
        </is>
      </c>
      <c r="L357" s="74" t="inlineStr">
        <is>
          <t>NPG0541</t>
        </is>
      </c>
      <c r="M357" s="64" t="inlineStr">
        <is>
          <t>NPG0541</t>
        </is>
      </c>
    </row>
    <row r="358" ht="15.6" customHeight="1">
      <c r="A358" s="74" t="inlineStr">
        <is>
          <t>NLT0232</t>
        </is>
      </c>
      <c r="B358" s="74" t="inlineStr">
        <is>
          <t>Lòng lợn Hàn Quốc</t>
        </is>
      </c>
      <c r="C358" s="74" t="inlineStr">
        <is>
          <t>NCC00480</t>
        </is>
      </c>
      <c r="D358" s="74" t="inlineStr">
        <is>
          <t>Phù sa</t>
        </is>
      </c>
      <c r="E358" s="74" t="inlineStr"/>
      <c r="F358" s="74" t="n"/>
      <c r="G358" s="74" t="inlineStr">
        <is>
          <t>Hộp</t>
        </is>
      </c>
      <c r="H358" s="76" t="n">
        <v>210000</v>
      </c>
      <c r="I358" s="73" t="n">
        <v>45870</v>
      </c>
      <c r="J358" s="73" t="n">
        <v>45900</v>
      </c>
      <c r="K358" s="74" t="inlineStr">
        <is>
          <t>1</t>
        </is>
      </c>
      <c r="L358" s="74" t="inlineStr">
        <is>
          <t>NLT0232</t>
        </is>
      </c>
      <c r="M358" s="64" t="inlineStr">
        <is>
          <t>NLT0232</t>
        </is>
      </c>
    </row>
    <row r="359" ht="15.6" customHeight="1">
      <c r="A359" s="74" t="inlineStr">
        <is>
          <t>NPG0578</t>
        </is>
      </c>
      <c r="B359" s="74" t="inlineStr">
        <is>
          <t>Lá kim vụn ăn liền 1kg/túi</t>
        </is>
      </c>
      <c r="C359" s="74" t="inlineStr">
        <is>
          <t>NNCC00972</t>
        </is>
      </c>
      <c r="D359" s="74" t="inlineStr">
        <is>
          <t>Phù sa</t>
        </is>
      </c>
      <c r="E359" s="74" t="inlineStr">
        <is>
          <t>B-1523</t>
        </is>
      </c>
      <c r="F359" s="74" t="n"/>
      <c r="G359" s="74" t="inlineStr">
        <is>
          <t>Hộp</t>
        </is>
      </c>
      <c r="H359" s="76" t="n">
        <v>500000</v>
      </c>
      <c r="I359" s="73" t="n">
        <v>45870</v>
      </c>
      <c r="J359" s="73" t="n">
        <v>45900</v>
      </c>
      <c r="K359" s="74" t="inlineStr">
        <is>
          <t>1</t>
        </is>
      </c>
      <c r="L359" s="74" t="inlineStr">
        <is>
          <t>NPG0578</t>
        </is>
      </c>
      <c r="M359" s="64" t="inlineStr">
        <is>
          <t>NPG0578</t>
        </is>
      </c>
    </row>
    <row r="360" ht="15.6" customHeight="1">
      <c r="A360" s="74" t="inlineStr">
        <is>
          <t>NLG0153</t>
        </is>
      </c>
      <c r="B360" s="74" t="inlineStr">
        <is>
          <t>Tương ớt cay HQ 14kg/ can</t>
        </is>
      </c>
      <c r="C360" s="74" t="inlineStr">
        <is>
          <t>NCC00480</t>
        </is>
      </c>
      <c r="D360" s="74" t="inlineStr">
        <is>
          <t>Phù sa</t>
        </is>
      </c>
      <c r="E360" s="74" t="inlineStr"/>
      <c r="F360" s="74" t="n"/>
      <c r="G360" s="74" t="inlineStr">
        <is>
          <t>Hộp</t>
        </is>
      </c>
      <c r="H360" s="76" t="n">
        <v>95000</v>
      </c>
      <c r="I360" s="73" t="n">
        <v>45870</v>
      </c>
      <c r="J360" s="73" t="n">
        <v>45900</v>
      </c>
      <c r="K360" s="74" t="inlineStr">
        <is>
          <t>1</t>
        </is>
      </c>
      <c r="L360" s="74" t="inlineStr">
        <is>
          <t>NLG0153</t>
        </is>
      </c>
      <c r="M360" s="64" t="inlineStr">
        <is>
          <t>NLG0153</t>
        </is>
      </c>
    </row>
    <row r="361" ht="29.1" customHeight="1">
      <c r="A361" s="74" t="inlineStr">
        <is>
          <t>NLG0282</t>
        </is>
      </c>
      <c r="B361" s="74" t="inlineStr">
        <is>
          <t>Mắm tép Phương Nhung 500ml/chai</t>
        </is>
      </c>
      <c r="C361" s="74" t="inlineStr">
        <is>
          <t>NCC00480</t>
        </is>
      </c>
      <c r="D361" s="74" t="inlineStr">
        <is>
          <t>Phù sa</t>
        </is>
      </c>
      <c r="E361" s="74" t="inlineStr"/>
      <c r="F361" s="74" t="n"/>
      <c r="G361" s="74" t="inlineStr">
        <is>
          <t>Hộp</t>
        </is>
      </c>
      <c r="H361" s="76" t="n">
        <v>35000</v>
      </c>
      <c r="I361" s="73" t="n">
        <v>45870</v>
      </c>
      <c r="J361" s="73" t="n">
        <v>45900</v>
      </c>
      <c r="K361" s="74" t="inlineStr">
        <is>
          <t>1</t>
        </is>
      </c>
      <c r="L361" s="74" t="inlineStr">
        <is>
          <t>NLG0282</t>
        </is>
      </c>
      <c r="M361" s="64" t="inlineStr">
        <is>
          <t>NLG0282</t>
        </is>
      </c>
    </row>
    <row r="362" ht="29.1" customHeight="1">
      <c r="A362" s="74" t="inlineStr">
        <is>
          <t>NPG0938</t>
        </is>
      </c>
      <c r="B362" s="74" t="inlineStr">
        <is>
          <t>Thuốc bắc 50g/gói</t>
        </is>
      </c>
      <c r="C362" s="74" t="inlineStr">
        <is>
          <t>NCC00480</t>
        </is>
      </c>
      <c r="D362" s="74" t="inlineStr">
        <is>
          <t>Phù sa</t>
        </is>
      </c>
      <c r="E362" s="74" t="inlineStr"/>
      <c r="F362" s="74" t="n"/>
      <c r="G362" s="74" t="inlineStr">
        <is>
          <t>Hộp</t>
        </is>
      </c>
      <c r="H362" s="76" t="n">
        <v>3500</v>
      </c>
      <c r="I362" s="73" t="n">
        <v>45870</v>
      </c>
      <c r="J362" s="73" t="n">
        <v>45900</v>
      </c>
      <c r="K362" s="74" t="inlineStr">
        <is>
          <t>1</t>
        </is>
      </c>
      <c r="L362" s="74" t="inlineStr">
        <is>
          <t>NPG0938</t>
        </is>
      </c>
      <c r="M362" s="64" t="inlineStr">
        <is>
          <t>NPG0938</t>
        </is>
      </c>
    </row>
    <row r="363" ht="29.1" customHeight="1">
      <c r="A363" s="74" t="inlineStr">
        <is>
          <t>NPG0225</t>
        </is>
      </c>
      <c r="B363" s="74" t="inlineStr">
        <is>
          <t>Bột ớt Hàn Quốc 1kg/gói</t>
        </is>
      </c>
      <c r="C363" s="74" t="inlineStr">
        <is>
          <t>NNCC00920</t>
        </is>
      </c>
      <c r="D363" s="74" t="inlineStr">
        <is>
          <t>Phù sa</t>
        </is>
      </c>
      <c r="E363" s="74" t="inlineStr"/>
      <c r="F363" s="74" t="n"/>
      <c r="G363" s="74" t="inlineStr">
        <is>
          <t>Hộp</t>
        </is>
      </c>
      <c r="H363" s="76" t="n">
        <v>150000</v>
      </c>
      <c r="I363" s="73" t="n">
        <v>45870</v>
      </c>
      <c r="J363" s="73" t="n">
        <v>45900</v>
      </c>
      <c r="K363" s="74" t="inlineStr">
        <is>
          <t>1</t>
        </is>
      </c>
      <c r="L363" s="74" t="inlineStr">
        <is>
          <t>NPG0225</t>
        </is>
      </c>
      <c r="M363" s="64" t="inlineStr">
        <is>
          <t>NPG0225</t>
        </is>
      </c>
    </row>
    <row r="364" ht="15.6" customHeight="1">
      <c r="A364" s="74" t="inlineStr">
        <is>
          <t>HHN0172</t>
        </is>
      </c>
      <c r="B364" s="74" t="inlineStr">
        <is>
          <t>Đá viên 5kg/túi</t>
        </is>
      </c>
      <c r="C364" s="74" t="inlineStr">
        <is>
          <t>NCC00480</t>
        </is>
      </c>
      <c r="D364" s="74" t="inlineStr">
        <is>
          <t>Phù sa</t>
        </is>
      </c>
      <c r="E364" s="74" t="inlineStr"/>
      <c r="F364" s="74" t="n"/>
      <c r="G364" s="74" t="inlineStr">
        <is>
          <t>Hộp</t>
        </is>
      </c>
      <c r="H364" s="76" t="n">
        <v>10000</v>
      </c>
      <c r="I364" s="73" t="n">
        <v>45870</v>
      </c>
      <c r="J364" s="73" t="n">
        <v>45900</v>
      </c>
      <c r="K364" s="74" t="inlineStr">
        <is>
          <t>1</t>
        </is>
      </c>
      <c r="L364" s="74" t="inlineStr">
        <is>
          <t>HHN0172</t>
        </is>
      </c>
      <c r="M364" s="64" t="inlineStr">
        <is>
          <t>HHN0172</t>
        </is>
      </c>
    </row>
    <row r="365" ht="29.1" customHeight="1">
      <c r="A365" s="74" t="inlineStr">
        <is>
          <t>NLG0010</t>
        </is>
      </c>
      <c r="B365" s="74" t="inlineStr">
        <is>
          <t>Mỳ UDON 200g*24 gói/thùng</t>
        </is>
      </c>
      <c r="C365" s="74" t="inlineStr">
        <is>
          <t>NCC00480</t>
        </is>
      </c>
      <c r="D365" s="74" t="inlineStr">
        <is>
          <t>Phù sa</t>
        </is>
      </c>
      <c r="E365" s="74" t="inlineStr"/>
      <c r="F365" s="74" t="n"/>
      <c r="G365" s="74" t="inlineStr">
        <is>
          <t>Hộp</t>
        </is>
      </c>
      <c r="H365" s="76" t="n">
        <v>17000</v>
      </c>
      <c r="I365" s="73" t="n">
        <v>45870</v>
      </c>
      <c r="J365" s="73" t="n">
        <v>45900</v>
      </c>
      <c r="K365" s="74" t="inlineStr">
        <is>
          <t>1</t>
        </is>
      </c>
      <c r="L365" s="74" t="inlineStr">
        <is>
          <t>NLG0010</t>
        </is>
      </c>
      <c r="M365" s="64" t="inlineStr">
        <is>
          <t>NLG0010</t>
        </is>
      </c>
    </row>
    <row r="366" ht="15.6" customHeight="1">
      <c r="A366" s="74" t="inlineStr">
        <is>
          <t>NLG0073</t>
        </is>
      </c>
      <c r="B366" s="74" t="inlineStr">
        <is>
          <t>Bánh gạo xào</t>
        </is>
      </c>
      <c r="C366" s="74" t="inlineStr">
        <is>
          <t>NCC00480</t>
        </is>
      </c>
      <c r="D366" s="74" t="inlineStr">
        <is>
          <t>Phù sa</t>
        </is>
      </c>
      <c r="E366" s="74" t="inlineStr"/>
      <c r="F366" s="74" t="n"/>
      <c r="G366" s="74" t="inlineStr">
        <is>
          <t>Hộp</t>
        </is>
      </c>
      <c r="H366" s="76" t="n">
        <v>80000</v>
      </c>
      <c r="I366" s="73" t="n">
        <v>45870</v>
      </c>
      <c r="J366" s="73" t="n">
        <v>45900</v>
      </c>
      <c r="K366" s="74" t="inlineStr">
        <is>
          <t>1</t>
        </is>
      </c>
      <c r="L366" s="74" t="inlineStr">
        <is>
          <t>NLG0073</t>
        </is>
      </c>
      <c r="M366" s="64" t="inlineStr">
        <is>
          <t>NLG0073</t>
        </is>
      </c>
    </row>
    <row r="367" ht="15.6" customHeight="1">
      <c r="A367" s="74" t="inlineStr">
        <is>
          <t>NPG0411</t>
        </is>
      </c>
      <c r="B367" s="74" t="inlineStr">
        <is>
          <t>Bột thạch nâu HQ 400G/Gói</t>
        </is>
      </c>
      <c r="C367" s="74" t="inlineStr">
        <is>
          <t>NNCC00972</t>
        </is>
      </c>
      <c r="D367" s="74" t="inlineStr">
        <is>
          <t>Phù sa</t>
        </is>
      </c>
      <c r="E367" s="74" t="inlineStr">
        <is>
          <t>B-1523</t>
        </is>
      </c>
      <c r="F367" s="74" t="n"/>
      <c r="G367" s="74" t="inlineStr">
        <is>
          <t>Hộp</t>
        </is>
      </c>
      <c r="H367" s="76" t="n">
        <v>235000</v>
      </c>
      <c r="I367" s="73" t="n">
        <v>45870</v>
      </c>
      <c r="J367" s="73" t="n">
        <v>45900</v>
      </c>
      <c r="K367" s="74" t="inlineStr">
        <is>
          <t>1</t>
        </is>
      </c>
      <c r="L367" s="74" t="inlineStr">
        <is>
          <t>NPG0411</t>
        </is>
      </c>
      <c r="M367" s="64" t="inlineStr">
        <is>
          <t>NPG0411</t>
        </is>
      </c>
    </row>
    <row r="368" ht="46.8" customHeight="1">
      <c r="A368" s="74" t="inlineStr">
        <is>
          <t>NPG0986</t>
        </is>
      </c>
      <c r="B368" s="74" t="inlineStr">
        <is>
          <t>Đậu tương lên men Shiro Miso Miko Chan Shishuichi 500g/ gó</t>
        </is>
      </c>
      <c r="C368" s="74" t="inlineStr">
        <is>
          <t>NCC00480</t>
        </is>
      </c>
      <c r="D368" s="74" t="inlineStr">
        <is>
          <t>Phù sa</t>
        </is>
      </c>
      <c r="E368" s="74" t="inlineStr"/>
      <c r="F368" s="74" t="n"/>
      <c r="G368" s="74" t="inlineStr">
        <is>
          <t>Hộp</t>
        </is>
      </c>
      <c r="H368" s="76" t="n">
        <v>92000</v>
      </c>
      <c r="I368" s="73" t="n">
        <v>45870</v>
      </c>
      <c r="J368" s="73" t="n">
        <v>45900</v>
      </c>
      <c r="K368" s="74" t="inlineStr">
        <is>
          <t>1</t>
        </is>
      </c>
      <c r="L368" s="74" t="inlineStr">
        <is>
          <t>NPG0986</t>
        </is>
      </c>
      <c r="M368" s="64" t="inlineStr">
        <is>
          <t>NPG0986</t>
        </is>
      </c>
    </row>
    <row r="369" ht="29.1" customHeight="1">
      <c r="A369" s="74" t="inlineStr">
        <is>
          <t>NLG0289</t>
        </is>
      </c>
      <c r="B369" s="74" t="inlineStr">
        <is>
          <t>Hạt nêm ngao 500g/gói</t>
        </is>
      </c>
      <c r="C369" s="74" t="inlineStr">
        <is>
          <t>NNCC00920</t>
        </is>
      </c>
      <c r="D369" s="74" t="inlineStr">
        <is>
          <t>Phù sa</t>
        </is>
      </c>
      <c r="E369" s="74" t="inlineStr"/>
      <c r="F369" s="74" t="n"/>
      <c r="G369" s="74" t="inlineStr">
        <is>
          <t>Hộp</t>
        </is>
      </c>
      <c r="H369" s="76" t="n">
        <v>200000</v>
      </c>
      <c r="I369" s="73" t="n">
        <v>45870</v>
      </c>
      <c r="J369" s="73" t="n">
        <v>45900</v>
      </c>
      <c r="K369" s="74" t="inlineStr">
        <is>
          <t>1</t>
        </is>
      </c>
      <c r="L369" s="74" t="inlineStr">
        <is>
          <t>NLG0289</t>
        </is>
      </c>
      <c r="M369" s="64" t="inlineStr">
        <is>
          <t>NLG0289</t>
        </is>
      </c>
    </row>
    <row r="370" ht="29.1" customHeight="1">
      <c r="A370" s="74" t="inlineStr">
        <is>
          <t>NPG0069</t>
        </is>
      </c>
      <c r="B370" s="74" t="inlineStr">
        <is>
          <t>Hạt điều</t>
        </is>
      </c>
      <c r="C370" s="74" t="inlineStr">
        <is>
          <t>NNCC00920</t>
        </is>
      </c>
      <c r="D370" s="74" t="inlineStr">
        <is>
          <t>Phù sa</t>
        </is>
      </c>
      <c r="E370" s="74" t="inlineStr"/>
      <c r="F370" s="74" t="n"/>
      <c r="G370" s="74" t="inlineStr">
        <is>
          <t>Hộp</t>
        </is>
      </c>
      <c r="H370" s="76" t="n">
        <v>170000</v>
      </c>
      <c r="I370" s="73" t="n">
        <v>45870</v>
      </c>
      <c r="J370" s="73" t="n">
        <v>45900</v>
      </c>
      <c r="K370" s="74" t="inlineStr">
        <is>
          <t>1</t>
        </is>
      </c>
      <c r="L370" s="74" t="inlineStr">
        <is>
          <t>NPG0069</t>
        </is>
      </c>
      <c r="M370" s="64" t="inlineStr">
        <is>
          <t>NPG0069</t>
        </is>
      </c>
    </row>
    <row r="371" ht="29.1" customHeight="1">
      <c r="A371" s="74" t="inlineStr">
        <is>
          <t>NPG0155</t>
        </is>
      </c>
      <c r="B371" s="74" t="inlineStr">
        <is>
          <t>Xì dầu Tam thái tử 500ml/chai, 24 chai/thùng</t>
        </is>
      </c>
      <c r="C371" s="74" t="inlineStr">
        <is>
          <t>NNCC00920</t>
        </is>
      </c>
      <c r="D371" s="74" t="inlineStr">
        <is>
          <t>Phù sa</t>
        </is>
      </c>
      <c r="E371" s="74" t="inlineStr"/>
      <c r="F371" s="74" t="n"/>
      <c r="G371" s="74" t="inlineStr">
        <is>
          <t>Hộp</t>
        </is>
      </c>
      <c r="H371" s="76" t="n">
        <v>6300</v>
      </c>
      <c r="I371" s="73" t="n">
        <v>45870</v>
      </c>
      <c r="J371" s="73" t="n">
        <v>45900</v>
      </c>
      <c r="K371" s="74" t="inlineStr">
        <is>
          <t>1</t>
        </is>
      </c>
      <c r="L371" s="74" t="inlineStr">
        <is>
          <t>NPG0155</t>
        </is>
      </c>
      <c r="M371" s="64" t="inlineStr">
        <is>
          <t>NPG0155</t>
        </is>
      </c>
    </row>
    <row r="372" ht="15.6" customHeight="1">
      <c r="A372" s="74" t="inlineStr">
        <is>
          <t>HHS0017</t>
        </is>
      </c>
      <c r="B372" s="74" t="inlineStr">
        <is>
          <t>Sữa TUS CAM</t>
        </is>
      </c>
      <c r="C372" s="74" t="inlineStr">
        <is>
          <t>NNCC00920</t>
        </is>
      </c>
      <c r="D372" s="74" t="inlineStr">
        <is>
          <t>Phù sa</t>
        </is>
      </c>
      <c r="E372" s="74" t="inlineStr"/>
      <c r="F372" s="74" t="n"/>
      <c r="G372" s="74" t="inlineStr">
        <is>
          <t>Hộp</t>
        </is>
      </c>
      <c r="H372" s="76" t="n">
        <v>3954</v>
      </c>
      <c r="I372" s="73" t="n">
        <v>45870</v>
      </c>
      <c r="J372" s="73" t="n">
        <v>45900</v>
      </c>
      <c r="K372" s="74" t="inlineStr">
        <is>
          <t>1</t>
        </is>
      </c>
      <c r="L372" s="74" t="inlineStr">
        <is>
          <t>HHS0017</t>
        </is>
      </c>
      <c r="M372" s="64" t="inlineStr">
        <is>
          <t>HHS0017</t>
        </is>
      </c>
    </row>
    <row r="373" ht="29.1" customHeight="1">
      <c r="A373" s="74" t="inlineStr">
        <is>
          <t>HHS0023</t>
        </is>
      </c>
      <c r="B373" s="74" t="inlineStr">
        <is>
          <t>Sữa IZZI YẾN mạch</t>
        </is>
      </c>
      <c r="C373" s="74" t="inlineStr">
        <is>
          <t>NCC00480</t>
        </is>
      </c>
      <c r="D373" s="74" t="inlineStr">
        <is>
          <t>Phù sa</t>
        </is>
      </c>
      <c r="E373" s="74" t="inlineStr"/>
      <c r="F373" s="74" t="n"/>
      <c r="G373" s="74" t="inlineStr">
        <is>
          <t>Hộp</t>
        </is>
      </c>
      <c r="H373" s="76" t="n">
        <v>3954</v>
      </c>
      <c r="I373" s="73" t="n">
        <v>45870</v>
      </c>
      <c r="J373" s="73" t="n">
        <v>45900</v>
      </c>
      <c r="K373" s="74" t="inlineStr">
        <is>
          <t>1</t>
        </is>
      </c>
      <c r="L373" s="74" t="inlineStr">
        <is>
          <t>HHS0023</t>
        </is>
      </c>
      <c r="M373" s="64" t="inlineStr">
        <is>
          <t>HHS0023</t>
        </is>
      </c>
    </row>
    <row r="374" ht="29.1" customHeight="1">
      <c r="A374" s="74" t="inlineStr">
        <is>
          <t>HHS0049</t>
        </is>
      </c>
      <c r="B374" s="74" t="inlineStr">
        <is>
          <t>Sữa TUS dâu</t>
        </is>
      </c>
      <c r="C374" s="74" t="inlineStr">
        <is>
          <t>NCC00480</t>
        </is>
      </c>
      <c r="D374" s="74" t="inlineStr">
        <is>
          <t>Phù sa</t>
        </is>
      </c>
      <c r="E374" s="74" t="inlineStr"/>
      <c r="F374" s="74" t="n"/>
      <c r="G374" s="74" t="inlineStr">
        <is>
          <t>Hộp</t>
        </is>
      </c>
      <c r="H374" s="76" t="n">
        <v>3954</v>
      </c>
      <c r="I374" s="73" t="n">
        <v>45870</v>
      </c>
      <c r="J374" s="73" t="n">
        <v>45900</v>
      </c>
      <c r="K374" s="74" t="inlineStr">
        <is>
          <t>1</t>
        </is>
      </c>
      <c r="L374" s="74" t="inlineStr">
        <is>
          <t>HHS0049</t>
        </is>
      </c>
      <c r="M374" s="64" t="inlineStr">
        <is>
          <t>HHS0049</t>
        </is>
      </c>
    </row>
    <row r="375" ht="29.1" customHeight="1">
      <c r="A375" s="74" t="inlineStr">
        <is>
          <t>HHS0118</t>
        </is>
      </c>
      <c r="B375" s="74" t="inlineStr">
        <is>
          <t>Sữa chua uống TH 110ml, 48 hộp/thùng</t>
        </is>
      </c>
      <c r="C375" s="74" t="inlineStr">
        <is>
          <t>NCC00480</t>
        </is>
      </c>
      <c r="D375" s="74" t="inlineStr">
        <is>
          <t>Phù sa</t>
        </is>
      </c>
      <c r="E375" s="74" t="inlineStr"/>
      <c r="F375" s="74" t="n"/>
      <c r="G375" s="74" t="inlineStr">
        <is>
          <t>Hộp</t>
        </is>
      </c>
      <c r="H375" s="76" t="n">
        <v>5100</v>
      </c>
      <c r="I375" s="73" t="n">
        <v>45870</v>
      </c>
      <c r="J375" s="73" t="n">
        <v>45900</v>
      </c>
      <c r="K375" s="74" t="inlineStr">
        <is>
          <t>1</t>
        </is>
      </c>
      <c r="L375" s="74" t="inlineStr">
        <is>
          <t>HHS0118</t>
        </is>
      </c>
      <c r="M375" s="64" t="inlineStr">
        <is>
          <t>HHS0118</t>
        </is>
      </c>
    </row>
    <row r="376" ht="29.1" customHeight="1">
      <c r="A376" s="74" t="inlineStr">
        <is>
          <t>NLG0005</t>
        </is>
      </c>
      <c r="B376" s="74" t="inlineStr">
        <is>
          <t>Gạo khang dân</t>
        </is>
      </c>
      <c r="C376" s="74" t="inlineStr">
        <is>
          <t>NNCC00276</t>
        </is>
      </c>
      <c r="D376" s="74" t="inlineStr">
        <is>
          <t>Phù sa</t>
        </is>
      </c>
      <c r="E376" s="74" t="inlineStr"/>
      <c r="F376" s="74" t="n"/>
      <c r="G376" s="74" t="inlineStr">
        <is>
          <t>Cái</t>
        </is>
      </c>
      <c r="H376" s="76" t="n">
        <v>13600</v>
      </c>
      <c r="I376" s="73" t="n">
        <v>45870</v>
      </c>
      <c r="J376" s="73" t="n">
        <v>45900</v>
      </c>
      <c r="K376" s="74" t="inlineStr">
        <is>
          <t>1</t>
        </is>
      </c>
      <c r="L376" s="74" t="inlineStr">
        <is>
          <t>NLG0005</t>
        </is>
      </c>
      <c r="M376" s="64" t="inlineStr">
        <is>
          <t>NLG0005</t>
        </is>
      </c>
    </row>
    <row r="377" ht="29.1" customHeight="1">
      <c r="A377" s="74" t="inlineStr">
        <is>
          <t>NLG0013</t>
        </is>
      </c>
      <c r="B377" s="74" t="inlineStr">
        <is>
          <t>Gạo bắc hương</t>
        </is>
      </c>
      <c r="C377" s="74" t="inlineStr">
        <is>
          <t>NNCC00276</t>
        </is>
      </c>
      <c r="D377" s="74" t="inlineStr">
        <is>
          <t>Phù sa</t>
        </is>
      </c>
      <c r="E377" s="74" t="inlineStr"/>
      <c r="F377" s="74" t="n"/>
      <c r="G377" s="74" t="inlineStr">
        <is>
          <t>Cái</t>
        </is>
      </c>
      <c r="H377" s="76" t="n">
        <v>13800</v>
      </c>
      <c r="I377" s="73" t="n">
        <v>45870</v>
      </c>
      <c r="J377" s="73" t="n">
        <v>45900</v>
      </c>
      <c r="K377" s="74" t="inlineStr">
        <is>
          <t>1</t>
        </is>
      </c>
      <c r="L377" s="74" t="inlineStr">
        <is>
          <t>NLG0013</t>
        </is>
      </c>
      <c r="M377" s="64" t="inlineStr">
        <is>
          <t>NLG0013</t>
        </is>
      </c>
    </row>
    <row r="378" ht="29.1" customHeight="1">
      <c r="A378" s="74" t="inlineStr">
        <is>
          <t>NLG0132</t>
        </is>
      </c>
      <c r="B378" s="74" t="inlineStr">
        <is>
          <t>Tương ớt Hoàng Hải 900-1000gr/chai</t>
        </is>
      </c>
      <c r="C378" s="74" t="inlineStr">
        <is>
          <t>NNCC00276</t>
        </is>
      </c>
      <c r="D378" s="74" t="inlineStr">
        <is>
          <t>Phù sa</t>
        </is>
      </c>
      <c r="E378" s="74" t="inlineStr"/>
      <c r="F378" s="74" t="n"/>
      <c r="G378" s="74" t="inlineStr">
        <is>
          <t>Cái</t>
        </is>
      </c>
      <c r="H378" s="76" t="n">
        <v>8000</v>
      </c>
      <c r="I378" s="73" t="n">
        <v>45870</v>
      </c>
      <c r="J378" s="73" t="n">
        <v>45900</v>
      </c>
      <c r="K378" s="74" t="inlineStr">
        <is>
          <t>1</t>
        </is>
      </c>
      <c r="L378" s="74" t="inlineStr">
        <is>
          <t>NLG0132</t>
        </is>
      </c>
      <c r="M378" s="64" t="inlineStr">
        <is>
          <t>NLG0132</t>
        </is>
      </c>
    </row>
    <row r="379" ht="29.1" customHeight="1">
      <c r="A379" s="74" t="inlineStr">
        <is>
          <t>NLT0020</t>
        </is>
      </c>
      <c r="B379" s="74" t="inlineStr">
        <is>
          <t>Lạc nhân</t>
        </is>
      </c>
      <c r="C379" s="74" t="inlineStr">
        <is>
          <t>NNCC00276</t>
        </is>
      </c>
      <c r="D379" s="74" t="inlineStr">
        <is>
          <t>Phù sa</t>
        </is>
      </c>
      <c r="E379" s="74" t="inlineStr"/>
      <c r="F379" s="74" t="n"/>
      <c r="G379" s="74" t="inlineStr">
        <is>
          <t>Cái</t>
        </is>
      </c>
      <c r="H379" s="76" t="n">
        <v>50000</v>
      </c>
      <c r="I379" s="73" t="n">
        <v>45870</v>
      </c>
      <c r="J379" s="73" t="n">
        <v>45900</v>
      </c>
      <c r="K379" s="74" t="inlineStr">
        <is>
          <t>1</t>
        </is>
      </c>
      <c r="L379" s="74" t="inlineStr">
        <is>
          <t>NLT0020</t>
        </is>
      </c>
      <c r="M379" s="393" t="inlineStr">
        <is>
          <t>NLT0020</t>
        </is>
      </c>
    </row>
    <row r="380" ht="29.1" customHeight="1">
      <c r="A380" s="74" t="inlineStr">
        <is>
          <t>NPG0011</t>
        </is>
      </c>
      <c r="B380" s="74" t="inlineStr">
        <is>
          <t>Bột canh Hải Châu , 50 gói / thùng</t>
        </is>
      </c>
      <c r="C380" s="74" t="inlineStr">
        <is>
          <t>NNCC00276</t>
        </is>
      </c>
      <c r="D380" s="74" t="inlineStr">
        <is>
          <t>Phù sa</t>
        </is>
      </c>
      <c r="E380" s="74" t="inlineStr"/>
      <c r="F380" s="74" t="n"/>
      <c r="G380" s="74" t="inlineStr">
        <is>
          <t>Cái</t>
        </is>
      </c>
      <c r="H380" s="76" t="n">
        <v>3300</v>
      </c>
      <c r="I380" s="73" t="n">
        <v>45870</v>
      </c>
      <c r="J380" s="73" t="n">
        <v>45900</v>
      </c>
      <c r="K380" s="74" t="inlineStr">
        <is>
          <t>1</t>
        </is>
      </c>
      <c r="L380" s="74" t="inlineStr">
        <is>
          <t>NPG0011</t>
        </is>
      </c>
      <c r="M380" s="64" t="inlineStr">
        <is>
          <t>NPG0011</t>
        </is>
      </c>
    </row>
    <row r="381" ht="29.1" customHeight="1">
      <c r="A381" s="74" t="inlineStr">
        <is>
          <t>NPG0012</t>
        </is>
      </c>
      <c r="B381" s="74" t="inlineStr">
        <is>
          <t>Bột canh Hoàng Hải</t>
        </is>
      </c>
      <c r="C381" s="74" t="inlineStr">
        <is>
          <t>NNCC00276</t>
        </is>
      </c>
      <c r="D381" s="74" t="inlineStr">
        <is>
          <t>Phù sa</t>
        </is>
      </c>
      <c r="E381" s="74" t="inlineStr"/>
      <c r="F381" s="74" t="n"/>
      <c r="G381" s="74" t="inlineStr">
        <is>
          <t>Cái</t>
        </is>
      </c>
      <c r="H381" s="76" t="n">
        <v>1500</v>
      </c>
      <c r="I381" s="73" t="n">
        <v>45870</v>
      </c>
      <c r="J381" s="73" t="n">
        <v>45900</v>
      </c>
      <c r="K381" s="74" t="inlineStr">
        <is>
          <t>1</t>
        </is>
      </c>
      <c r="L381" s="74" t="inlineStr">
        <is>
          <t>NPG0012</t>
        </is>
      </c>
      <c r="M381" s="64" t="inlineStr">
        <is>
          <t>NPG0012</t>
        </is>
      </c>
    </row>
    <row r="382" ht="29.1" customHeight="1">
      <c r="A382" s="74" t="inlineStr">
        <is>
          <t>NPG0023</t>
        </is>
      </c>
      <c r="B382" s="74" t="inlineStr">
        <is>
          <t>Bột chiên xù Thành phát, thùng 10kg</t>
        </is>
      </c>
      <c r="C382" s="74" t="inlineStr">
        <is>
          <t>NNCC00276</t>
        </is>
      </c>
      <c r="D382" s="74" t="inlineStr">
        <is>
          <t>Phù sa</t>
        </is>
      </c>
      <c r="E382" s="74" t="inlineStr"/>
      <c r="F382" s="74" t="n"/>
      <c r="G382" s="74" t="inlineStr">
        <is>
          <t>Cái</t>
        </is>
      </c>
      <c r="H382" s="76" t="n">
        <v>19000</v>
      </c>
      <c r="I382" s="73" t="n">
        <v>45870</v>
      </c>
      <c r="J382" s="73" t="n">
        <v>45900</v>
      </c>
      <c r="K382" s="74" t="inlineStr">
        <is>
          <t>1</t>
        </is>
      </c>
      <c r="L382" s="74" t="inlineStr">
        <is>
          <t>NPG0023</t>
        </is>
      </c>
      <c r="M382" s="64" t="inlineStr">
        <is>
          <t>NPG0023</t>
        </is>
      </c>
    </row>
    <row r="383" ht="29.1" customHeight="1">
      <c r="A383" s="74" t="inlineStr">
        <is>
          <t>NPG0164</t>
        </is>
      </c>
      <c r="B383" s="74" t="inlineStr">
        <is>
          <t>Bột nghệ Kim Hưng (500g/gói)</t>
        </is>
      </c>
      <c r="C383" s="74" t="inlineStr">
        <is>
          <t>NNCC00276</t>
        </is>
      </c>
      <c r="D383" s="74" t="inlineStr">
        <is>
          <t>Phù sa</t>
        </is>
      </c>
      <c r="E383" s="74" t="inlineStr"/>
      <c r="F383" s="74" t="n"/>
      <c r="G383" s="74" t="inlineStr">
        <is>
          <t>Cái</t>
        </is>
      </c>
      <c r="H383" s="76" t="n">
        <v>110000</v>
      </c>
      <c r="I383" s="73" t="n">
        <v>45870</v>
      </c>
      <c r="J383" s="73" t="n">
        <v>45900</v>
      </c>
      <c r="K383" s="74" t="inlineStr">
        <is>
          <t>1</t>
        </is>
      </c>
      <c r="L383" s="74" t="inlineStr">
        <is>
          <t>NPG0164</t>
        </is>
      </c>
      <c r="M383" s="64" t="inlineStr">
        <is>
          <t>NPG0164</t>
        </is>
      </c>
    </row>
    <row r="384" ht="29.1" customHeight="1">
      <c r="A384" s="74" t="inlineStr">
        <is>
          <t>NPG0168</t>
        </is>
      </c>
      <c r="B384" s="74" t="inlineStr">
        <is>
          <t>Muối hạt Duyến hải 1kg/gói</t>
        </is>
      </c>
      <c r="C384" s="74" t="inlineStr">
        <is>
          <t>NNCC00276</t>
        </is>
      </c>
      <c r="D384" s="74" t="inlineStr">
        <is>
          <t>Phù sa</t>
        </is>
      </c>
      <c r="E384" s="74" t="inlineStr"/>
      <c r="F384" s="74" t="n"/>
      <c r="G384" s="74" t="inlineStr">
        <is>
          <t>Cái</t>
        </is>
      </c>
      <c r="H384" s="76" t="n">
        <v>6000</v>
      </c>
      <c r="I384" s="73" t="n">
        <v>45870</v>
      </c>
      <c r="J384" s="73" t="n">
        <v>45900</v>
      </c>
      <c r="K384" s="74" t="inlineStr">
        <is>
          <t>1</t>
        </is>
      </c>
      <c r="L384" s="74" t="inlineStr">
        <is>
          <t>NPG0168</t>
        </is>
      </c>
      <c r="M384" s="64" t="inlineStr">
        <is>
          <t>NPG0168</t>
        </is>
      </c>
    </row>
    <row r="385" ht="29.1" customHeight="1">
      <c r="A385" s="74" t="inlineStr">
        <is>
          <t>NPG0184</t>
        </is>
      </c>
      <c r="B385" s="74" t="inlineStr">
        <is>
          <t>Mỳ chính Miwon 2kg/ gói</t>
        </is>
      </c>
      <c r="C385" s="74" t="inlineStr">
        <is>
          <t>NNCC00276</t>
        </is>
      </c>
      <c r="D385" s="74" t="inlineStr">
        <is>
          <t>Phù sa</t>
        </is>
      </c>
      <c r="E385" s="74" t="inlineStr"/>
      <c r="F385" s="74" t="n"/>
      <c r="G385" s="74" t="inlineStr">
        <is>
          <t>Cái</t>
        </is>
      </c>
      <c r="H385" s="76" t="n">
        <v>56000</v>
      </c>
      <c r="I385" s="73" t="n">
        <v>45870</v>
      </c>
      <c r="J385" s="73" t="n">
        <v>45900</v>
      </c>
      <c r="K385" s="74" t="inlineStr">
        <is>
          <t>1</t>
        </is>
      </c>
      <c r="L385" s="74" t="inlineStr">
        <is>
          <t>NPG0184</t>
        </is>
      </c>
      <c r="M385" s="64" t="inlineStr">
        <is>
          <t>NPG0184</t>
        </is>
      </c>
    </row>
    <row r="386" ht="29.1" customHeight="1">
      <c r="A386" s="74" t="inlineStr">
        <is>
          <t>NLG0267</t>
        </is>
      </c>
      <c r="B386" s="74" t="inlineStr">
        <is>
          <t>Hạt nêm Orchid 10kg/túi</t>
        </is>
      </c>
      <c r="C386" s="74" t="inlineStr">
        <is>
          <t>NNCC00276</t>
        </is>
      </c>
      <c r="D386" s="74" t="inlineStr">
        <is>
          <t>Phù sa</t>
        </is>
      </c>
      <c r="E386" s="74" t="inlineStr"/>
      <c r="F386" s="74" t="n"/>
      <c r="G386" s="74" t="inlineStr">
        <is>
          <t>Cái</t>
        </is>
      </c>
      <c r="H386" s="76" t="n">
        <v>30000</v>
      </c>
      <c r="I386" s="73" t="n">
        <v>45870</v>
      </c>
      <c r="J386" s="73" t="n">
        <v>45900</v>
      </c>
      <c r="K386" s="74" t="inlineStr">
        <is>
          <t>1</t>
        </is>
      </c>
      <c r="L386" s="74" t="inlineStr">
        <is>
          <t>NLG0267</t>
        </is>
      </c>
      <c r="M386" s="64" t="inlineStr">
        <is>
          <t>NLG0267</t>
        </is>
      </c>
    </row>
    <row r="387" ht="29.1" customHeight="1">
      <c r="A387" s="74" t="inlineStr">
        <is>
          <t>NPV0361</t>
        </is>
      </c>
      <c r="B387" s="74" t="inlineStr">
        <is>
          <t>Nước rửa chén Power 1,37L/ can</t>
        </is>
      </c>
      <c r="C387" s="74" t="inlineStr">
        <is>
          <t>NNCC00276</t>
        </is>
      </c>
      <c r="D387" s="74" t="inlineStr">
        <is>
          <t>Phù sa</t>
        </is>
      </c>
      <c r="E387" s="74" t="inlineStr"/>
      <c r="F387" s="74" t="n"/>
      <c r="G387" s="74" t="inlineStr">
        <is>
          <t>Cái</t>
        </is>
      </c>
      <c r="H387" s="76" t="n">
        <v>30000</v>
      </c>
      <c r="I387" s="73" t="n">
        <v>45870</v>
      </c>
      <c r="J387" s="73" t="n">
        <v>45900</v>
      </c>
      <c r="K387" s="74" t="inlineStr">
        <is>
          <t>1</t>
        </is>
      </c>
      <c r="L387" s="74" t="inlineStr">
        <is>
          <t>NPV0361</t>
        </is>
      </c>
      <c r="M387" s="64" t="inlineStr">
        <is>
          <t>NPV0361</t>
        </is>
      </c>
    </row>
    <row r="388" ht="29.1" customHeight="1">
      <c r="A388" s="74" t="inlineStr">
        <is>
          <t>NPG0532</t>
        </is>
      </c>
      <c r="B388" s="74" t="inlineStr">
        <is>
          <t>Dầu ăn orchid 19.8 lít / thùng</t>
        </is>
      </c>
      <c r="C388" s="74" t="inlineStr">
        <is>
          <t>NNCC00276</t>
        </is>
      </c>
      <c r="D388" s="74" t="inlineStr">
        <is>
          <t>Phù sa</t>
        </is>
      </c>
      <c r="E388" s="74" t="inlineStr"/>
      <c r="F388" s="74" t="n"/>
      <c r="G388" s="74" t="inlineStr">
        <is>
          <t>Cái</t>
        </is>
      </c>
      <c r="H388" s="76" t="n">
        <v>36400</v>
      </c>
      <c r="I388" s="73" t="n">
        <v>45870</v>
      </c>
      <c r="J388" s="73" t="n">
        <v>45900</v>
      </c>
      <c r="K388" s="74" t="inlineStr">
        <is>
          <t>1</t>
        </is>
      </c>
      <c r="L388" s="74" t="inlineStr">
        <is>
          <t>NPG0532</t>
        </is>
      </c>
      <c r="M388" s="393" t="inlineStr">
        <is>
          <t>NPG0532</t>
        </is>
      </c>
    </row>
    <row r="389" ht="29.1" customHeight="1">
      <c r="A389" s="74" t="inlineStr">
        <is>
          <t>NPV0062</t>
        </is>
      </c>
      <c r="B389" s="74" t="inlineStr">
        <is>
          <t>Cọ giáp xanh</t>
        </is>
      </c>
      <c r="C389" s="74" t="inlineStr">
        <is>
          <t>NNCC00276</t>
        </is>
      </c>
      <c r="D389" s="74" t="inlineStr">
        <is>
          <t>Phù sa</t>
        </is>
      </c>
      <c r="E389" s="74" t="inlineStr"/>
      <c r="F389" s="74" t="n"/>
      <c r="G389" s="74" t="n"/>
      <c r="H389" s="76" t="n">
        <v>3000</v>
      </c>
      <c r="I389" s="73" t="n">
        <v>45870</v>
      </c>
      <c r="J389" s="73" t="n">
        <v>45900</v>
      </c>
      <c r="K389" s="74" t="inlineStr">
        <is>
          <t>1</t>
        </is>
      </c>
      <c r="L389" s="74" t="inlineStr">
        <is>
          <t>NPV0062</t>
        </is>
      </c>
      <c r="M389" s="64" t="inlineStr">
        <is>
          <t>NPV0062</t>
        </is>
      </c>
    </row>
    <row r="390" ht="29.1" customHeight="1">
      <c r="A390" s="74" t="inlineStr">
        <is>
          <t>NPG0409</t>
        </is>
      </c>
      <c r="B390" s="74" t="inlineStr">
        <is>
          <t>Nước sốt gà chiên Hàn Quốc 2,1kg</t>
        </is>
      </c>
      <c r="C390" s="74" t="inlineStr">
        <is>
          <t>NNCC00276</t>
        </is>
      </c>
      <c r="D390" s="74" t="inlineStr">
        <is>
          <t>Phù sa</t>
        </is>
      </c>
      <c r="E390" s="74" t="inlineStr"/>
      <c r="F390" s="74" t="n"/>
      <c r="G390" s="74" t="inlineStr">
        <is>
          <t>Cái</t>
        </is>
      </c>
      <c r="H390" s="76" t="n">
        <v>175000</v>
      </c>
      <c r="I390" s="73" t="n">
        <v>45870</v>
      </c>
      <c r="J390" s="73" t="n">
        <v>45900</v>
      </c>
      <c r="K390" s="74" t="inlineStr">
        <is>
          <t>1</t>
        </is>
      </c>
      <c r="L390" s="74" t="inlineStr">
        <is>
          <t>NPG0409</t>
        </is>
      </c>
      <c r="M390" s="64" t="inlineStr">
        <is>
          <t>NPG0409</t>
        </is>
      </c>
    </row>
    <row r="391" ht="29.1" customHeight="1">
      <c r="A391" s="74" t="inlineStr">
        <is>
          <t>HHS0002</t>
        </is>
      </c>
      <c r="B391" s="74" t="inlineStr">
        <is>
          <t>Sữa Mộc Châu 180ml, 48hộp/ thùng</t>
        </is>
      </c>
      <c r="C391" s="74" t="inlineStr">
        <is>
          <t>NNCC00276</t>
        </is>
      </c>
      <c r="D391" s="74" t="inlineStr">
        <is>
          <t>Phù sa</t>
        </is>
      </c>
      <c r="E391" s="74" t="inlineStr"/>
      <c r="F391" s="74" t="n"/>
      <c r="G391" s="74" t="inlineStr">
        <is>
          <t>Cái</t>
        </is>
      </c>
      <c r="H391" s="76" t="n">
        <v>6200</v>
      </c>
      <c r="I391" s="73" t="n">
        <v>45870</v>
      </c>
      <c r="J391" s="73" t="n">
        <v>45900</v>
      </c>
      <c r="K391" s="74" t="inlineStr">
        <is>
          <t>1</t>
        </is>
      </c>
      <c r="L391" s="74" t="inlineStr">
        <is>
          <t>HHS0002</t>
        </is>
      </c>
      <c r="M391" s="64" t="inlineStr">
        <is>
          <t>HHS0002</t>
        </is>
      </c>
    </row>
    <row r="392" ht="29.1" customHeight="1">
      <c r="A392" s="74" t="inlineStr">
        <is>
          <t>NPV0013</t>
        </is>
      </c>
      <c r="B392" s="74" t="inlineStr">
        <is>
          <t>Găng tay nilon (kg)</t>
        </is>
      </c>
      <c r="C392" s="74" t="inlineStr">
        <is>
          <t>NNCC00276</t>
        </is>
      </c>
      <c r="D392" s="74" t="inlineStr">
        <is>
          <t>Phù sa</t>
        </is>
      </c>
      <c r="E392" s="74" t="inlineStr"/>
      <c r="F392" s="74" t="n"/>
      <c r="G392" s="74" t="inlineStr">
        <is>
          <t>Cái</t>
        </is>
      </c>
      <c r="H392" s="76" t="n">
        <v>60000</v>
      </c>
      <c r="I392" s="73" t="n">
        <v>45870</v>
      </c>
      <c r="J392" s="73" t="n">
        <v>45900</v>
      </c>
      <c r="K392" s="74" t="inlineStr">
        <is>
          <t>1</t>
        </is>
      </c>
      <c r="L392" s="74" t="inlineStr">
        <is>
          <t>NPV0013</t>
        </is>
      </c>
      <c r="M392" s="64" t="inlineStr">
        <is>
          <t>NPV0013</t>
        </is>
      </c>
    </row>
    <row r="393" ht="29.1" customHeight="1">
      <c r="A393" s="74" t="inlineStr">
        <is>
          <t>NPG0154</t>
        </is>
      </c>
      <c r="B393" s="74" t="inlineStr">
        <is>
          <t>Vừng trắng</t>
        </is>
      </c>
      <c r="C393" s="74" t="inlineStr">
        <is>
          <t>NNCC00276</t>
        </is>
      </c>
      <c r="D393" s="74" t="inlineStr">
        <is>
          <t>Phù sa</t>
        </is>
      </c>
      <c r="E393" s="74" t="inlineStr"/>
      <c r="F393" s="74" t="n"/>
      <c r="G393" s="74" t="inlineStr">
        <is>
          <t>Cái</t>
        </is>
      </c>
      <c r="H393" s="76" t="n">
        <v>75000</v>
      </c>
      <c r="I393" s="73" t="n">
        <v>45870</v>
      </c>
      <c r="J393" s="73" t="n">
        <v>45900</v>
      </c>
      <c r="K393" s="74" t="inlineStr">
        <is>
          <t>1</t>
        </is>
      </c>
      <c r="L393" s="74" t="inlineStr">
        <is>
          <t>NPG0154</t>
        </is>
      </c>
      <c r="M393" s="64" t="inlineStr">
        <is>
          <t>NPG0154</t>
        </is>
      </c>
    </row>
    <row r="394" ht="29.1" customHeight="1">
      <c r="A394" s="74" t="inlineStr">
        <is>
          <t>NLT0167</t>
        </is>
      </c>
      <c r="B394" s="74" t="inlineStr">
        <is>
          <t>Thịt hem thái sợi</t>
        </is>
      </c>
      <c r="C394" s="74" t="inlineStr">
        <is>
          <t>NNCC00276</t>
        </is>
      </c>
      <c r="D394" s="74" t="inlineStr">
        <is>
          <t>Phù sa</t>
        </is>
      </c>
      <c r="E394" s="74" t="inlineStr"/>
      <c r="F394" s="74" t="n"/>
      <c r="G394" s="74" t="inlineStr">
        <is>
          <t>Cái</t>
        </is>
      </c>
      <c r="H394" s="76" t="n">
        <v>168000</v>
      </c>
      <c r="I394" s="73" t="n">
        <v>45870</v>
      </c>
      <c r="J394" s="73" t="n">
        <v>45900</v>
      </c>
      <c r="K394" s="74" t="inlineStr">
        <is>
          <t>1</t>
        </is>
      </c>
      <c r="L394" s="74" t="inlineStr">
        <is>
          <t>NLT0167</t>
        </is>
      </c>
      <c r="M394" s="64" t="inlineStr">
        <is>
          <t>NLT0167</t>
        </is>
      </c>
    </row>
    <row r="395" ht="29.1" customHeight="1">
      <c r="A395" s="74" t="inlineStr">
        <is>
          <t>NPG0321</t>
        </is>
      </c>
      <c r="B395" s="74" t="inlineStr">
        <is>
          <t>Bơ Tường an 800g</t>
        </is>
      </c>
      <c r="C395" s="74" t="inlineStr">
        <is>
          <t>NNCC00276</t>
        </is>
      </c>
      <c r="D395" s="74" t="inlineStr">
        <is>
          <t>Phù sa</t>
        </is>
      </c>
      <c r="E395" s="74" t="inlineStr"/>
      <c r="F395" s="74" t="n"/>
      <c r="G395" s="74" t="inlineStr">
        <is>
          <t>Cái</t>
        </is>
      </c>
      <c r="H395" s="76" t="n">
        <v>60000</v>
      </c>
      <c r="I395" s="73" t="n">
        <v>45870</v>
      </c>
      <c r="J395" s="73" t="n">
        <v>45900</v>
      </c>
      <c r="K395" s="74" t="inlineStr">
        <is>
          <t>1</t>
        </is>
      </c>
      <c r="L395" s="74" t="inlineStr">
        <is>
          <t>NPG0321</t>
        </is>
      </c>
      <c r="M395" s="64" t="inlineStr">
        <is>
          <t>NPG0321</t>
        </is>
      </c>
    </row>
    <row r="396" ht="29.1" customHeight="1">
      <c r="A396" s="74" t="inlineStr">
        <is>
          <t>HHN0194</t>
        </is>
      </c>
      <c r="B396" s="74" t="inlineStr">
        <is>
          <t>Nước Soda Scheweppes 320ml/lon* 24 lon/thùng</t>
        </is>
      </c>
      <c r="C396" s="74" t="inlineStr">
        <is>
          <t>NNCC00276</t>
        </is>
      </c>
      <c r="D396" s="74" t="inlineStr">
        <is>
          <t>Phù sa</t>
        </is>
      </c>
      <c r="E396" s="74" t="inlineStr"/>
      <c r="F396" s="74" t="n"/>
      <c r="G396" s="74" t="inlineStr">
        <is>
          <t>Cái</t>
        </is>
      </c>
      <c r="H396" s="76" t="n">
        <v>6800</v>
      </c>
      <c r="I396" s="73" t="n">
        <v>45870</v>
      </c>
      <c r="J396" s="73" t="n">
        <v>45900</v>
      </c>
      <c r="K396" s="74" t="inlineStr">
        <is>
          <t>1</t>
        </is>
      </c>
      <c r="L396" s="74" t="inlineStr">
        <is>
          <t>HHN0194</t>
        </is>
      </c>
      <c r="M396" s="64" t="inlineStr">
        <is>
          <t>HHN0194</t>
        </is>
      </c>
    </row>
    <row r="397" ht="29.1" customHeight="1">
      <c r="A397" s="74" t="inlineStr">
        <is>
          <t>HHB0027</t>
        </is>
      </c>
      <c r="B397" s="74" t="inlineStr">
        <is>
          <t>Thạch Long Hải 95g* 100 cốc/thùng</t>
        </is>
      </c>
      <c r="C397" s="74" t="inlineStr">
        <is>
          <t>NNCC00276</t>
        </is>
      </c>
      <c r="D397" s="74" t="inlineStr">
        <is>
          <t>Phù sa</t>
        </is>
      </c>
      <c r="E397" s="74" t="inlineStr"/>
      <c r="F397" s="74" t="n"/>
      <c r="G397" s="74" t="inlineStr">
        <is>
          <t>Cái</t>
        </is>
      </c>
      <c r="H397" s="76" t="n">
        <v>1750</v>
      </c>
      <c r="I397" s="73" t="n">
        <v>45870</v>
      </c>
      <c r="J397" s="73" t="n">
        <v>45900</v>
      </c>
      <c r="K397" s="74" t="inlineStr">
        <is>
          <t>1</t>
        </is>
      </c>
      <c r="L397" s="74" t="inlineStr">
        <is>
          <t>HHB0027</t>
        </is>
      </c>
      <c r="M397" s="64" t="inlineStr">
        <is>
          <t>HHB0027</t>
        </is>
      </c>
    </row>
    <row r="398" ht="29.1" customHeight="1">
      <c r="A398" s="74" t="inlineStr">
        <is>
          <t>HHS0113</t>
        </is>
      </c>
      <c r="B398" s="74" t="inlineStr">
        <is>
          <t>Sữa TH True Milk  ít đường 180ml, 48 hộp/thùng</t>
        </is>
      </c>
      <c r="C398" s="74" t="inlineStr">
        <is>
          <t>NNCC00276</t>
        </is>
      </c>
      <c r="D398" s="74" t="inlineStr">
        <is>
          <t>Phù sa</t>
        </is>
      </c>
      <c r="E398" s="74" t="inlineStr"/>
      <c r="F398" s="74" t="n"/>
      <c r="G398" s="74" t="inlineStr">
        <is>
          <t>Cái</t>
        </is>
      </c>
      <c r="H398" s="76" t="n">
        <v>8500</v>
      </c>
      <c r="I398" s="73" t="n">
        <v>45870</v>
      </c>
      <c r="J398" s="73" t="n">
        <v>45900</v>
      </c>
      <c r="K398" s="74" t="inlineStr">
        <is>
          <t>1</t>
        </is>
      </c>
      <c r="L398" s="74" t="inlineStr">
        <is>
          <t>HHS0113</t>
        </is>
      </c>
      <c r="M398" s="64" t="inlineStr">
        <is>
          <t>HHS0113</t>
        </is>
      </c>
    </row>
    <row r="399" ht="29.1" customHeight="1">
      <c r="A399" s="74" t="inlineStr">
        <is>
          <t>HHS0003</t>
        </is>
      </c>
      <c r="B399" s="74" t="inlineStr">
        <is>
          <t>Sữa TH 110ml, 48hộp/ thùng</t>
        </is>
      </c>
      <c r="C399" s="74" t="inlineStr">
        <is>
          <t>NNCC00276</t>
        </is>
      </c>
      <c r="D399" s="74" t="inlineStr">
        <is>
          <t>Phù sa</t>
        </is>
      </c>
      <c r="E399" s="74" t="inlineStr"/>
      <c r="F399" s="74" t="n"/>
      <c r="G399" s="74" t="inlineStr">
        <is>
          <t>Cái</t>
        </is>
      </c>
      <c r="H399" s="76" t="n">
        <v>5300</v>
      </c>
      <c r="I399" s="73" t="n">
        <v>45870</v>
      </c>
      <c r="J399" s="73" t="n">
        <v>45900</v>
      </c>
      <c r="K399" s="74" t="inlineStr">
        <is>
          <t>1</t>
        </is>
      </c>
      <c r="L399" s="74" t="inlineStr">
        <is>
          <t>HHS0003</t>
        </is>
      </c>
      <c r="M399" s="64" t="inlineStr">
        <is>
          <t>HHS0003</t>
        </is>
      </c>
    </row>
    <row r="400" ht="29.1" customHeight="1">
      <c r="A400" s="74" t="inlineStr">
        <is>
          <t>NPV0067</t>
        </is>
      </c>
      <c r="B400" s="74" t="inlineStr">
        <is>
          <t>Găng tay y tế 100 đôi/hộp</t>
        </is>
      </c>
      <c r="C400" s="74" t="inlineStr">
        <is>
          <t>NNCC00276</t>
        </is>
      </c>
      <c r="D400" s="74" t="inlineStr">
        <is>
          <t>Phù sa</t>
        </is>
      </c>
      <c r="E400" s="74" t="inlineStr"/>
      <c r="F400" s="74" t="n"/>
      <c r="G400" s="74" t="inlineStr">
        <is>
          <t>Cái</t>
        </is>
      </c>
      <c r="H400" s="76" t="n">
        <v>150000</v>
      </c>
      <c r="I400" s="73" t="n">
        <v>45870</v>
      </c>
      <c r="J400" s="73" t="n">
        <v>45900</v>
      </c>
      <c r="K400" s="74" t="inlineStr">
        <is>
          <t>1</t>
        </is>
      </c>
      <c r="L400" s="74" t="inlineStr">
        <is>
          <t>NPV0067</t>
        </is>
      </c>
      <c r="M400" s="64" t="inlineStr">
        <is>
          <t>NPV0067</t>
        </is>
      </c>
    </row>
    <row r="401" ht="29.1" customHeight="1">
      <c r="A401" s="74" t="inlineStr">
        <is>
          <t>NLQ0036</t>
        </is>
      </c>
      <c r="B401" s="74" t="inlineStr">
        <is>
          <t>Xoài xanh 2-3 quả/kg</t>
        </is>
      </c>
      <c r="C401" s="74" t="inlineStr">
        <is>
          <t>NLQ0036</t>
        </is>
      </c>
      <c r="D401" s="74" t="inlineStr">
        <is>
          <t>Phù sa</t>
        </is>
      </c>
      <c r="E401" s="74" t="n"/>
      <c r="F401" s="74" t="n"/>
      <c r="G401" s="74" t="inlineStr">
        <is>
          <t>kg</t>
        </is>
      </c>
      <c r="H401" s="76" t="n">
        <v>22000</v>
      </c>
      <c r="I401" s="73" t="n">
        <v>45870</v>
      </c>
      <c r="J401" s="73" t="n">
        <v>45900</v>
      </c>
      <c r="K401" s="74" t="inlineStr">
        <is>
          <t>1</t>
        </is>
      </c>
      <c r="L401" s="74" t="inlineStr">
        <is>
          <t>NLQ0036</t>
        </is>
      </c>
      <c r="M401" s="393" t="inlineStr">
        <is>
          <t>NLQ0036</t>
        </is>
      </c>
    </row>
    <row r="402" ht="29.1" customHeight="1">
      <c r="A402" s="74" t="inlineStr">
        <is>
          <t>NLQ0049</t>
        </is>
      </c>
      <c r="B402" s="74" t="inlineStr">
        <is>
          <t>Táo đỏ gala 4-5 quả/kg</t>
        </is>
      </c>
      <c r="C402" s="74" t="inlineStr">
        <is>
          <t>NLQ0049</t>
        </is>
      </c>
      <c r="D402" s="74" t="inlineStr">
        <is>
          <t>Phù sa</t>
        </is>
      </c>
      <c r="E402" s="74" t="inlineStr"/>
      <c r="F402" s="74" t="n"/>
      <c r="G402" s="74" t="inlineStr">
        <is>
          <t>kg</t>
        </is>
      </c>
      <c r="H402" s="76" t="n">
        <v>150000</v>
      </c>
      <c r="I402" s="73" t="n">
        <v>45870</v>
      </c>
      <c r="J402" s="73" t="n">
        <v>45900</v>
      </c>
      <c r="K402" s="74" t="inlineStr">
        <is>
          <t>1</t>
        </is>
      </c>
      <c r="L402" s="74" t="inlineStr">
        <is>
          <t>NLQ0049</t>
        </is>
      </c>
      <c r="M402" s="393" t="inlineStr">
        <is>
          <t>NLQ0049</t>
        </is>
      </c>
    </row>
    <row r="403" ht="29.1" customHeight="1">
      <c r="A403" s="74" t="inlineStr">
        <is>
          <t>NLQ0099</t>
        </is>
      </c>
      <c r="B403" s="74" t="inlineStr">
        <is>
          <t>Bưởi bóc vỏ</t>
        </is>
      </c>
      <c r="C403" s="74" t="inlineStr">
        <is>
          <t>NLQ0099</t>
        </is>
      </c>
      <c r="D403" s="74" t="inlineStr">
        <is>
          <t>Phù sa</t>
        </is>
      </c>
      <c r="E403" s="74" t="inlineStr"/>
      <c r="F403" s="74" t="n"/>
      <c r="G403" s="74" t="inlineStr">
        <is>
          <t>kg</t>
        </is>
      </c>
      <c r="H403" s="76" t="n">
        <v>16000</v>
      </c>
      <c r="I403" s="73" t="n">
        <v>45870</v>
      </c>
      <c r="J403" s="73" t="n">
        <v>45900</v>
      </c>
      <c r="K403" s="74" t="inlineStr">
        <is>
          <t>1</t>
        </is>
      </c>
      <c r="L403" s="74" t="inlineStr">
        <is>
          <t>NLQ0099</t>
        </is>
      </c>
      <c r="M403" s="393" t="inlineStr">
        <is>
          <t>NLQ0099</t>
        </is>
      </c>
    </row>
    <row r="404" ht="29.1" customHeight="1">
      <c r="A404" s="74" t="inlineStr">
        <is>
          <t>NLQ0003</t>
        </is>
      </c>
      <c r="B404" s="74" t="inlineStr">
        <is>
          <t>Mía tím sơ chế</t>
        </is>
      </c>
      <c r="C404" s="74" t="inlineStr">
        <is>
          <t>NLQ0003</t>
        </is>
      </c>
      <c r="D404" s="74" t="inlineStr">
        <is>
          <t>Phù sa</t>
        </is>
      </c>
      <c r="E404" s="74" t="inlineStr"/>
      <c r="F404" s="74" t="n"/>
      <c r="G404" s="74" t="inlineStr">
        <is>
          <t>kg</t>
        </is>
      </c>
      <c r="H404" s="76" t="n">
        <v>20000</v>
      </c>
      <c r="I404" s="73" t="n">
        <v>45870</v>
      </c>
      <c r="J404" s="73" t="n">
        <v>45900</v>
      </c>
      <c r="K404" s="74" t="inlineStr">
        <is>
          <t>1</t>
        </is>
      </c>
      <c r="L404" s="74" t="inlineStr">
        <is>
          <t>NLQ0003</t>
        </is>
      </c>
      <c r="M404" s="393" t="inlineStr">
        <is>
          <t>NLQ0003</t>
        </is>
      </c>
    </row>
    <row r="405" ht="29.1" customHeight="1">
      <c r="A405" s="74" t="inlineStr">
        <is>
          <t>NLQ0008</t>
        </is>
      </c>
      <c r="B405" s="74" t="inlineStr">
        <is>
          <t>Qủa chanh leo</t>
        </is>
      </c>
      <c r="C405" s="74" t="inlineStr">
        <is>
          <t>NLQ0008</t>
        </is>
      </c>
      <c r="D405" s="74" t="inlineStr">
        <is>
          <t>Phù sa</t>
        </is>
      </c>
      <c r="E405" s="74" t="inlineStr"/>
      <c r="F405" s="74" t="n"/>
      <c r="G405" s="74" t="inlineStr">
        <is>
          <t>kg</t>
        </is>
      </c>
      <c r="H405" s="76" t="n">
        <v>35000</v>
      </c>
      <c r="I405" s="73" t="n">
        <v>45870</v>
      </c>
      <c r="J405" s="73" t="n">
        <v>45900</v>
      </c>
      <c r="K405" s="74" t="inlineStr">
        <is>
          <t>1</t>
        </is>
      </c>
      <c r="L405" s="74" t="inlineStr">
        <is>
          <t>NLQ0008</t>
        </is>
      </c>
      <c r="M405" s="393" t="inlineStr">
        <is>
          <t>NLQ0008</t>
        </is>
      </c>
    </row>
    <row r="406" ht="29.1" customHeight="1">
      <c r="A406" s="74" t="inlineStr">
        <is>
          <t>NLR0052</t>
        </is>
      </c>
      <c r="B406" s="74" t="inlineStr">
        <is>
          <t>Chuối xanh sơ chế</t>
        </is>
      </c>
      <c r="C406" s="74" t="inlineStr">
        <is>
          <t>NLR0052</t>
        </is>
      </c>
      <c r="D406" s="74" t="inlineStr">
        <is>
          <t>Phù sa</t>
        </is>
      </c>
      <c r="E406" s="74" t="inlineStr"/>
      <c r="F406" s="74" t="n"/>
      <c r="G406" s="74" t="inlineStr">
        <is>
          <t>kg</t>
        </is>
      </c>
      <c r="H406" s="76" t="n">
        <v>19000</v>
      </c>
      <c r="I406" s="73" t="n">
        <v>45870</v>
      </c>
      <c r="J406" s="73" t="n">
        <v>45900</v>
      </c>
      <c r="K406" s="74" t="inlineStr">
        <is>
          <t>1</t>
        </is>
      </c>
      <c r="L406" s="74" t="inlineStr">
        <is>
          <t>NLR0052</t>
        </is>
      </c>
      <c r="M406" s="393" t="inlineStr">
        <is>
          <t>NLR0052</t>
        </is>
      </c>
    </row>
    <row r="407" ht="29.1" customHeight="1">
      <c r="A407" s="74" t="inlineStr">
        <is>
          <t>NLQ0016</t>
        </is>
      </c>
      <c r="B407" s="74" t="inlineStr">
        <is>
          <t>Quả ổi 3-5 quả/kg</t>
        </is>
      </c>
      <c r="C407" s="74" t="inlineStr">
        <is>
          <t>NLQ0016</t>
        </is>
      </c>
      <c r="D407" s="74" t="inlineStr">
        <is>
          <t>Phù sa</t>
        </is>
      </c>
      <c r="E407" s="74" t="inlineStr"/>
      <c r="F407" s="74" t="n"/>
      <c r="G407" s="74" t="inlineStr">
        <is>
          <t>kg</t>
        </is>
      </c>
      <c r="H407" s="76" t="n">
        <v>18000</v>
      </c>
      <c r="I407" s="73" t="n">
        <v>45870</v>
      </c>
      <c r="J407" s="73" t="n">
        <v>45900</v>
      </c>
      <c r="K407" s="74" t="inlineStr">
        <is>
          <t>1</t>
        </is>
      </c>
      <c r="L407" s="74" t="inlineStr">
        <is>
          <t>NLQ0016</t>
        </is>
      </c>
      <c r="M407" s="393" t="inlineStr">
        <is>
          <t>NLQ0016</t>
        </is>
      </c>
    </row>
    <row r="408" ht="29.1" customHeight="1">
      <c r="A408" s="74" t="inlineStr">
        <is>
          <t>NLQ0062</t>
        </is>
      </c>
      <c r="B408" s="74" t="inlineStr">
        <is>
          <t>Cam sành 4-6 quả/kg</t>
        </is>
      </c>
      <c r="C408" s="74" t="inlineStr">
        <is>
          <t>NLQ0062</t>
        </is>
      </c>
      <c r="D408" s="74" t="inlineStr">
        <is>
          <t>Phù sa</t>
        </is>
      </c>
      <c r="E408" s="74" t="inlineStr"/>
      <c r="F408" s="74" t="n"/>
      <c r="G408" s="74" t="inlineStr">
        <is>
          <t>kg</t>
        </is>
      </c>
      <c r="H408" s="76" t="n">
        <v>17000</v>
      </c>
      <c r="I408" s="73" t="n">
        <v>45870</v>
      </c>
      <c r="J408" s="73" t="n">
        <v>45900</v>
      </c>
      <c r="K408" s="74" t="inlineStr">
        <is>
          <t>1</t>
        </is>
      </c>
      <c r="L408" s="74" t="inlineStr">
        <is>
          <t>NLQ0062</t>
        </is>
      </c>
      <c r="M408" s="393" t="inlineStr">
        <is>
          <t>NLQ0062</t>
        </is>
      </c>
    </row>
    <row r="409" ht="29.1" customHeight="1">
      <c r="A409" s="74" t="inlineStr">
        <is>
          <t>NLQ0018</t>
        </is>
      </c>
      <c r="B409" s="74" t="inlineStr">
        <is>
          <t>Qủa Quýt</t>
        </is>
      </c>
      <c r="C409" s="74" t="inlineStr">
        <is>
          <t>NLQ0018</t>
        </is>
      </c>
      <c r="D409" s="74" t="inlineStr">
        <is>
          <t>Phù sa</t>
        </is>
      </c>
      <c r="E409" s="74" t="inlineStr"/>
      <c r="F409" s="74" t="n"/>
      <c r="G409" s="74" t="inlineStr">
        <is>
          <t>kg</t>
        </is>
      </c>
      <c r="H409" s="76" t="n">
        <v>30000</v>
      </c>
      <c r="I409" s="73" t="n">
        <v>45870</v>
      </c>
      <c r="J409" s="73" t="n">
        <v>45900</v>
      </c>
      <c r="K409" s="74" t="inlineStr">
        <is>
          <t>1</t>
        </is>
      </c>
      <c r="L409" s="74" t="inlineStr">
        <is>
          <t>NLQ0018</t>
        </is>
      </c>
      <c r="M409" s="393" t="inlineStr">
        <is>
          <t>NLQ0018</t>
        </is>
      </c>
    </row>
    <row r="410" ht="29.1" customHeight="1">
      <c r="A410" s="74" t="inlineStr">
        <is>
          <t>NLQ0040</t>
        </is>
      </c>
      <c r="B410" s="74" t="inlineStr">
        <is>
          <t>Bưởi da xanh</t>
        </is>
      </c>
      <c r="C410" s="74" t="inlineStr">
        <is>
          <t>NLQ0040</t>
        </is>
      </c>
      <c r="D410" s="74" t="inlineStr">
        <is>
          <t>Phù sa</t>
        </is>
      </c>
      <c r="E410" s="74" t="inlineStr"/>
      <c r="F410" s="74" t="n"/>
      <c r="G410" s="74" t="inlineStr">
        <is>
          <t>kg</t>
        </is>
      </c>
      <c r="H410" s="76" t="n">
        <v>55000</v>
      </c>
      <c r="I410" s="73" t="n">
        <v>45870</v>
      </c>
      <c r="J410" s="73" t="n">
        <v>45900</v>
      </c>
      <c r="K410" s="74" t="inlineStr">
        <is>
          <t>1</t>
        </is>
      </c>
      <c r="L410" s="74" t="inlineStr">
        <is>
          <t>NLQ0040</t>
        </is>
      </c>
      <c r="M410" s="393" t="inlineStr">
        <is>
          <t>NLQ0040</t>
        </is>
      </c>
    </row>
    <row r="411" ht="29.1" customHeight="1">
      <c r="A411" s="74" t="inlineStr">
        <is>
          <t>NLQ0093</t>
        </is>
      </c>
      <c r="B411" s="74" t="inlineStr">
        <is>
          <t>Táo Đá Size 7-8 quả/kg</t>
        </is>
      </c>
      <c r="C411" s="74" t="inlineStr">
        <is>
          <t>NLQ0093</t>
        </is>
      </c>
      <c r="D411" s="74" t="inlineStr">
        <is>
          <t>Phù sa</t>
        </is>
      </c>
      <c r="E411" s="74" t="inlineStr"/>
      <c r="F411" s="74" t="n"/>
      <c r="G411" s="74" t="inlineStr">
        <is>
          <t>kg</t>
        </is>
      </c>
      <c r="H411" s="76" t="n">
        <v>27000</v>
      </c>
      <c r="I411" s="73" t="n">
        <v>45870</v>
      </c>
      <c r="J411" s="73" t="n">
        <v>45900</v>
      </c>
      <c r="K411" s="74" t="inlineStr">
        <is>
          <t>1</t>
        </is>
      </c>
      <c r="L411" s="74" t="inlineStr">
        <is>
          <t>NLQ0093</t>
        </is>
      </c>
      <c r="M411" s="64" t="inlineStr">
        <is>
          <t>NLQ0093</t>
        </is>
      </c>
    </row>
    <row r="412" ht="29.1" customHeight="1">
      <c r="A412" s="74" t="inlineStr">
        <is>
          <t>NLQ0022</t>
        </is>
      </c>
      <c r="B412" s="74" t="inlineStr">
        <is>
          <t>Quả Thanh long</t>
        </is>
      </c>
      <c r="C412" s="74" t="inlineStr">
        <is>
          <t>NLQ0022</t>
        </is>
      </c>
      <c r="D412" s="74" t="inlineStr">
        <is>
          <t>Phù sa</t>
        </is>
      </c>
      <c r="E412" s="74" t="inlineStr"/>
      <c r="F412" s="74" t="n"/>
      <c r="G412" s="74" t="inlineStr">
        <is>
          <t>kg</t>
        </is>
      </c>
      <c r="H412" s="76" t="n">
        <v>19000</v>
      </c>
      <c r="I412" s="73" t="n">
        <v>45870</v>
      </c>
      <c r="J412" s="73" t="n">
        <v>45900</v>
      </c>
      <c r="K412" s="74" t="inlineStr">
        <is>
          <t>1</t>
        </is>
      </c>
      <c r="L412" s="74" t="inlineStr">
        <is>
          <t>NLQ0022</t>
        </is>
      </c>
      <c r="M412" s="393" t="inlineStr">
        <is>
          <t>NLQ0022</t>
        </is>
      </c>
    </row>
    <row r="413" ht="29.1" customHeight="1">
      <c r="A413" s="74" t="inlineStr">
        <is>
          <t>NLQ0013</t>
        </is>
      </c>
      <c r="B413" s="74" t="inlineStr">
        <is>
          <t>Dưa hấu 1,8- 3kg/quả</t>
        </is>
      </c>
      <c r="C413" s="74" t="inlineStr">
        <is>
          <t>NLQ0013</t>
        </is>
      </c>
      <c r="D413" s="74" t="inlineStr">
        <is>
          <t>Phù sa</t>
        </is>
      </c>
      <c r="E413" s="74" t="inlineStr"/>
      <c r="F413" s="74" t="n"/>
      <c r="G413" s="74" t="inlineStr">
        <is>
          <t>kg</t>
        </is>
      </c>
      <c r="H413" s="76" t="n">
        <v>18000</v>
      </c>
      <c r="I413" s="73" t="n">
        <v>45870</v>
      </c>
      <c r="J413" s="73" t="n">
        <v>45900</v>
      </c>
      <c r="K413" s="74" t="inlineStr">
        <is>
          <t>1</t>
        </is>
      </c>
      <c r="L413" s="74" t="inlineStr">
        <is>
          <t>NLQ0013</t>
        </is>
      </c>
      <c r="M413" s="393" t="inlineStr">
        <is>
          <t>NLQ0013</t>
        </is>
      </c>
    </row>
    <row r="414" ht="29.1" customHeight="1">
      <c r="A414" s="74" t="inlineStr">
        <is>
          <t>NLQ0014</t>
        </is>
      </c>
      <c r="B414" s="74" t="inlineStr">
        <is>
          <t>Quả lê</t>
        </is>
      </c>
      <c r="C414" s="74" t="inlineStr">
        <is>
          <t>NLQ0014</t>
        </is>
      </c>
      <c r="D414" s="74" t="inlineStr">
        <is>
          <t>Phù sa</t>
        </is>
      </c>
      <c r="E414" s="74" t="inlineStr"/>
      <c r="F414" s="74" t="n"/>
      <c r="G414" s="74" t="inlineStr">
        <is>
          <t>kg</t>
        </is>
      </c>
      <c r="H414" s="76" t="n">
        <v>25000</v>
      </c>
      <c r="I414" s="73" t="n">
        <v>45870</v>
      </c>
      <c r="J414" s="73" t="n">
        <v>45900</v>
      </c>
      <c r="K414" s="74" t="inlineStr">
        <is>
          <t>1</t>
        </is>
      </c>
      <c r="L414" s="74" t="inlineStr">
        <is>
          <t>NLQ0014</t>
        </is>
      </c>
      <c r="M414" s="64" t="inlineStr">
        <is>
          <t>NLQ0014</t>
        </is>
      </c>
    </row>
    <row r="415" ht="29.1" customHeight="1">
      <c r="A415" s="74" t="inlineStr">
        <is>
          <t>NLR0001</t>
        </is>
      </c>
      <c r="B415" s="74" t="inlineStr">
        <is>
          <t>Bắp cải trắng</t>
        </is>
      </c>
      <c r="C415" s="74" t="inlineStr">
        <is>
          <t>NLR0001</t>
        </is>
      </c>
      <c r="D415" s="74" t="inlineStr">
        <is>
          <t>Phù sa</t>
        </is>
      </c>
      <c r="E415" s="74" t="inlineStr"/>
      <c r="F415" s="74" t="n"/>
      <c r="G415" s="74" t="inlineStr">
        <is>
          <t>kg</t>
        </is>
      </c>
      <c r="H415" s="76" t="n">
        <v>8500</v>
      </c>
      <c r="I415" s="73" t="n">
        <v>45870</v>
      </c>
      <c r="J415" s="73" t="n">
        <v>45900</v>
      </c>
      <c r="K415" s="74" t="inlineStr">
        <is>
          <t>1</t>
        </is>
      </c>
      <c r="L415" s="74" t="inlineStr">
        <is>
          <t>NLR0001</t>
        </is>
      </c>
      <c r="M415" s="393" t="inlineStr">
        <is>
          <t>NLR0001</t>
        </is>
      </c>
    </row>
    <row r="416" ht="29.1" customHeight="1">
      <c r="A416" s="74" t="inlineStr">
        <is>
          <t>NLR0002</t>
        </is>
      </c>
      <c r="B416" s="74" t="inlineStr">
        <is>
          <t>Bắp cải tím (kg)</t>
        </is>
      </c>
      <c r="C416" s="74" t="inlineStr">
        <is>
          <t>NLR0002</t>
        </is>
      </c>
      <c r="D416" s="74" t="inlineStr">
        <is>
          <t>Phù sa</t>
        </is>
      </c>
      <c r="E416" s="74" t="inlineStr"/>
      <c r="F416" s="74" t="n"/>
      <c r="G416" s="74" t="inlineStr">
        <is>
          <t>kg</t>
        </is>
      </c>
      <c r="H416" s="76" t="n">
        <v>21000</v>
      </c>
      <c r="I416" s="73" t="n">
        <v>45870</v>
      </c>
      <c r="J416" s="73" t="n">
        <v>45900</v>
      </c>
      <c r="K416" s="74" t="inlineStr">
        <is>
          <t>1</t>
        </is>
      </c>
      <c r="L416" s="74" t="inlineStr">
        <is>
          <t>NLR0002</t>
        </is>
      </c>
      <c r="M416" s="393" t="inlineStr">
        <is>
          <t>NLR0002</t>
        </is>
      </c>
    </row>
    <row r="417" ht="29.1" customHeight="1">
      <c r="A417" s="74" t="inlineStr">
        <is>
          <t>NLR0003</t>
        </is>
      </c>
      <c r="B417" s="74" t="inlineStr">
        <is>
          <t>Bầu quả</t>
        </is>
      </c>
      <c r="C417" s="74" t="inlineStr">
        <is>
          <t>NLR0003</t>
        </is>
      </c>
      <c r="D417" s="74" t="inlineStr">
        <is>
          <t>Phù sa</t>
        </is>
      </c>
      <c r="E417" s="74" t="inlineStr"/>
      <c r="F417" s="74" t="n"/>
      <c r="G417" s="74" t="inlineStr">
        <is>
          <t>kg</t>
        </is>
      </c>
      <c r="H417" s="76" t="n">
        <v>18000</v>
      </c>
      <c r="I417" s="73" t="n">
        <v>45870</v>
      </c>
      <c r="J417" s="73" t="n">
        <v>45900</v>
      </c>
      <c r="K417" s="74" t="inlineStr">
        <is>
          <t>1</t>
        </is>
      </c>
      <c r="L417" s="74" t="inlineStr">
        <is>
          <t>NLR0003</t>
        </is>
      </c>
      <c r="M417" s="393" t="inlineStr">
        <is>
          <t>NLR0003</t>
        </is>
      </c>
    </row>
    <row r="418" ht="29.1" customHeight="1">
      <c r="A418" s="74" t="inlineStr">
        <is>
          <t>NLR0008</t>
        </is>
      </c>
      <c r="B418" s="74" t="inlineStr">
        <is>
          <t>Bí đỏ dài</t>
        </is>
      </c>
      <c r="C418" s="74" t="inlineStr">
        <is>
          <t>NLR0008</t>
        </is>
      </c>
      <c r="D418" s="74" t="inlineStr">
        <is>
          <t>Phù sa</t>
        </is>
      </c>
      <c r="E418" s="74" t="inlineStr"/>
      <c r="F418" s="74" t="n"/>
      <c r="G418" s="74" t="inlineStr">
        <is>
          <t>kg</t>
        </is>
      </c>
      <c r="H418" s="76" t="n">
        <v>12000</v>
      </c>
      <c r="I418" s="73" t="n">
        <v>45870</v>
      </c>
      <c r="J418" s="73" t="n">
        <v>45900</v>
      </c>
      <c r="K418" s="74" t="inlineStr">
        <is>
          <t>1</t>
        </is>
      </c>
      <c r="L418" s="74" t="inlineStr">
        <is>
          <t>NLR0008</t>
        </is>
      </c>
      <c r="M418" s="393" t="inlineStr">
        <is>
          <t>NLR0008</t>
        </is>
      </c>
    </row>
    <row r="419" ht="29.1" customHeight="1">
      <c r="A419" s="74" t="inlineStr">
        <is>
          <t>NLR0015</t>
        </is>
      </c>
      <c r="B419" s="74" t="inlineStr">
        <is>
          <t>Cà pháo</t>
        </is>
      </c>
      <c r="C419" s="74" t="inlineStr">
        <is>
          <t>NLR0015</t>
        </is>
      </c>
      <c r="D419" s="74" t="inlineStr">
        <is>
          <t>Phù sa</t>
        </is>
      </c>
      <c r="E419" s="74" t="inlineStr"/>
      <c r="F419" s="74" t="n"/>
      <c r="G419" s="74" t="inlineStr">
        <is>
          <t>kg</t>
        </is>
      </c>
      <c r="H419" s="76" t="n">
        <v>20000</v>
      </c>
      <c r="I419" s="73" t="n">
        <v>45870</v>
      </c>
      <c r="J419" s="73" t="n">
        <v>45900</v>
      </c>
      <c r="K419" s="74" t="inlineStr">
        <is>
          <t>1</t>
        </is>
      </c>
      <c r="L419" s="74" t="inlineStr">
        <is>
          <t>NLR0015</t>
        </is>
      </c>
      <c r="M419" s="393" t="inlineStr">
        <is>
          <t>NLR0015</t>
        </is>
      </c>
    </row>
    <row r="420" ht="29.1" customHeight="1">
      <c r="A420" s="74" t="inlineStr">
        <is>
          <t>NLR0018</t>
        </is>
      </c>
      <c r="B420" s="74" t="inlineStr">
        <is>
          <t>Cà rốt</t>
        </is>
      </c>
      <c r="C420" s="74" t="inlineStr">
        <is>
          <t>NLR0018</t>
        </is>
      </c>
      <c r="D420" s="74" t="inlineStr">
        <is>
          <t>Phù sa</t>
        </is>
      </c>
      <c r="E420" s="74" t="inlineStr"/>
      <c r="F420" s="74" t="n"/>
      <c r="G420" s="74" t="inlineStr">
        <is>
          <t>kg</t>
        </is>
      </c>
      <c r="H420" s="76" t="n">
        <v>13000</v>
      </c>
      <c r="I420" s="73" t="n">
        <v>45870</v>
      </c>
      <c r="J420" s="73" t="n">
        <v>45900</v>
      </c>
      <c r="K420" s="74" t="inlineStr">
        <is>
          <t>1</t>
        </is>
      </c>
      <c r="L420" s="74" t="inlineStr">
        <is>
          <t>NLR0018</t>
        </is>
      </c>
      <c r="M420" s="393" t="inlineStr">
        <is>
          <t>NLR0018</t>
        </is>
      </c>
    </row>
    <row r="421" ht="29.1" customHeight="1">
      <c r="A421" s="74" t="inlineStr">
        <is>
          <t>NLR0019</t>
        </is>
      </c>
      <c r="B421" s="74" t="inlineStr">
        <is>
          <t>Ngô ngọt tách hạt</t>
        </is>
      </c>
      <c r="C421" s="74" t="inlineStr">
        <is>
          <t>NLR0019</t>
        </is>
      </c>
      <c r="D421" s="74" t="inlineStr">
        <is>
          <t>Phù sa</t>
        </is>
      </c>
      <c r="E421" s="74" t="inlineStr"/>
      <c r="F421" s="74" t="n"/>
      <c r="G421" s="74" t="inlineStr">
        <is>
          <t>kg</t>
        </is>
      </c>
      <c r="H421" s="76" t="n">
        <v>42000</v>
      </c>
      <c r="I421" s="73" t="n">
        <v>45870</v>
      </c>
      <c r="J421" s="73" t="n">
        <v>45900</v>
      </c>
      <c r="K421" s="74" t="inlineStr">
        <is>
          <t>1</t>
        </is>
      </c>
      <c r="L421" s="74" t="inlineStr">
        <is>
          <t>NLR0019</t>
        </is>
      </c>
      <c r="M421" s="393" t="inlineStr">
        <is>
          <t>NLR0019</t>
        </is>
      </c>
    </row>
    <row r="422" ht="29.1" customHeight="1">
      <c r="A422" s="74" t="inlineStr">
        <is>
          <t>NLR0024</t>
        </is>
      </c>
      <c r="B422" s="74" t="inlineStr">
        <is>
          <t>Cà tím dài</t>
        </is>
      </c>
      <c r="C422" s="74" t="inlineStr">
        <is>
          <t>NLR0024</t>
        </is>
      </c>
      <c r="D422" s="74" t="inlineStr">
        <is>
          <t>Phù sa</t>
        </is>
      </c>
      <c r="E422" s="74" t="inlineStr"/>
      <c r="F422" s="74" t="n"/>
      <c r="G422" s="74" t="inlineStr">
        <is>
          <t>kg</t>
        </is>
      </c>
      <c r="H422" s="76" t="n">
        <v>15000</v>
      </c>
      <c r="I422" s="73" t="n">
        <v>45870</v>
      </c>
      <c r="J422" s="73" t="n">
        <v>45900</v>
      </c>
      <c r="K422" s="74" t="inlineStr">
        <is>
          <t>1</t>
        </is>
      </c>
      <c r="L422" s="74" t="inlineStr">
        <is>
          <t>NLR0024</t>
        </is>
      </c>
      <c r="M422" s="393" t="inlineStr">
        <is>
          <t>NLR0024</t>
        </is>
      </c>
    </row>
    <row r="423" ht="29.1" customHeight="1">
      <c r="A423" s="74" t="inlineStr">
        <is>
          <t>NLR0025</t>
        </is>
      </c>
      <c r="B423" s="74" t="inlineStr">
        <is>
          <t>Cải bẹ</t>
        </is>
      </c>
      <c r="C423" s="74" t="inlineStr">
        <is>
          <t>NLR0025</t>
        </is>
      </c>
      <c r="D423" s="74" t="inlineStr">
        <is>
          <t>Phù sa</t>
        </is>
      </c>
      <c r="E423" s="74" t="inlineStr"/>
      <c r="F423" s="74" t="n"/>
      <c r="G423" s="74" t="inlineStr">
        <is>
          <t>kg</t>
        </is>
      </c>
      <c r="H423" s="76" t="n">
        <v>11000</v>
      </c>
      <c r="I423" s="73" t="n">
        <v>45870</v>
      </c>
      <c r="J423" s="73" t="n">
        <v>45900</v>
      </c>
      <c r="K423" s="74" t="inlineStr">
        <is>
          <t>1</t>
        </is>
      </c>
      <c r="L423" s="74" t="inlineStr">
        <is>
          <t>NLR0025</t>
        </is>
      </c>
      <c r="M423" s="393" t="inlineStr">
        <is>
          <t>NLR0025</t>
        </is>
      </c>
    </row>
    <row r="424" ht="29.1" customHeight="1">
      <c r="A424" s="74" t="inlineStr">
        <is>
          <t>NLR0029</t>
        </is>
      </c>
      <c r="B424" s="74" t="inlineStr">
        <is>
          <t>Cải chíp</t>
        </is>
      </c>
      <c r="C424" s="74" t="inlineStr">
        <is>
          <t>NLR0029</t>
        </is>
      </c>
      <c r="D424" s="74" t="inlineStr">
        <is>
          <t>Phù sa</t>
        </is>
      </c>
      <c r="E424" s="74" t="inlineStr"/>
      <c r="F424" s="74" t="n"/>
      <c r="G424" s="74" t="inlineStr">
        <is>
          <t>kg</t>
        </is>
      </c>
      <c r="H424" s="76" t="n">
        <v>10500</v>
      </c>
      <c r="I424" s="73" t="n">
        <v>45870</v>
      </c>
      <c r="J424" s="73" t="n">
        <v>45900</v>
      </c>
      <c r="K424" s="74" t="inlineStr">
        <is>
          <t>1</t>
        </is>
      </c>
      <c r="L424" s="74" t="inlineStr">
        <is>
          <t>NLR0029</t>
        </is>
      </c>
      <c r="M424" s="393" t="inlineStr">
        <is>
          <t>NLR0029</t>
        </is>
      </c>
    </row>
    <row r="425" ht="29.1" customHeight="1">
      <c r="A425" s="74" t="inlineStr">
        <is>
          <t>NLR0033</t>
        </is>
      </c>
      <c r="B425" s="74" t="inlineStr">
        <is>
          <t>Cải ngồng</t>
        </is>
      </c>
      <c r="C425" s="74" t="inlineStr">
        <is>
          <t>NLR0033</t>
        </is>
      </c>
      <c r="D425" s="74" t="inlineStr">
        <is>
          <t>Phù sa</t>
        </is>
      </c>
      <c r="E425" s="74" t="inlineStr"/>
      <c r="F425" s="74" t="n"/>
      <c r="G425" s="74" t="inlineStr">
        <is>
          <t>kg</t>
        </is>
      </c>
      <c r="H425" s="76" t="n">
        <v>12000</v>
      </c>
      <c r="I425" s="73" t="n">
        <v>45870</v>
      </c>
      <c r="J425" s="73" t="n">
        <v>45900</v>
      </c>
      <c r="K425" s="74" t="inlineStr">
        <is>
          <t>1</t>
        </is>
      </c>
      <c r="L425" s="74" t="inlineStr">
        <is>
          <t>NLR0033</t>
        </is>
      </c>
      <c r="M425" s="393" t="inlineStr">
        <is>
          <t>NLR0033</t>
        </is>
      </c>
    </row>
    <row r="426" ht="29.1" customHeight="1">
      <c r="A426" s="74" t="inlineStr">
        <is>
          <t>NLR0034</t>
        </is>
      </c>
      <c r="B426" s="74" t="inlineStr">
        <is>
          <t>Cải thảo</t>
        </is>
      </c>
      <c r="C426" s="74" t="inlineStr">
        <is>
          <t>NLR0034</t>
        </is>
      </c>
      <c r="D426" s="74" t="inlineStr">
        <is>
          <t>Phù sa</t>
        </is>
      </c>
      <c r="E426" s="74" t="inlineStr"/>
      <c r="F426" s="74" t="n"/>
      <c r="G426" s="74" t="inlineStr">
        <is>
          <t>kg</t>
        </is>
      </c>
      <c r="H426" s="76" t="n">
        <v>10000</v>
      </c>
      <c r="I426" s="73" t="n">
        <v>45870</v>
      </c>
      <c r="J426" s="73" t="n">
        <v>45900</v>
      </c>
      <c r="K426" s="74" t="inlineStr">
        <is>
          <t>1</t>
        </is>
      </c>
      <c r="L426" s="74" t="inlineStr">
        <is>
          <t>NLR0034</t>
        </is>
      </c>
      <c r="M426" s="393" t="inlineStr">
        <is>
          <t>NLR0034</t>
        </is>
      </c>
    </row>
    <row r="427" ht="29.1" customHeight="1">
      <c r="A427" s="74" t="inlineStr">
        <is>
          <t>NLR0038</t>
        </is>
      </c>
      <c r="B427" s="74" t="inlineStr">
        <is>
          <t>Giềng củ</t>
        </is>
      </c>
      <c r="C427" s="74" t="inlineStr">
        <is>
          <t>NLR0038</t>
        </is>
      </c>
      <c r="D427" s="74" t="inlineStr">
        <is>
          <t>Phù sa</t>
        </is>
      </c>
      <c r="E427" s="74" t="inlineStr"/>
      <c r="F427" s="74" t="n"/>
      <c r="G427" s="74" t="inlineStr">
        <is>
          <t>kg</t>
        </is>
      </c>
      <c r="H427" s="76" t="n">
        <v>21000</v>
      </c>
      <c r="I427" s="73" t="n">
        <v>45870</v>
      </c>
      <c r="J427" s="73" t="n">
        <v>45900</v>
      </c>
      <c r="K427" s="74" t="inlineStr">
        <is>
          <t>1</t>
        </is>
      </c>
      <c r="L427" s="74" t="inlineStr">
        <is>
          <t>NLR0038</t>
        </is>
      </c>
      <c r="M427" s="393" t="inlineStr">
        <is>
          <t>NLR0038</t>
        </is>
      </c>
    </row>
    <row r="428" ht="29.1" customHeight="1">
      <c r="A428" s="74" t="inlineStr">
        <is>
          <t>NLR0040</t>
        </is>
      </c>
      <c r="B428" s="74" t="inlineStr">
        <is>
          <t>Cải xanh cắt gốc (kg)</t>
        </is>
      </c>
      <c r="C428" s="74" t="inlineStr">
        <is>
          <t>NLR0040</t>
        </is>
      </c>
      <c r="D428" s="74" t="inlineStr">
        <is>
          <t>Phù sa</t>
        </is>
      </c>
      <c r="E428" s="74" t="inlineStr"/>
      <c r="F428" s="74" t="n"/>
      <c r="G428" s="74" t="inlineStr">
        <is>
          <t>kg</t>
        </is>
      </c>
      <c r="H428" s="76" t="n">
        <v>21000</v>
      </c>
      <c r="I428" s="73" t="n">
        <v>45870</v>
      </c>
      <c r="J428" s="73" t="n">
        <v>45900</v>
      </c>
      <c r="K428" s="74" t="inlineStr">
        <is>
          <t>1</t>
        </is>
      </c>
      <c r="L428" s="74" t="inlineStr">
        <is>
          <t>NLR0040</t>
        </is>
      </c>
      <c r="M428" s="393" t="inlineStr">
        <is>
          <t>NLR0040</t>
        </is>
      </c>
    </row>
    <row r="429" ht="29.1" customHeight="1">
      <c r="A429" s="74" t="inlineStr">
        <is>
          <t>NLR0042</t>
        </is>
      </c>
      <c r="B429" s="74" t="inlineStr">
        <is>
          <t>Cần tây</t>
        </is>
      </c>
      <c r="C429" s="74" t="inlineStr">
        <is>
          <t>NLR0042</t>
        </is>
      </c>
      <c r="D429" s="74" t="inlineStr">
        <is>
          <t>Phù sa</t>
        </is>
      </c>
      <c r="E429" s="74" t="inlineStr"/>
      <c r="F429" s="74" t="n"/>
      <c r="G429" s="74" t="inlineStr">
        <is>
          <t>kg</t>
        </is>
      </c>
      <c r="H429" s="76" t="n">
        <v>28000</v>
      </c>
      <c r="I429" s="73" t="n">
        <v>45870</v>
      </c>
      <c r="J429" s="73" t="n">
        <v>45900</v>
      </c>
      <c r="K429" s="74" t="inlineStr">
        <is>
          <t>1</t>
        </is>
      </c>
      <c r="L429" s="74" t="inlineStr">
        <is>
          <t>NLR0042</t>
        </is>
      </c>
      <c r="M429" s="393" t="inlineStr">
        <is>
          <t>NLR0042</t>
        </is>
      </c>
    </row>
    <row r="430" ht="29.1" customHeight="1">
      <c r="A430" s="74" t="inlineStr">
        <is>
          <t>NLR0044</t>
        </is>
      </c>
      <c r="B430" s="74" t="inlineStr">
        <is>
          <t>Củ cải</t>
        </is>
      </c>
      <c r="C430" s="74" t="inlineStr">
        <is>
          <t>NLR0044</t>
        </is>
      </c>
      <c r="D430" s="74" t="inlineStr">
        <is>
          <t>Phù sa</t>
        </is>
      </c>
      <c r="E430" s="74" t="inlineStr"/>
      <c r="F430" s="74" t="n"/>
      <c r="G430" s="74" t="inlineStr">
        <is>
          <t>kg</t>
        </is>
      </c>
      <c r="H430" s="76" t="n">
        <v>9000</v>
      </c>
      <c r="I430" s="73" t="n">
        <v>45870</v>
      </c>
      <c r="J430" s="73" t="n">
        <v>45900</v>
      </c>
      <c r="K430" s="74" t="inlineStr">
        <is>
          <t>1</t>
        </is>
      </c>
      <c r="L430" s="74" t="inlineStr">
        <is>
          <t>NLR0044</t>
        </is>
      </c>
      <c r="M430" s="393" t="inlineStr">
        <is>
          <t>NLR0044</t>
        </is>
      </c>
    </row>
    <row r="431" ht="29.1" customHeight="1">
      <c r="A431" s="74" t="inlineStr">
        <is>
          <t>NLR0047</t>
        </is>
      </c>
      <c r="B431" s="74" t="inlineStr">
        <is>
          <t>Cùi dừa</t>
        </is>
      </c>
      <c r="C431" s="74" t="inlineStr">
        <is>
          <t>NLR0047</t>
        </is>
      </c>
      <c r="D431" s="74" t="inlineStr">
        <is>
          <t>Phù sa</t>
        </is>
      </c>
      <c r="E431" s="74" t="inlineStr"/>
      <c r="F431" s="74" t="n"/>
      <c r="G431" s="74" t="inlineStr">
        <is>
          <t>kg</t>
        </is>
      </c>
      <c r="H431" s="76" t="n">
        <v>70000</v>
      </c>
      <c r="I431" s="73" t="n">
        <v>45870</v>
      </c>
      <c r="J431" s="73" t="n">
        <v>45900</v>
      </c>
      <c r="K431" s="74" t="inlineStr">
        <is>
          <t>1</t>
        </is>
      </c>
      <c r="L431" s="74" t="inlineStr">
        <is>
          <t>NLR0047</t>
        </is>
      </c>
      <c r="M431" s="393" t="inlineStr">
        <is>
          <t>NLR0047</t>
        </is>
      </c>
    </row>
    <row r="432" ht="29.1" customHeight="1">
      <c r="A432" s="74" t="inlineStr">
        <is>
          <t>NLR0048</t>
        </is>
      </c>
      <c r="B432" s="74" t="inlineStr">
        <is>
          <t>Cùi dừa nạo sợi</t>
        </is>
      </c>
      <c r="C432" s="74" t="inlineStr">
        <is>
          <t>NLR0048</t>
        </is>
      </c>
      <c r="D432" s="74" t="inlineStr">
        <is>
          <t>Phù sa</t>
        </is>
      </c>
      <c r="E432" s="74" t="inlineStr"/>
      <c r="F432" s="74" t="n"/>
      <c r="G432" s="74" t="inlineStr">
        <is>
          <t>kg</t>
        </is>
      </c>
      <c r="H432" s="76" t="n">
        <v>70000</v>
      </c>
      <c r="I432" s="73" t="n">
        <v>45870</v>
      </c>
      <c r="J432" s="73" t="n">
        <v>45900</v>
      </c>
      <c r="K432" s="74" t="inlineStr">
        <is>
          <t>1</t>
        </is>
      </c>
      <c r="L432" s="74" t="inlineStr">
        <is>
          <t>NLR0048</t>
        </is>
      </c>
      <c r="M432" s="393" t="inlineStr">
        <is>
          <t>NLR0048</t>
        </is>
      </c>
    </row>
    <row r="433" ht="29.1" customHeight="1">
      <c r="A433" s="74" t="inlineStr">
        <is>
          <t>NLR0049</t>
        </is>
      </c>
      <c r="B433" s="74" t="inlineStr">
        <is>
          <t>Chanh quả</t>
        </is>
      </c>
      <c r="C433" s="74" t="inlineStr">
        <is>
          <t>NLR0049</t>
        </is>
      </c>
      <c r="D433" s="74" t="inlineStr">
        <is>
          <t>Phù sa</t>
        </is>
      </c>
      <c r="E433" s="74" t="n"/>
      <c r="F433" s="74" t="n"/>
      <c r="G433" s="74" t="inlineStr">
        <is>
          <t>kg</t>
        </is>
      </c>
      <c r="H433" s="76" t="n">
        <v>55000</v>
      </c>
      <c r="I433" s="73" t="n">
        <v>45870</v>
      </c>
      <c r="J433" s="73" t="n">
        <v>45900</v>
      </c>
      <c r="K433" s="74" t="inlineStr">
        <is>
          <t>1</t>
        </is>
      </c>
      <c r="L433" s="74" t="inlineStr">
        <is>
          <t>NLR0049</t>
        </is>
      </c>
      <c r="M433" s="393" t="inlineStr">
        <is>
          <t>NLR0049</t>
        </is>
      </c>
    </row>
    <row r="434" ht="29.1" customHeight="1">
      <c r="A434" s="74" t="inlineStr">
        <is>
          <t>NLR0088</t>
        </is>
      </c>
      <c r="B434" s="74" t="inlineStr">
        <is>
          <t>Hoa chuối thái sợi</t>
        </is>
      </c>
      <c r="C434" s="74" t="inlineStr">
        <is>
          <t>NLR0088</t>
        </is>
      </c>
      <c r="D434" s="74" t="inlineStr">
        <is>
          <t>Phù sa</t>
        </is>
      </c>
      <c r="E434" s="74" t="inlineStr"/>
      <c r="F434" s="74" t="n"/>
      <c r="G434" s="74" t="inlineStr">
        <is>
          <t>kg</t>
        </is>
      </c>
      <c r="H434" s="76" t="n">
        <v>41000</v>
      </c>
      <c r="I434" s="73" t="n">
        <v>45870</v>
      </c>
      <c r="J434" s="73" t="n">
        <v>45900</v>
      </c>
      <c r="K434" s="74" t="inlineStr">
        <is>
          <t>1</t>
        </is>
      </c>
      <c r="L434" s="74" t="inlineStr">
        <is>
          <t>NLR0088</t>
        </is>
      </c>
      <c r="M434" s="393" t="inlineStr">
        <is>
          <t>NLR0088</t>
        </is>
      </c>
    </row>
    <row r="435" ht="29.1" customHeight="1">
      <c r="A435" s="74" t="inlineStr">
        <is>
          <t>NLR0032</t>
        </is>
      </c>
      <c r="B435" s="74" t="inlineStr">
        <is>
          <t>Cải ngọt cắt gốc</t>
        </is>
      </c>
      <c r="C435" s="74" t="inlineStr">
        <is>
          <t>NLR0032</t>
        </is>
      </c>
      <c r="D435" s="74" t="inlineStr">
        <is>
          <t>Phù sa</t>
        </is>
      </c>
      <c r="E435" s="74" t="inlineStr"/>
      <c r="F435" s="74" t="n"/>
      <c r="G435" s="74" t="inlineStr">
        <is>
          <t>kg</t>
        </is>
      </c>
      <c r="H435" s="76" t="n">
        <v>11000</v>
      </c>
      <c r="I435" s="73" t="n">
        <v>45870</v>
      </c>
      <c r="J435" s="73" t="n">
        <v>45900</v>
      </c>
      <c r="K435" s="74" t="inlineStr">
        <is>
          <t>1</t>
        </is>
      </c>
      <c r="L435" s="74" t="inlineStr">
        <is>
          <t>NLR0032</t>
        </is>
      </c>
      <c r="M435" s="393" t="inlineStr">
        <is>
          <t>NLR0032</t>
        </is>
      </c>
    </row>
    <row r="436" ht="29.1" customHeight="1">
      <c r="A436" s="74" t="inlineStr">
        <is>
          <t>NLR0058</t>
        </is>
      </c>
      <c r="B436" s="74" t="inlineStr">
        <is>
          <t>Dứa chín sơ chế (kg)</t>
        </is>
      </c>
      <c r="C436" s="74" t="inlineStr">
        <is>
          <t>NLR0058</t>
        </is>
      </c>
      <c r="D436" s="74" t="inlineStr">
        <is>
          <t>Phù sa</t>
        </is>
      </c>
      <c r="E436" s="74" t="inlineStr"/>
      <c r="F436" s="74" t="n"/>
      <c r="G436" s="74" t="inlineStr">
        <is>
          <t>kg</t>
        </is>
      </c>
      <c r="H436" s="76" t="n">
        <v>39000</v>
      </c>
      <c r="I436" s="73" t="n">
        <v>45870</v>
      </c>
      <c r="J436" s="73" t="n">
        <v>45900</v>
      </c>
      <c r="K436" s="74" t="inlineStr">
        <is>
          <t>1</t>
        </is>
      </c>
      <c r="L436" s="74" t="inlineStr">
        <is>
          <t>NLR0058</t>
        </is>
      </c>
      <c r="M436" s="393" t="inlineStr">
        <is>
          <t>NLR0058</t>
        </is>
      </c>
    </row>
    <row r="437" ht="29.1" customHeight="1">
      <c r="A437" s="74" t="inlineStr">
        <is>
          <t>NLR0060</t>
        </is>
      </c>
      <c r="B437" s="74" t="inlineStr">
        <is>
          <t>Dưa chuột</t>
        </is>
      </c>
      <c r="C437" s="74" t="inlineStr">
        <is>
          <t>NLR0060</t>
        </is>
      </c>
      <c r="D437" s="74" t="inlineStr">
        <is>
          <t>Phù sa</t>
        </is>
      </c>
      <c r="E437" s="74" t="inlineStr"/>
      <c r="F437" s="74" t="n"/>
      <c r="G437" s="74" t="inlineStr">
        <is>
          <t>kg</t>
        </is>
      </c>
      <c r="H437" s="76" t="n">
        <v>17000</v>
      </c>
      <c r="I437" s="73" t="n">
        <v>45870</v>
      </c>
      <c r="J437" s="73" t="n">
        <v>45900</v>
      </c>
      <c r="K437" s="74" t="inlineStr">
        <is>
          <t>1</t>
        </is>
      </c>
      <c r="L437" s="74" t="inlineStr">
        <is>
          <t>NLR0060</t>
        </is>
      </c>
      <c r="M437" s="393" t="inlineStr">
        <is>
          <t>NLR0060</t>
        </is>
      </c>
    </row>
    <row r="438" ht="29.1" customHeight="1">
      <c r="A438" s="67" t="inlineStr">
        <is>
          <t>NLQ0011</t>
        </is>
      </c>
      <c r="B438" s="68" t="inlineStr">
        <is>
          <t>Qủa Chuối tiêu chín</t>
        </is>
      </c>
      <c r="C438" s="69" t="n"/>
      <c r="D438" s="67" t="inlineStr">
        <is>
          <t>Thái dương</t>
        </is>
      </c>
      <c r="E438" s="67" t="n"/>
      <c r="F438" s="67" t="n"/>
      <c r="G438" s="67" t="inlineStr">
        <is>
          <t>quả</t>
        </is>
      </c>
      <c r="H438" s="67" t="n">
        <v>1500</v>
      </c>
      <c r="I438" s="66" t="n"/>
      <c r="J438" s="66" t="n"/>
      <c r="K438" s="66" t="n"/>
      <c r="L438" s="66" t="n"/>
      <c r="M438" s="64" t="inlineStr">
        <is>
          <t>NLQ0011</t>
        </is>
      </c>
    </row>
    <row r="439" ht="29.1" customHeight="1">
      <c r="A439" s="74" t="inlineStr">
        <is>
          <t>NLR0068</t>
        </is>
      </c>
      <c r="B439" s="74" t="inlineStr">
        <is>
          <t>Đậu cô ve</t>
        </is>
      </c>
      <c r="C439" s="74" t="inlineStr">
        <is>
          <t>NLR0068</t>
        </is>
      </c>
      <c r="D439" s="74" t="inlineStr">
        <is>
          <t>Phù sa</t>
        </is>
      </c>
      <c r="E439" s="74" t="inlineStr"/>
      <c r="F439" s="74" t="n"/>
      <c r="G439" s="74" t="inlineStr">
        <is>
          <t>kg</t>
        </is>
      </c>
      <c r="H439" s="76" t="n">
        <v>22000</v>
      </c>
      <c r="I439" s="73" t="n">
        <v>45870</v>
      </c>
      <c r="J439" s="73" t="n">
        <v>45900</v>
      </c>
      <c r="K439" s="74" t="inlineStr">
        <is>
          <t>1</t>
        </is>
      </c>
      <c r="L439" s="74" t="inlineStr">
        <is>
          <t>NLR0068</t>
        </is>
      </c>
      <c r="M439" s="393" t="inlineStr">
        <is>
          <t>NLR0068</t>
        </is>
      </c>
    </row>
    <row r="440" ht="29.1" customHeight="1">
      <c r="A440" s="74" t="inlineStr">
        <is>
          <t>NLR0071</t>
        </is>
      </c>
      <c r="B440" s="74" t="inlineStr">
        <is>
          <t>Đu đủ</t>
        </is>
      </c>
      <c r="C440" s="74" t="inlineStr">
        <is>
          <t>NLR0071</t>
        </is>
      </c>
      <c r="D440" s="74" t="inlineStr">
        <is>
          <t>Phù sa</t>
        </is>
      </c>
      <c r="E440" s="74" t="inlineStr"/>
      <c r="F440" s="74" t="n"/>
      <c r="G440" s="74" t="inlineStr">
        <is>
          <t>kg</t>
        </is>
      </c>
      <c r="H440" s="76" t="n">
        <v>12000</v>
      </c>
      <c r="I440" s="73" t="n">
        <v>45870</v>
      </c>
      <c r="J440" s="73" t="n">
        <v>45900</v>
      </c>
      <c r="K440" s="74" t="inlineStr">
        <is>
          <t>1</t>
        </is>
      </c>
      <c r="L440" s="74" t="inlineStr">
        <is>
          <t>NLR0071</t>
        </is>
      </c>
      <c r="M440" s="393" t="inlineStr">
        <is>
          <t>NLR0071</t>
        </is>
      </c>
    </row>
    <row r="441" ht="29.1" customHeight="1">
      <c r="A441" s="74" t="inlineStr">
        <is>
          <t>NLR0073</t>
        </is>
      </c>
      <c r="B441" s="74" t="inlineStr">
        <is>
          <t>Gừng củ</t>
        </is>
      </c>
      <c r="C441" s="74" t="inlineStr">
        <is>
          <t>NLR0073</t>
        </is>
      </c>
      <c r="D441" s="74" t="inlineStr">
        <is>
          <t>Phù sa</t>
        </is>
      </c>
      <c r="E441" s="74" t="inlineStr"/>
      <c r="F441" s="74" t="n"/>
      <c r="G441" s="74" t="inlineStr">
        <is>
          <t>kg</t>
        </is>
      </c>
      <c r="H441" s="76" t="n">
        <v>24000</v>
      </c>
      <c r="I441" s="73" t="n">
        <v>45870</v>
      </c>
      <c r="J441" s="73" t="n">
        <v>45900</v>
      </c>
      <c r="K441" s="74" t="inlineStr">
        <is>
          <t>1</t>
        </is>
      </c>
      <c r="L441" s="74" t="inlineStr">
        <is>
          <t>NLR0073</t>
        </is>
      </c>
      <c r="M441" s="393" t="inlineStr">
        <is>
          <t>NLR0073</t>
        </is>
      </c>
    </row>
    <row r="442" ht="29.1" customHeight="1">
      <c r="A442" s="74" t="inlineStr">
        <is>
          <t>NLR0076</t>
        </is>
      </c>
      <c r="B442" s="74" t="inlineStr">
        <is>
          <t>Giá đỗ</t>
        </is>
      </c>
      <c r="C442" s="74" t="inlineStr">
        <is>
          <t>NLR0076</t>
        </is>
      </c>
      <c r="D442" s="74" t="inlineStr">
        <is>
          <t>Phù sa</t>
        </is>
      </c>
      <c r="E442" s="74" t="inlineStr"/>
      <c r="F442" s="74" t="n"/>
      <c r="G442" s="74" t="inlineStr">
        <is>
          <t>kg</t>
        </is>
      </c>
      <c r="H442" s="76" t="n">
        <v>10000</v>
      </c>
      <c r="I442" s="73" t="n">
        <v>45870</v>
      </c>
      <c r="J442" s="73" t="n">
        <v>45900</v>
      </c>
      <c r="K442" s="74" t="inlineStr">
        <is>
          <t>1</t>
        </is>
      </c>
      <c r="L442" s="74" t="inlineStr">
        <is>
          <t>NLR0076</t>
        </is>
      </c>
      <c r="M442" s="393" t="inlineStr">
        <is>
          <t>NLR0076</t>
        </is>
      </c>
    </row>
    <row r="443" ht="29.1" customHeight="1">
      <c r="A443" s="74" t="inlineStr">
        <is>
          <t>NLR0077</t>
        </is>
      </c>
      <c r="B443" s="74" t="inlineStr">
        <is>
          <t>Giềng xay</t>
        </is>
      </c>
      <c r="C443" s="74" t="inlineStr">
        <is>
          <t>NLR0077</t>
        </is>
      </c>
      <c r="D443" s="74" t="inlineStr">
        <is>
          <t>Phù sa</t>
        </is>
      </c>
      <c r="E443" s="74" t="inlineStr"/>
      <c r="F443" s="74" t="n"/>
      <c r="G443" s="74" t="inlineStr">
        <is>
          <t>kg</t>
        </is>
      </c>
      <c r="H443" s="76" t="n">
        <v>16000</v>
      </c>
      <c r="I443" s="73" t="n">
        <v>45870</v>
      </c>
      <c r="J443" s="73" t="n">
        <v>45900</v>
      </c>
      <c r="K443" s="74" t="inlineStr">
        <is>
          <t>1</t>
        </is>
      </c>
      <c r="L443" s="74" t="inlineStr">
        <is>
          <t>NLR0077</t>
        </is>
      </c>
      <c r="M443" s="393" t="inlineStr">
        <is>
          <t>NLR0077</t>
        </is>
      </c>
    </row>
    <row r="444" ht="29.1" customHeight="1">
      <c r="A444" s="74" t="inlineStr">
        <is>
          <t>NLR0079</t>
        </is>
      </c>
      <c r="B444" s="74" t="inlineStr">
        <is>
          <t>Hành lá</t>
        </is>
      </c>
      <c r="C444" s="74" t="inlineStr">
        <is>
          <t>NLR0079</t>
        </is>
      </c>
      <c r="D444" s="74" t="inlineStr">
        <is>
          <t>Phù sa</t>
        </is>
      </c>
      <c r="E444" s="74" t="inlineStr"/>
      <c r="F444" s="74" t="n"/>
      <c r="G444" s="74" t="inlineStr">
        <is>
          <t>kg</t>
        </is>
      </c>
      <c r="H444" s="76" t="n">
        <v>25000</v>
      </c>
      <c r="I444" s="73" t="n">
        <v>45870</v>
      </c>
      <c r="J444" s="73" t="n">
        <v>45900</v>
      </c>
      <c r="K444" s="74" t="inlineStr">
        <is>
          <t>1</t>
        </is>
      </c>
      <c r="L444" s="74" t="inlineStr">
        <is>
          <t>NLR0079</t>
        </is>
      </c>
      <c r="M444" s="393" t="inlineStr">
        <is>
          <t>NLR0079</t>
        </is>
      </c>
    </row>
    <row r="445" ht="29.1" customHeight="1">
      <c r="A445" s="74" t="inlineStr">
        <is>
          <t>NLR0083</t>
        </is>
      </c>
      <c r="B445" s="74" t="inlineStr">
        <is>
          <t>Hành tây</t>
        </is>
      </c>
      <c r="C445" s="74" t="inlineStr">
        <is>
          <t>NLR0083</t>
        </is>
      </c>
      <c r="D445" s="74" t="inlineStr">
        <is>
          <t>Phù sa</t>
        </is>
      </c>
      <c r="E445" s="74" t="inlineStr"/>
      <c r="F445" s="74" t="n"/>
      <c r="G445" s="74" t="inlineStr">
        <is>
          <t>kg</t>
        </is>
      </c>
      <c r="H445" s="76" t="n">
        <v>9500</v>
      </c>
      <c r="I445" s="73" t="n">
        <v>45870</v>
      </c>
      <c r="J445" s="73" t="n">
        <v>45900</v>
      </c>
      <c r="K445" s="74" t="inlineStr">
        <is>
          <t>1</t>
        </is>
      </c>
      <c r="L445" s="74" t="inlineStr">
        <is>
          <t>NLR0083</t>
        </is>
      </c>
      <c r="M445" s="393" t="inlineStr">
        <is>
          <t>NLR0083</t>
        </is>
      </c>
    </row>
    <row r="446" ht="29.1" customHeight="1">
      <c r="A446" s="74" t="inlineStr">
        <is>
          <t>NLQ0011</t>
        </is>
      </c>
      <c r="B446" s="74" t="inlineStr">
        <is>
          <t>Qủa Chuối tiêu chín</t>
        </is>
      </c>
      <c r="C446" s="74" t="inlineStr">
        <is>
          <t>NLQ0011</t>
        </is>
      </c>
      <c r="D446" s="74" t="inlineStr">
        <is>
          <t>Phù sa</t>
        </is>
      </c>
      <c r="E446" s="74" t="inlineStr"/>
      <c r="F446" s="74" t="n"/>
      <c r="G446" s="74" t="inlineStr">
        <is>
          <t>quả</t>
        </is>
      </c>
      <c r="H446" s="76" t="n">
        <v>1600</v>
      </c>
      <c r="I446" s="73" t="n">
        <v>45870</v>
      </c>
      <c r="J446" s="73" t="n">
        <v>45900</v>
      </c>
      <c r="K446" s="74" t="inlineStr">
        <is>
          <t>1</t>
        </is>
      </c>
      <c r="L446" s="74" t="inlineStr">
        <is>
          <t>NLQ0011</t>
        </is>
      </c>
      <c r="M446" s="393" t="inlineStr">
        <is>
          <t>NLQ0011</t>
        </is>
      </c>
    </row>
    <row r="447" ht="29.1" customHeight="1">
      <c r="A447" s="74" t="inlineStr">
        <is>
          <t>NLR0092</t>
        </is>
      </c>
      <c r="B447" s="74" t="inlineStr">
        <is>
          <t>Kinh giới</t>
        </is>
      </c>
      <c r="C447" s="74" t="inlineStr">
        <is>
          <t>NLR0092</t>
        </is>
      </c>
      <c r="D447" s="74" t="inlineStr">
        <is>
          <t>Phù sa</t>
        </is>
      </c>
      <c r="E447" s="74" t="inlineStr"/>
      <c r="F447" s="74" t="n"/>
      <c r="G447" s="74" t="inlineStr">
        <is>
          <t>kg</t>
        </is>
      </c>
      <c r="H447" s="76" t="n">
        <v>19000</v>
      </c>
      <c r="I447" s="73" t="n">
        <v>45870</v>
      </c>
      <c r="J447" s="73" t="n">
        <v>45900</v>
      </c>
      <c r="K447" s="74" t="inlineStr">
        <is>
          <t>1</t>
        </is>
      </c>
      <c r="L447" s="74" t="inlineStr">
        <is>
          <t>NLR0092</t>
        </is>
      </c>
      <c r="M447" s="393" t="inlineStr">
        <is>
          <t>NLR0092</t>
        </is>
      </c>
    </row>
    <row r="448" ht="29.1" customHeight="1">
      <c r="A448" s="74" t="inlineStr">
        <is>
          <t>NLR0097</t>
        </is>
      </c>
      <c r="B448" s="74" t="inlineStr">
        <is>
          <t>Khoai môn</t>
        </is>
      </c>
      <c r="C448" s="74" t="inlineStr">
        <is>
          <t>NLR0097</t>
        </is>
      </c>
      <c r="D448" s="74" t="inlineStr">
        <is>
          <t>Phù sa</t>
        </is>
      </c>
      <c r="E448" s="74" t="inlineStr"/>
      <c r="F448" s="74" t="n"/>
      <c r="G448" s="74" t="inlineStr">
        <is>
          <t>kg</t>
        </is>
      </c>
      <c r="H448" s="76" t="n">
        <v>19000</v>
      </c>
      <c r="I448" s="73" t="n">
        <v>45870</v>
      </c>
      <c r="J448" s="73" t="n">
        <v>45900</v>
      </c>
      <c r="K448" s="74" t="inlineStr">
        <is>
          <t>1</t>
        </is>
      </c>
      <c r="L448" s="74" t="inlineStr">
        <is>
          <t>NLR0097</t>
        </is>
      </c>
      <c r="M448" s="393" t="inlineStr">
        <is>
          <t>NLR0097</t>
        </is>
      </c>
    </row>
    <row r="449" ht="29.1" customHeight="1">
      <c r="A449" s="74" t="inlineStr">
        <is>
          <t>NLR0100</t>
        </is>
      </c>
      <c r="B449" s="74" t="inlineStr">
        <is>
          <t>Khoai tây</t>
        </is>
      </c>
      <c r="C449" s="74" t="inlineStr">
        <is>
          <t>NLR0100</t>
        </is>
      </c>
      <c r="D449" s="74" t="inlineStr">
        <is>
          <t>Phù sa</t>
        </is>
      </c>
      <c r="E449" s="74" t="inlineStr"/>
      <c r="F449" s="74" t="n"/>
      <c r="G449" s="74" t="inlineStr">
        <is>
          <t>kg</t>
        </is>
      </c>
      <c r="H449" s="76" t="n">
        <v>13000</v>
      </c>
      <c r="I449" s="73" t="n">
        <v>45870</v>
      </c>
      <c r="J449" s="73" t="n">
        <v>45900</v>
      </c>
      <c r="K449" s="74" t="inlineStr">
        <is>
          <t>1</t>
        </is>
      </c>
      <c r="L449" s="74" t="inlineStr">
        <is>
          <t>NLR0100</t>
        </is>
      </c>
      <c r="M449" s="393" t="inlineStr">
        <is>
          <t>NLR0100</t>
        </is>
      </c>
    </row>
    <row r="450" ht="29.1" customHeight="1">
      <c r="A450" s="74" t="inlineStr">
        <is>
          <t>NLR0102</t>
        </is>
      </c>
      <c r="B450" s="74" t="inlineStr">
        <is>
          <t>Lá chanh (kg)</t>
        </is>
      </c>
      <c r="C450" s="74" t="inlineStr">
        <is>
          <t>NLR0102</t>
        </is>
      </c>
      <c r="D450" s="74" t="inlineStr">
        <is>
          <t>Phù sa</t>
        </is>
      </c>
      <c r="E450" s="74" t="inlineStr"/>
      <c r="F450" s="74" t="n"/>
      <c r="G450" s="74" t="inlineStr">
        <is>
          <t>kg</t>
        </is>
      </c>
      <c r="H450" s="76" t="n">
        <v>100000</v>
      </c>
      <c r="I450" s="73" t="n">
        <v>45870</v>
      </c>
      <c r="J450" s="73" t="n">
        <v>45900</v>
      </c>
      <c r="K450" s="74" t="inlineStr">
        <is>
          <t>1</t>
        </is>
      </c>
      <c r="L450" s="74" t="inlineStr">
        <is>
          <t>NLR0102</t>
        </is>
      </c>
      <c r="M450" s="393" t="inlineStr">
        <is>
          <t>NLR0102</t>
        </is>
      </c>
    </row>
    <row r="451" ht="29.1" customHeight="1">
      <c r="A451" s="74" t="inlineStr">
        <is>
          <t>NLR0104</t>
        </is>
      </c>
      <c r="B451" s="74" t="inlineStr">
        <is>
          <t>Lá lốt không cành kg</t>
        </is>
      </c>
      <c r="C451" s="74" t="inlineStr">
        <is>
          <t>NLR0104</t>
        </is>
      </c>
      <c r="D451" s="74" t="inlineStr">
        <is>
          <t>Phù sa</t>
        </is>
      </c>
      <c r="E451" s="74" t="inlineStr"/>
      <c r="F451" s="74" t="n"/>
      <c r="G451" s="74" t="inlineStr">
        <is>
          <t>kg</t>
        </is>
      </c>
      <c r="H451" s="76" t="n">
        <v>60000</v>
      </c>
      <c r="I451" s="73" t="n">
        <v>45870</v>
      </c>
      <c r="J451" s="73" t="n">
        <v>45900</v>
      </c>
      <c r="K451" s="74" t="inlineStr">
        <is>
          <t>1</t>
        </is>
      </c>
      <c r="L451" s="74" t="inlineStr">
        <is>
          <t>NLR0104</t>
        </is>
      </c>
      <c r="M451" s="393" t="inlineStr">
        <is>
          <t>NLR0104</t>
        </is>
      </c>
    </row>
    <row r="452" ht="29.1" customHeight="1">
      <c r="A452" s="74" t="inlineStr">
        <is>
          <t>NLR0105</t>
        </is>
      </c>
      <c r="B452" s="74" t="inlineStr">
        <is>
          <t>Lá mắc mật (kg)</t>
        </is>
      </c>
      <c r="C452" s="74" t="inlineStr">
        <is>
          <t>NLR0105</t>
        </is>
      </c>
      <c r="D452" s="74" t="inlineStr">
        <is>
          <t>Phù sa</t>
        </is>
      </c>
      <c r="E452" s="74" t="inlineStr"/>
      <c r="F452" s="74" t="n"/>
      <c r="G452" s="74" t="inlineStr">
        <is>
          <t>kg</t>
        </is>
      </c>
      <c r="H452" s="76" t="n">
        <v>27000</v>
      </c>
      <c r="I452" s="73" t="n">
        <v>45870</v>
      </c>
      <c r="J452" s="73" t="n">
        <v>45900</v>
      </c>
      <c r="K452" s="74" t="inlineStr">
        <is>
          <t>1</t>
        </is>
      </c>
      <c r="L452" s="74" t="inlineStr">
        <is>
          <t>NLR0105</t>
        </is>
      </c>
      <c r="M452" s="393" t="inlineStr">
        <is>
          <t>NLR0105</t>
        </is>
      </c>
    </row>
    <row r="453" ht="29.1" customHeight="1">
      <c r="A453" s="74" t="inlineStr">
        <is>
          <t>NLR0109</t>
        </is>
      </c>
      <c r="B453" s="74" t="inlineStr">
        <is>
          <t>Măng củ</t>
        </is>
      </c>
      <c r="C453" s="74" t="inlineStr">
        <is>
          <t>NLR0109</t>
        </is>
      </c>
      <c r="D453" s="74" t="inlineStr">
        <is>
          <t>Phù sa</t>
        </is>
      </c>
      <c r="E453" s="74" t="inlineStr"/>
      <c r="F453" s="74" t="n"/>
      <c r="G453" s="74" t="inlineStr">
        <is>
          <t>kg</t>
        </is>
      </c>
      <c r="H453" s="76" t="n">
        <v>31000</v>
      </c>
      <c r="I453" s="73" t="n">
        <v>45870</v>
      </c>
      <c r="J453" s="73" t="n">
        <v>45900</v>
      </c>
      <c r="K453" s="74" t="inlineStr">
        <is>
          <t>1</t>
        </is>
      </c>
      <c r="L453" s="74" t="inlineStr">
        <is>
          <t>NLR0109</t>
        </is>
      </c>
      <c r="M453" s="393" t="inlineStr">
        <is>
          <t>NLR0109</t>
        </is>
      </c>
    </row>
    <row r="454" ht="29.1" customHeight="1">
      <c r="A454" s="74" t="inlineStr">
        <is>
          <t>NLR0111</t>
        </is>
      </c>
      <c r="B454" s="74" t="inlineStr">
        <is>
          <t>Măng lá</t>
        </is>
      </c>
      <c r="C454" s="74" t="inlineStr">
        <is>
          <t>NLR0111</t>
        </is>
      </c>
      <c r="D454" s="74" t="inlineStr">
        <is>
          <t>Phù sa</t>
        </is>
      </c>
      <c r="E454" s="74" t="inlineStr"/>
      <c r="F454" s="74" t="n"/>
      <c r="G454" s="74" t="inlineStr">
        <is>
          <t>kg</t>
        </is>
      </c>
      <c r="H454" s="76" t="n">
        <v>31000</v>
      </c>
      <c r="I454" s="73" t="n">
        <v>45870</v>
      </c>
      <c r="J454" s="73" t="n">
        <v>45900</v>
      </c>
      <c r="K454" s="74" t="inlineStr">
        <is>
          <t>1</t>
        </is>
      </c>
      <c r="L454" s="74" t="inlineStr">
        <is>
          <t>NLR0111</t>
        </is>
      </c>
      <c r="M454" s="393" t="inlineStr">
        <is>
          <t>NLR0111</t>
        </is>
      </c>
    </row>
    <row r="455" ht="29.1" customHeight="1">
      <c r="A455" s="74" t="inlineStr">
        <is>
          <t>NLR0116</t>
        </is>
      </c>
      <c r="B455" s="74" t="inlineStr">
        <is>
          <t>Mướp hương</t>
        </is>
      </c>
      <c r="C455" s="74" t="inlineStr">
        <is>
          <t>NLR0116</t>
        </is>
      </c>
      <c r="D455" s="74" t="inlineStr">
        <is>
          <t>Phù sa</t>
        </is>
      </c>
      <c r="E455" s="74" t="inlineStr"/>
      <c r="F455" s="74" t="n"/>
      <c r="G455" s="74" t="inlineStr">
        <is>
          <t>kg</t>
        </is>
      </c>
      <c r="H455" s="76" t="n">
        <v>20000</v>
      </c>
      <c r="I455" s="73" t="n">
        <v>45870</v>
      </c>
      <c r="J455" s="73" t="n">
        <v>45900</v>
      </c>
      <c r="K455" s="74" t="inlineStr">
        <is>
          <t>1</t>
        </is>
      </c>
      <c r="L455" s="74" t="inlineStr">
        <is>
          <t>NLR0116</t>
        </is>
      </c>
      <c r="M455" s="393" t="inlineStr">
        <is>
          <t>NLR0116</t>
        </is>
      </c>
    </row>
    <row r="456" ht="29.1" customHeight="1">
      <c r="A456" s="74" t="inlineStr">
        <is>
          <t>NLR0117</t>
        </is>
      </c>
      <c r="B456" s="74" t="inlineStr">
        <is>
          <t>Mướp đắng</t>
        </is>
      </c>
      <c r="C456" s="74" t="inlineStr">
        <is>
          <t>NLR0117</t>
        </is>
      </c>
      <c r="D456" s="74" t="inlineStr">
        <is>
          <t>Phù sa</t>
        </is>
      </c>
      <c r="E456" s="74" t="inlineStr"/>
      <c r="F456" s="74" t="n"/>
      <c r="G456" s="74" t="inlineStr">
        <is>
          <t>kg</t>
        </is>
      </c>
      <c r="H456" s="76" t="n">
        <v>24000</v>
      </c>
      <c r="I456" s="73" t="n">
        <v>45870</v>
      </c>
      <c r="J456" s="73" t="n">
        <v>45900</v>
      </c>
      <c r="K456" s="74" t="inlineStr">
        <is>
          <t>1</t>
        </is>
      </c>
      <c r="L456" s="74" t="inlineStr">
        <is>
          <t>NLR0117</t>
        </is>
      </c>
      <c r="M456" s="393" t="inlineStr">
        <is>
          <t>NLR0117</t>
        </is>
      </c>
    </row>
    <row r="457" ht="29.1" customHeight="1">
      <c r="A457" s="74" t="inlineStr">
        <is>
          <t>NLR0136</t>
        </is>
      </c>
      <c r="B457" s="74" t="inlineStr">
        <is>
          <t>Ngô ngọt (bắp)</t>
        </is>
      </c>
      <c r="C457" s="74" t="inlineStr">
        <is>
          <t>NLR0136</t>
        </is>
      </c>
      <c r="D457" s="74" t="inlineStr">
        <is>
          <t>Phù sa</t>
        </is>
      </c>
      <c r="E457" s="74" t="inlineStr"/>
      <c r="F457" s="74" t="n"/>
      <c r="G457" s="74" t="inlineStr">
        <is>
          <t>kg</t>
        </is>
      </c>
      <c r="H457" s="76" t="n">
        <v>10500</v>
      </c>
      <c r="I457" s="73" t="n">
        <v>45870</v>
      </c>
      <c r="J457" s="73" t="n">
        <v>45900</v>
      </c>
      <c r="K457" s="74" t="inlineStr">
        <is>
          <t>1</t>
        </is>
      </c>
      <c r="L457" s="74" t="inlineStr">
        <is>
          <t>NLR0136</t>
        </is>
      </c>
      <c r="M457" s="393" t="inlineStr">
        <is>
          <t>NLR0136</t>
        </is>
      </c>
    </row>
    <row r="458" ht="29.1" customHeight="1">
      <c r="A458" s="74" t="inlineStr">
        <is>
          <t>NLR0119</t>
        </is>
      </c>
      <c r="B458" s="74" t="inlineStr">
        <is>
          <t>Nấm hương tươi</t>
        </is>
      </c>
      <c r="C458" s="74" t="inlineStr">
        <is>
          <t>NLR0119</t>
        </is>
      </c>
      <c r="D458" s="74" t="inlineStr">
        <is>
          <t>Phù sa</t>
        </is>
      </c>
      <c r="E458" s="74" t="inlineStr"/>
      <c r="F458" s="74" t="n"/>
      <c r="G458" s="74" t="inlineStr">
        <is>
          <t>kg</t>
        </is>
      </c>
      <c r="H458" s="76" t="n">
        <v>135000</v>
      </c>
      <c r="I458" s="73" t="n">
        <v>45870</v>
      </c>
      <c r="J458" s="73" t="n">
        <v>45900</v>
      </c>
      <c r="K458" s="74" t="inlineStr">
        <is>
          <t>1</t>
        </is>
      </c>
      <c r="L458" s="74" t="inlineStr">
        <is>
          <t>NLR0119</t>
        </is>
      </c>
      <c r="M458" s="393" t="inlineStr">
        <is>
          <t>NLR0119</t>
        </is>
      </c>
    </row>
    <row r="459" ht="29.1" customHeight="1">
      <c r="A459" s="74" t="inlineStr">
        <is>
          <t>NLR0126</t>
        </is>
      </c>
      <c r="B459" s="74" t="inlineStr">
        <is>
          <t>Ngải cứu (kg)</t>
        </is>
      </c>
      <c r="C459" s="74" t="inlineStr">
        <is>
          <t>NLR0126</t>
        </is>
      </c>
      <c r="D459" s="74" t="inlineStr">
        <is>
          <t>Phù sa</t>
        </is>
      </c>
      <c r="E459" s="74" t="inlineStr"/>
      <c r="F459" s="74" t="n"/>
      <c r="G459" s="74" t="inlineStr">
        <is>
          <t>kg</t>
        </is>
      </c>
      <c r="H459" s="76" t="n">
        <v>28000</v>
      </c>
      <c r="I459" s="73" t="n">
        <v>45870</v>
      </c>
      <c r="J459" s="73" t="n">
        <v>45900</v>
      </c>
      <c r="K459" s="74" t="inlineStr">
        <is>
          <t>1</t>
        </is>
      </c>
      <c r="L459" s="74" t="inlineStr">
        <is>
          <t>NLR0126</t>
        </is>
      </c>
      <c r="M459" s="393" t="inlineStr">
        <is>
          <t>NLR0126</t>
        </is>
      </c>
    </row>
    <row r="460" ht="29.1" customHeight="1">
      <c r="A460" s="74" t="inlineStr">
        <is>
          <t>NLR0127</t>
        </is>
      </c>
      <c r="B460" s="74" t="inlineStr">
        <is>
          <t>Nghệ củ</t>
        </is>
      </c>
      <c r="C460" s="74" t="inlineStr">
        <is>
          <t>NLR0127</t>
        </is>
      </c>
      <c r="D460" s="74" t="inlineStr">
        <is>
          <t>Phù sa</t>
        </is>
      </c>
      <c r="E460" s="74" t="inlineStr"/>
      <c r="F460" s="74" t="n"/>
      <c r="G460" s="74" t="inlineStr">
        <is>
          <t>kg</t>
        </is>
      </c>
      <c r="H460" s="76" t="n">
        <v>32000</v>
      </c>
      <c r="I460" s="73" t="n">
        <v>45870</v>
      </c>
      <c r="J460" s="73" t="n">
        <v>45900</v>
      </c>
      <c r="K460" s="74" t="inlineStr">
        <is>
          <t>1</t>
        </is>
      </c>
      <c r="L460" s="74" t="inlineStr">
        <is>
          <t>NLR0127</t>
        </is>
      </c>
      <c r="M460" s="393" t="inlineStr">
        <is>
          <t>NLR0127</t>
        </is>
      </c>
    </row>
    <row r="461" ht="29.1" customHeight="1">
      <c r="A461" s="74" t="inlineStr">
        <is>
          <t>NLR0130</t>
        </is>
      </c>
      <c r="B461" s="74" t="inlineStr">
        <is>
          <t>Ngô bao tử</t>
        </is>
      </c>
      <c r="C461" s="74" t="inlineStr">
        <is>
          <t>NLR0130</t>
        </is>
      </c>
      <c r="D461" s="74" t="inlineStr">
        <is>
          <t>Phù sa</t>
        </is>
      </c>
      <c r="E461" s="74" t="inlineStr"/>
      <c r="F461" s="74" t="n"/>
      <c r="G461" s="74" t="inlineStr">
        <is>
          <t>kg</t>
        </is>
      </c>
      <c r="H461" s="76" t="n">
        <v>78000</v>
      </c>
      <c r="I461" s="73" t="n">
        <v>45870</v>
      </c>
      <c r="J461" s="73" t="n">
        <v>45900</v>
      </c>
      <c r="K461" s="74" t="inlineStr">
        <is>
          <t>1</t>
        </is>
      </c>
      <c r="L461" s="74" t="inlineStr">
        <is>
          <t>NLR0130</t>
        </is>
      </c>
      <c r="M461" s="393" t="inlineStr">
        <is>
          <t>NLR0130</t>
        </is>
      </c>
    </row>
    <row r="462" ht="29.1" customHeight="1">
      <c r="A462" s="74" t="inlineStr">
        <is>
          <t>NLR0137</t>
        </is>
      </c>
      <c r="B462" s="74" t="inlineStr">
        <is>
          <t>Ớt cay</t>
        </is>
      </c>
      <c r="C462" s="74" t="inlineStr">
        <is>
          <t>NLR0137</t>
        </is>
      </c>
      <c r="D462" s="74" t="inlineStr">
        <is>
          <t>Phù sa</t>
        </is>
      </c>
      <c r="E462" s="74" t="inlineStr"/>
      <c r="F462" s="74" t="n"/>
      <c r="G462" s="74" t="inlineStr">
        <is>
          <t>kg</t>
        </is>
      </c>
      <c r="H462" s="76" t="n">
        <v>35000</v>
      </c>
      <c r="I462" s="73" t="n">
        <v>45870</v>
      </c>
      <c r="J462" s="73" t="n">
        <v>45900</v>
      </c>
      <c r="K462" s="74" t="inlineStr">
        <is>
          <t>1</t>
        </is>
      </c>
      <c r="L462" s="74" t="inlineStr">
        <is>
          <t>NLR0137</t>
        </is>
      </c>
      <c r="M462" s="393" t="inlineStr">
        <is>
          <t>NLR0137</t>
        </is>
      </c>
    </row>
    <row r="463" ht="29.1" customHeight="1">
      <c r="A463" s="74" t="inlineStr">
        <is>
          <t>NLR0138</t>
        </is>
      </c>
      <c r="B463" s="74" t="inlineStr">
        <is>
          <t>ớt chuông</t>
        </is>
      </c>
      <c r="C463" s="74" t="inlineStr">
        <is>
          <t>NLR0138</t>
        </is>
      </c>
      <c r="D463" s="74" t="inlineStr">
        <is>
          <t>Phù sa</t>
        </is>
      </c>
      <c r="E463" s="74" t="inlineStr"/>
      <c r="F463" s="74" t="n"/>
      <c r="G463" s="74" t="inlineStr">
        <is>
          <t>kg</t>
        </is>
      </c>
      <c r="H463" s="76" t="n">
        <v>40000</v>
      </c>
      <c r="I463" s="73" t="n">
        <v>45870</v>
      </c>
      <c r="J463" s="73" t="n">
        <v>45900</v>
      </c>
      <c r="K463" s="74" t="inlineStr">
        <is>
          <t>1</t>
        </is>
      </c>
      <c r="L463" s="74" t="inlineStr">
        <is>
          <t>NLR0138</t>
        </is>
      </c>
      <c r="M463" s="393" t="inlineStr">
        <is>
          <t>NLR0138</t>
        </is>
      </c>
    </row>
    <row r="464" ht="29.1" customHeight="1">
      <c r="A464" s="74" t="inlineStr">
        <is>
          <t>NLR0139</t>
        </is>
      </c>
      <c r="B464" s="74" t="inlineStr">
        <is>
          <t>ớt sừng xanh</t>
        </is>
      </c>
      <c r="C464" s="74" t="inlineStr">
        <is>
          <t>NLR0139</t>
        </is>
      </c>
      <c r="D464" s="74" t="inlineStr">
        <is>
          <t>Phù sa</t>
        </is>
      </c>
      <c r="E464" s="74" t="inlineStr"/>
      <c r="F464" s="74" t="n"/>
      <c r="G464" s="74" t="inlineStr">
        <is>
          <t>kg</t>
        </is>
      </c>
      <c r="H464" s="76" t="n">
        <v>40000</v>
      </c>
      <c r="I464" s="73" t="n">
        <v>45870</v>
      </c>
      <c r="J464" s="73" t="n">
        <v>45900</v>
      </c>
      <c r="K464" s="74" t="inlineStr">
        <is>
          <t>1</t>
        </is>
      </c>
      <c r="L464" s="74" t="inlineStr">
        <is>
          <t>NLR0139</t>
        </is>
      </c>
      <c r="M464" s="393" t="inlineStr">
        <is>
          <t>NLR0139</t>
        </is>
      </c>
    </row>
    <row r="465" ht="29.1" customHeight="1">
      <c r="A465" s="74" t="inlineStr">
        <is>
          <t>NLR0152</t>
        </is>
      </c>
      <c r="B465" s="74" t="inlineStr">
        <is>
          <t>Rau mồng tơi</t>
        </is>
      </c>
      <c r="C465" s="74" t="inlineStr">
        <is>
          <t>NLR0152</t>
        </is>
      </c>
      <c r="D465" s="74" t="inlineStr">
        <is>
          <t>Phù sa</t>
        </is>
      </c>
      <c r="E465" s="74" t="inlineStr"/>
      <c r="F465" s="74" t="n"/>
      <c r="G465" s="74" t="inlineStr">
        <is>
          <t>kg</t>
        </is>
      </c>
      <c r="H465" s="76" t="n">
        <v>20000</v>
      </c>
      <c r="I465" s="73" t="n">
        <v>45870</v>
      </c>
      <c r="J465" s="73" t="n">
        <v>45900</v>
      </c>
      <c r="K465" s="74" t="inlineStr">
        <is>
          <t>1</t>
        </is>
      </c>
      <c r="L465" s="74" t="inlineStr">
        <is>
          <t>NLR0152</t>
        </is>
      </c>
      <c r="M465" s="393" t="inlineStr">
        <is>
          <t>NLR0152</t>
        </is>
      </c>
    </row>
    <row r="466" ht="29.1" customHeight="1">
      <c r="A466" s="74" t="inlineStr">
        <is>
          <t>NLR0153</t>
        </is>
      </c>
      <c r="B466" s="74" t="inlineStr">
        <is>
          <t>Rau mùi ta</t>
        </is>
      </c>
      <c r="C466" s="74" t="inlineStr">
        <is>
          <t>NLR0153</t>
        </is>
      </c>
      <c r="D466" s="74" t="inlineStr">
        <is>
          <t>Phù sa</t>
        </is>
      </c>
      <c r="E466" s="74" t="inlineStr"/>
      <c r="F466" s="74" t="n"/>
      <c r="G466" s="74" t="inlineStr">
        <is>
          <t>kg</t>
        </is>
      </c>
      <c r="H466" s="76" t="n">
        <v>30000</v>
      </c>
      <c r="I466" s="73" t="n">
        <v>45870</v>
      </c>
      <c r="J466" s="73" t="n">
        <v>45900</v>
      </c>
      <c r="K466" s="74" t="inlineStr">
        <is>
          <t>1</t>
        </is>
      </c>
      <c r="L466" s="74" t="inlineStr">
        <is>
          <t>NLR0153</t>
        </is>
      </c>
      <c r="M466" s="393" t="inlineStr">
        <is>
          <t>NLR0153</t>
        </is>
      </c>
    </row>
    <row r="467" ht="29.1" customHeight="1">
      <c r="A467" s="74" t="inlineStr">
        <is>
          <t>NLR0154</t>
        </is>
      </c>
      <c r="B467" s="74" t="inlineStr">
        <is>
          <t>Rau mùi tàu</t>
        </is>
      </c>
      <c r="C467" s="74" t="inlineStr">
        <is>
          <t>NLR0154</t>
        </is>
      </c>
      <c r="D467" s="74" t="inlineStr">
        <is>
          <t>Phù sa</t>
        </is>
      </c>
      <c r="E467" s="74" t="inlineStr"/>
      <c r="F467" s="74" t="n"/>
      <c r="G467" s="74" t="inlineStr">
        <is>
          <t>kg</t>
        </is>
      </c>
      <c r="H467" s="76" t="n">
        <v>34000</v>
      </c>
      <c r="I467" s="73" t="n">
        <v>45870</v>
      </c>
      <c r="J467" s="73" t="n">
        <v>45900</v>
      </c>
      <c r="K467" s="74" t="inlineStr">
        <is>
          <t>1</t>
        </is>
      </c>
      <c r="L467" s="74" t="inlineStr">
        <is>
          <t>NLR0154</t>
        </is>
      </c>
      <c r="M467" s="393" t="inlineStr">
        <is>
          <t>NLR0154</t>
        </is>
      </c>
    </row>
    <row r="468" ht="28.95" customHeight="1">
      <c r="A468" s="74" t="inlineStr">
        <is>
          <t>NLR0156</t>
        </is>
      </c>
      <c r="B468" s="74" t="inlineStr">
        <is>
          <t>Rau muống cắt gốc</t>
        </is>
      </c>
      <c r="C468" s="74" t="inlineStr">
        <is>
          <t>NLR0156</t>
        </is>
      </c>
      <c r="D468" s="74" t="inlineStr">
        <is>
          <t>Phù sa</t>
        </is>
      </c>
      <c r="E468" s="74" t="inlineStr"/>
      <c r="F468" s="74" t="n"/>
      <c r="G468" s="74" t="inlineStr">
        <is>
          <t>kg</t>
        </is>
      </c>
      <c r="H468" s="76" t="n">
        <v>15000</v>
      </c>
      <c r="I468" s="73" t="n">
        <v>45870</v>
      </c>
      <c r="J468" s="73" t="n">
        <v>45900</v>
      </c>
      <c r="K468" s="74" t="inlineStr">
        <is>
          <t>1</t>
        </is>
      </c>
      <c r="L468" s="74" t="inlineStr">
        <is>
          <t>NLR0156</t>
        </is>
      </c>
      <c r="M468" s="393" t="inlineStr">
        <is>
          <t>NLR0156</t>
        </is>
      </c>
    </row>
    <row r="469" ht="29.1" customHeight="1">
      <c r="A469" s="74" t="inlineStr">
        <is>
          <t>NLR0159</t>
        </is>
      </c>
      <c r="B469" s="74" t="inlineStr">
        <is>
          <t>Rau ngổ</t>
        </is>
      </c>
      <c r="C469" s="74" t="inlineStr">
        <is>
          <t>NLR0159</t>
        </is>
      </c>
      <c r="D469" s="74" t="inlineStr">
        <is>
          <t>Phù sa</t>
        </is>
      </c>
      <c r="E469" s="74" t="inlineStr"/>
      <c r="F469" s="74" t="n"/>
      <c r="G469" s="74" t="inlineStr">
        <is>
          <t>kg</t>
        </is>
      </c>
      <c r="H469" s="76" t="n">
        <v>27000</v>
      </c>
      <c r="I469" s="73" t="n">
        <v>45870</v>
      </c>
      <c r="J469" s="73" t="n">
        <v>45900</v>
      </c>
      <c r="K469" s="74" t="inlineStr">
        <is>
          <t>1</t>
        </is>
      </c>
      <c r="L469" s="74" t="inlineStr">
        <is>
          <t>NLR0159</t>
        </is>
      </c>
      <c r="M469" s="393" t="inlineStr">
        <is>
          <t>NLR0159</t>
        </is>
      </c>
    </row>
    <row r="470" ht="29.1" customHeight="1">
      <c r="A470" s="74" t="inlineStr">
        <is>
          <t>NLR0160</t>
        </is>
      </c>
      <c r="B470" s="74" t="inlineStr">
        <is>
          <t>Rau răm</t>
        </is>
      </c>
      <c r="C470" s="74" t="inlineStr">
        <is>
          <t>NLR0160</t>
        </is>
      </c>
      <c r="D470" s="74" t="inlineStr">
        <is>
          <t>Phù sa</t>
        </is>
      </c>
      <c r="E470" s="74" t="inlineStr"/>
      <c r="F470" s="74" t="n"/>
      <c r="G470" s="74" t="inlineStr">
        <is>
          <t>kg</t>
        </is>
      </c>
      <c r="H470" s="76" t="n">
        <v>27000</v>
      </c>
      <c r="I470" s="73" t="n">
        <v>45870</v>
      </c>
      <c r="J470" s="73" t="n">
        <v>45900</v>
      </c>
      <c r="K470" s="74" t="inlineStr">
        <is>
          <t>1</t>
        </is>
      </c>
      <c r="L470" s="74" t="inlineStr">
        <is>
          <t>NLR0160</t>
        </is>
      </c>
      <c r="M470" s="393" t="inlineStr">
        <is>
          <t>NLR0160</t>
        </is>
      </c>
    </row>
    <row r="471" ht="29.1" customHeight="1">
      <c r="A471" s="74" t="inlineStr">
        <is>
          <t>NLR0162</t>
        </is>
      </c>
      <c r="B471" s="74" t="inlineStr">
        <is>
          <t>Rau xà lách</t>
        </is>
      </c>
      <c r="C471" s="74" t="inlineStr">
        <is>
          <t>NLR0162</t>
        </is>
      </c>
      <c r="D471" s="74" t="inlineStr">
        <is>
          <t>Phù sa</t>
        </is>
      </c>
      <c r="E471" s="74" t="inlineStr"/>
      <c r="F471" s="74" t="n"/>
      <c r="G471" s="74" t="inlineStr">
        <is>
          <t>kg</t>
        </is>
      </c>
      <c r="H471" s="76" t="n">
        <v>15000</v>
      </c>
      <c r="I471" s="73" t="n">
        <v>45870</v>
      </c>
      <c r="J471" s="73" t="n">
        <v>45900</v>
      </c>
      <c r="K471" s="74" t="inlineStr">
        <is>
          <t>1</t>
        </is>
      </c>
      <c r="L471" s="74" t="inlineStr">
        <is>
          <t>NLR0162</t>
        </is>
      </c>
      <c r="M471" s="393" t="inlineStr">
        <is>
          <t>NLR0162</t>
        </is>
      </c>
    </row>
    <row r="472" ht="29.1" customHeight="1">
      <c r="A472" s="74" t="inlineStr">
        <is>
          <t>NLR0157</t>
        </is>
      </c>
      <c r="B472" s="74" t="inlineStr">
        <is>
          <t>Rau ngót</t>
        </is>
      </c>
      <c r="C472" s="74" t="inlineStr">
        <is>
          <t>NLR0157</t>
        </is>
      </c>
      <c r="D472" s="74" t="inlineStr">
        <is>
          <t>Phù sa</t>
        </is>
      </c>
      <c r="E472" s="74" t="inlineStr"/>
      <c r="F472" s="74" t="n"/>
      <c r="G472" s="74" t="inlineStr">
        <is>
          <t>kg</t>
        </is>
      </c>
      <c r="H472" s="76" t="n">
        <v>41000</v>
      </c>
      <c r="I472" s="73" t="n">
        <v>45870</v>
      </c>
      <c r="J472" s="73" t="n">
        <v>45900</v>
      </c>
      <c r="K472" s="74" t="inlineStr">
        <is>
          <t>1</t>
        </is>
      </c>
      <c r="L472" s="74" t="inlineStr">
        <is>
          <t>NLR0157</t>
        </is>
      </c>
      <c r="M472" s="393" t="inlineStr">
        <is>
          <t>NLR0157</t>
        </is>
      </c>
    </row>
    <row r="473" ht="29.1" customHeight="1">
      <c r="A473" s="74" t="inlineStr">
        <is>
          <t>NLR0165</t>
        </is>
      </c>
      <c r="B473" s="74" t="inlineStr">
        <is>
          <t>Su su</t>
        </is>
      </c>
      <c r="C473" s="74" t="inlineStr">
        <is>
          <t>NLR0165</t>
        </is>
      </c>
      <c r="D473" s="74" t="inlineStr">
        <is>
          <t>Phù sa</t>
        </is>
      </c>
      <c r="E473" s="74" t="inlineStr"/>
      <c r="F473" s="74" t="n"/>
      <c r="G473" s="74" t="inlineStr">
        <is>
          <t>kg</t>
        </is>
      </c>
      <c r="H473" s="76" t="n">
        <v>9000</v>
      </c>
      <c r="I473" s="73" t="n">
        <v>45870</v>
      </c>
      <c r="J473" s="73" t="n">
        <v>45900</v>
      </c>
      <c r="K473" s="74" t="inlineStr">
        <is>
          <t>1</t>
        </is>
      </c>
      <c r="L473" s="74" t="inlineStr">
        <is>
          <t>NLR0165</t>
        </is>
      </c>
      <c r="M473" s="393" t="inlineStr">
        <is>
          <t>NLR0165</t>
        </is>
      </c>
    </row>
    <row r="474" ht="29.1" customHeight="1">
      <c r="A474" s="74" t="inlineStr">
        <is>
          <t>NLR0167</t>
        </is>
      </c>
      <c r="B474" s="74" t="inlineStr">
        <is>
          <t>Súp lơ trắng</t>
        </is>
      </c>
      <c r="C474" s="74" t="inlineStr">
        <is>
          <t>NLR0167</t>
        </is>
      </c>
      <c r="D474" s="74" t="inlineStr">
        <is>
          <t>Phù sa</t>
        </is>
      </c>
      <c r="E474" s="74" t="inlineStr"/>
      <c r="F474" s="74" t="n"/>
      <c r="G474" s="74" t="inlineStr">
        <is>
          <t>kg</t>
        </is>
      </c>
      <c r="H474" s="76" t="n">
        <v>28000</v>
      </c>
      <c r="I474" s="73" t="n">
        <v>45870</v>
      </c>
      <c r="J474" s="73" t="n">
        <v>45900</v>
      </c>
      <c r="K474" s="74" t="inlineStr">
        <is>
          <t>1</t>
        </is>
      </c>
      <c r="L474" s="74" t="inlineStr">
        <is>
          <t>NLR0167</t>
        </is>
      </c>
      <c r="M474" s="393" t="inlineStr">
        <is>
          <t>NLR0167</t>
        </is>
      </c>
    </row>
    <row r="475" ht="29.1" customHeight="1">
      <c r="A475" s="74" t="inlineStr">
        <is>
          <t>NLR0168</t>
        </is>
      </c>
      <c r="B475" s="74" t="inlineStr">
        <is>
          <t>Súp lơ xanh</t>
        </is>
      </c>
      <c r="C475" s="74" t="inlineStr">
        <is>
          <t>NLR0168</t>
        </is>
      </c>
      <c r="D475" s="74" t="inlineStr">
        <is>
          <t>Phù sa</t>
        </is>
      </c>
      <c r="E475" s="74" t="inlineStr"/>
      <c r="F475" s="74" t="n"/>
      <c r="G475" s="74" t="inlineStr">
        <is>
          <t>kg</t>
        </is>
      </c>
      <c r="H475" s="76" t="n">
        <v>30000</v>
      </c>
      <c r="I475" s="73" t="n">
        <v>45870</v>
      </c>
      <c r="J475" s="73" t="n">
        <v>45900</v>
      </c>
      <c r="K475" s="74" t="inlineStr">
        <is>
          <t>1</t>
        </is>
      </c>
      <c r="L475" s="74" t="inlineStr">
        <is>
          <t>NLR0168</t>
        </is>
      </c>
      <c r="M475" s="393" t="inlineStr">
        <is>
          <t>NLR0168</t>
        </is>
      </c>
    </row>
    <row r="476" ht="29.1" customHeight="1">
      <c r="A476" s="74" t="inlineStr">
        <is>
          <t>NLR0170</t>
        </is>
      </c>
      <c r="B476" s="74" t="inlineStr">
        <is>
          <t>Tía tô</t>
        </is>
      </c>
      <c r="C476" s="74" t="inlineStr">
        <is>
          <t>NLR0170</t>
        </is>
      </c>
      <c r="D476" s="74" t="inlineStr">
        <is>
          <t>Phù sa</t>
        </is>
      </c>
      <c r="E476" s="74" t="inlineStr"/>
      <c r="F476" s="74" t="n"/>
      <c r="G476" s="74" t="inlineStr">
        <is>
          <t>kg</t>
        </is>
      </c>
      <c r="H476" s="76" t="n">
        <v>20000</v>
      </c>
      <c r="I476" s="73" t="n">
        <v>45870</v>
      </c>
      <c r="J476" s="73" t="n">
        <v>45900</v>
      </c>
      <c r="K476" s="74" t="inlineStr">
        <is>
          <t>1</t>
        </is>
      </c>
      <c r="L476" s="74" t="inlineStr">
        <is>
          <t>NLR0170</t>
        </is>
      </c>
      <c r="M476" s="393" t="inlineStr">
        <is>
          <t>NLR0170</t>
        </is>
      </c>
    </row>
    <row r="477" ht="29.1" customHeight="1">
      <c r="A477" s="74" t="inlineStr">
        <is>
          <t>NLR0172</t>
        </is>
      </c>
      <c r="B477" s="74" t="inlineStr">
        <is>
          <t>Tỏi khô</t>
        </is>
      </c>
      <c r="C477" s="74" t="inlineStr">
        <is>
          <t>NLR0172</t>
        </is>
      </c>
      <c r="D477" s="74" t="inlineStr">
        <is>
          <t>Phù sa</t>
        </is>
      </c>
      <c r="E477" s="74" t="inlineStr"/>
      <c r="F477" s="74" t="n"/>
      <c r="G477" s="74" t="inlineStr">
        <is>
          <t>kg</t>
        </is>
      </c>
      <c r="H477" s="76" t="n">
        <v>36000</v>
      </c>
      <c r="I477" s="73" t="n">
        <v>45870</v>
      </c>
      <c r="J477" s="73" t="n">
        <v>45900</v>
      </c>
      <c r="K477" s="74" t="inlineStr">
        <is>
          <t>1</t>
        </is>
      </c>
      <c r="L477" s="74" t="inlineStr">
        <is>
          <t>NLR0172</t>
        </is>
      </c>
      <c r="M477" s="393" t="inlineStr">
        <is>
          <t>NLR0172</t>
        </is>
      </c>
    </row>
    <row r="478" ht="29.1" customHeight="1">
      <c r="A478" s="74" t="inlineStr">
        <is>
          <t>NLR0171</t>
        </is>
      </c>
      <c r="B478" s="74" t="inlineStr">
        <is>
          <t>Tỏi khô bóc</t>
        </is>
      </c>
      <c r="C478" s="74" t="inlineStr">
        <is>
          <t>NLR0171</t>
        </is>
      </c>
      <c r="D478" s="74" t="inlineStr">
        <is>
          <t>Phù sa</t>
        </is>
      </c>
      <c r="E478" s="74" t="n"/>
      <c r="F478" s="74" t="n"/>
      <c r="G478" s="74" t="inlineStr">
        <is>
          <t>kg</t>
        </is>
      </c>
      <c r="H478" s="76" t="n">
        <v>45000</v>
      </c>
      <c r="I478" s="73" t="n">
        <v>45870</v>
      </c>
      <c r="J478" s="73" t="n">
        <v>45900</v>
      </c>
      <c r="K478" s="74" t="inlineStr">
        <is>
          <t>1</t>
        </is>
      </c>
      <c r="L478" s="74" t="inlineStr">
        <is>
          <t>NLR0171</t>
        </is>
      </c>
      <c r="M478" s="393" t="inlineStr">
        <is>
          <t>NLR0171</t>
        </is>
      </c>
    </row>
    <row r="479" ht="29.1" customHeight="1">
      <c r="A479" s="74" t="inlineStr">
        <is>
          <t>NLR0174</t>
        </is>
      </c>
      <c r="B479" s="74" t="inlineStr">
        <is>
          <t>Thì là</t>
        </is>
      </c>
      <c r="C479" s="74" t="inlineStr">
        <is>
          <t>NLR0174</t>
        </is>
      </c>
      <c r="D479" s="74" t="inlineStr">
        <is>
          <t>Phù sa</t>
        </is>
      </c>
      <c r="E479" s="74" t="inlineStr"/>
      <c r="F479" s="74" t="n"/>
      <c r="G479" s="74" t="inlineStr">
        <is>
          <t>kg</t>
        </is>
      </c>
      <c r="H479" s="76" t="n">
        <v>35000</v>
      </c>
      <c r="I479" s="73" t="n">
        <v>45870</v>
      </c>
      <c r="J479" s="73" t="n">
        <v>45900</v>
      </c>
      <c r="K479" s="74" t="inlineStr">
        <is>
          <t>1</t>
        </is>
      </c>
      <c r="L479" s="74" t="inlineStr">
        <is>
          <t>NLR0174</t>
        </is>
      </c>
      <c r="M479" s="393" t="inlineStr">
        <is>
          <t>NLR0174</t>
        </is>
      </c>
    </row>
    <row r="480" ht="29.1" customHeight="1">
      <c r="A480" s="74" t="inlineStr">
        <is>
          <t>NLR0175</t>
        </is>
      </c>
      <c r="B480" s="74" t="inlineStr">
        <is>
          <t>Sả củ</t>
        </is>
      </c>
      <c r="C480" s="74" t="inlineStr">
        <is>
          <t>NLR0175</t>
        </is>
      </c>
      <c r="D480" s="74" t="inlineStr">
        <is>
          <t>Phù sa</t>
        </is>
      </c>
      <c r="E480" s="74" t="inlineStr"/>
      <c r="F480" s="74" t="n"/>
      <c r="G480" s="74" t="inlineStr">
        <is>
          <t>kg</t>
        </is>
      </c>
      <c r="H480" s="76" t="n">
        <v>19000</v>
      </c>
      <c r="I480" s="73" t="n">
        <v>45870</v>
      </c>
      <c r="J480" s="73" t="n">
        <v>45900</v>
      </c>
      <c r="K480" s="74" t="inlineStr">
        <is>
          <t>1</t>
        </is>
      </c>
      <c r="L480" s="74" t="inlineStr">
        <is>
          <t>NLR0175</t>
        </is>
      </c>
      <c r="M480" s="393" t="inlineStr">
        <is>
          <t>NLR0175</t>
        </is>
      </c>
    </row>
    <row r="481" ht="29.1" customHeight="1">
      <c r="A481" s="74" t="inlineStr">
        <is>
          <t>NLR0177</t>
        </is>
      </c>
      <c r="B481" s="74" t="inlineStr">
        <is>
          <t>Nấm đùi gà</t>
        </is>
      </c>
      <c r="C481" s="74" t="inlineStr">
        <is>
          <t>NLR0177</t>
        </is>
      </c>
      <c r="D481" s="74" t="inlineStr">
        <is>
          <t>Phù sa</t>
        </is>
      </c>
      <c r="E481" s="74" t="inlineStr"/>
      <c r="F481" s="74" t="n"/>
      <c r="G481" s="74" t="inlineStr">
        <is>
          <t>kg</t>
        </is>
      </c>
      <c r="H481" s="76" t="n">
        <v>40000</v>
      </c>
      <c r="I481" s="73" t="n">
        <v>45870</v>
      </c>
      <c r="J481" s="73" t="n">
        <v>45900</v>
      </c>
      <c r="K481" s="74" t="inlineStr">
        <is>
          <t>1</t>
        </is>
      </c>
      <c r="L481" s="74" t="inlineStr">
        <is>
          <t>NLR0177</t>
        </is>
      </c>
      <c r="M481" s="393" t="inlineStr">
        <is>
          <t>NLR0177</t>
        </is>
      </c>
    </row>
    <row r="482" ht="29.1" customHeight="1">
      <c r="A482" s="74" t="inlineStr">
        <is>
          <t>NLR0188</t>
        </is>
      </c>
      <c r="B482" s="74" t="inlineStr">
        <is>
          <t>Măng tây</t>
        </is>
      </c>
      <c r="C482" s="74" t="inlineStr">
        <is>
          <t>NLR0188</t>
        </is>
      </c>
      <c r="D482" s="74" t="inlineStr">
        <is>
          <t>Phù sa</t>
        </is>
      </c>
      <c r="E482" s="74" t="inlineStr"/>
      <c r="F482" s="74" t="n"/>
      <c r="G482" s="74" t="inlineStr">
        <is>
          <t>kg</t>
        </is>
      </c>
      <c r="H482" s="76" t="n">
        <v>130000</v>
      </c>
      <c r="I482" s="73" t="n">
        <v>45870</v>
      </c>
      <c r="J482" s="73" t="n">
        <v>45900</v>
      </c>
      <c r="K482" s="74" t="inlineStr">
        <is>
          <t>1</t>
        </is>
      </c>
      <c r="L482" s="74" t="inlineStr">
        <is>
          <t>NLR0188</t>
        </is>
      </c>
      <c r="M482" s="393" t="inlineStr">
        <is>
          <t>NLR0188</t>
        </is>
      </c>
    </row>
    <row r="483" ht="29.1" customHeight="1">
      <c r="A483" s="74" t="inlineStr">
        <is>
          <t>NLR0181</t>
        </is>
      </c>
      <c r="B483" s="74" t="inlineStr">
        <is>
          <t>Rau xà lách xoăn</t>
        </is>
      </c>
      <c r="C483" s="74" t="inlineStr">
        <is>
          <t>NLR0181</t>
        </is>
      </c>
      <c r="D483" s="74" t="inlineStr">
        <is>
          <t>Phù sa</t>
        </is>
      </c>
      <c r="E483" s="74" t="inlineStr"/>
      <c r="F483" s="74" t="n"/>
      <c r="G483" s="74" t="inlineStr">
        <is>
          <t>kg</t>
        </is>
      </c>
      <c r="H483" s="76" t="n">
        <v>20000</v>
      </c>
      <c r="I483" s="73" t="n">
        <v>45870</v>
      </c>
      <c r="J483" s="73" t="n">
        <v>45900</v>
      </c>
      <c r="K483" s="74" t="inlineStr">
        <is>
          <t>1</t>
        </is>
      </c>
      <c r="L483" s="74" t="inlineStr">
        <is>
          <t>NLR0181</t>
        </is>
      </c>
      <c r="M483" s="393" t="inlineStr">
        <is>
          <t>NLR0181</t>
        </is>
      </c>
    </row>
    <row r="484" ht="29.1" customHeight="1">
      <c r="A484" s="74" t="inlineStr">
        <is>
          <t>NLR0227</t>
        </is>
      </c>
      <c r="B484" s="74" t="inlineStr">
        <is>
          <t>ớt sừng đỏ</t>
        </is>
      </c>
      <c r="C484" s="74" t="inlineStr">
        <is>
          <t>NLR0227</t>
        </is>
      </c>
      <c r="D484" s="74" t="inlineStr">
        <is>
          <t>Phù sa</t>
        </is>
      </c>
      <c r="E484" s="74" t="inlineStr"/>
      <c r="F484" s="74" t="n"/>
      <c r="G484" s="74" t="inlineStr">
        <is>
          <t>kg</t>
        </is>
      </c>
      <c r="H484" s="76" t="n">
        <v>45000</v>
      </c>
      <c r="I484" s="73" t="n">
        <v>45870</v>
      </c>
      <c r="J484" s="73" t="n">
        <v>45900</v>
      </c>
      <c r="K484" s="74" t="inlineStr">
        <is>
          <t>1</t>
        </is>
      </c>
      <c r="L484" s="74" t="inlineStr">
        <is>
          <t>NLR0227</t>
        </is>
      </c>
      <c r="M484" s="393" t="inlineStr">
        <is>
          <t>NLR0227</t>
        </is>
      </c>
    </row>
    <row r="485" ht="29.1" customHeight="1">
      <c r="A485" s="74" t="inlineStr">
        <is>
          <t>NLR0262</t>
        </is>
      </c>
      <c r="B485" s="74" t="inlineStr">
        <is>
          <t>Bí đỏ dài gọt vỏ</t>
        </is>
      </c>
      <c r="C485" s="74" t="inlineStr">
        <is>
          <t>NLR0262</t>
        </is>
      </c>
      <c r="D485" s="74" t="inlineStr">
        <is>
          <t>Phù sa</t>
        </is>
      </c>
      <c r="E485" s="74" t="inlineStr"/>
      <c r="F485" s="74" t="n"/>
      <c r="G485" s="74" t="inlineStr">
        <is>
          <t>kg</t>
        </is>
      </c>
      <c r="H485" s="76" t="n">
        <v>19000</v>
      </c>
      <c r="I485" s="73" t="n">
        <v>45870</v>
      </c>
      <c r="J485" s="73" t="n">
        <v>45900</v>
      </c>
      <c r="K485" s="74" t="inlineStr">
        <is>
          <t>1</t>
        </is>
      </c>
      <c r="L485" s="74" t="inlineStr">
        <is>
          <t>NLR0262</t>
        </is>
      </c>
      <c r="M485" s="393" t="inlineStr">
        <is>
          <t>NLR0262</t>
        </is>
      </c>
    </row>
    <row r="486" ht="29.1" customHeight="1">
      <c r="A486" s="74" t="inlineStr">
        <is>
          <t>NLR0266</t>
        </is>
      </c>
      <c r="B486" s="74" t="inlineStr">
        <is>
          <t>Bí xanh dài</t>
        </is>
      </c>
      <c r="C486" s="74" t="inlineStr">
        <is>
          <t>NLR0266</t>
        </is>
      </c>
      <c r="D486" s="74" t="inlineStr">
        <is>
          <t>Phù sa</t>
        </is>
      </c>
      <c r="E486" s="74" t="inlineStr"/>
      <c r="F486" s="74" t="n"/>
      <c r="G486" s="74" t="inlineStr">
        <is>
          <t>kg</t>
        </is>
      </c>
      <c r="H486" s="76" t="n">
        <v>13000</v>
      </c>
      <c r="I486" s="73" t="n">
        <v>45870</v>
      </c>
      <c r="J486" s="73" t="n">
        <v>45900</v>
      </c>
      <c r="K486" s="74" t="inlineStr">
        <is>
          <t>1</t>
        </is>
      </c>
      <c r="L486" s="74" t="inlineStr">
        <is>
          <t>NLR0266</t>
        </is>
      </c>
      <c r="M486" s="393" t="inlineStr">
        <is>
          <t>NLR0266</t>
        </is>
      </c>
    </row>
    <row r="487" ht="29.1" customHeight="1">
      <c r="A487" s="74" t="inlineStr">
        <is>
          <t>NLR0268</t>
        </is>
      </c>
      <c r="B487" s="74" t="inlineStr">
        <is>
          <t>Cà chua to</t>
        </is>
      </c>
      <c r="C487" s="74" t="inlineStr">
        <is>
          <t>NLR0268</t>
        </is>
      </c>
      <c r="D487" s="74" t="inlineStr">
        <is>
          <t>Phù sa</t>
        </is>
      </c>
      <c r="E487" s="74" t="inlineStr"/>
      <c r="F487" s="74" t="n"/>
      <c r="G487" s="74" t="inlineStr">
        <is>
          <t>kg</t>
        </is>
      </c>
      <c r="H487" s="76" t="n">
        <v>14000</v>
      </c>
      <c r="I487" s="73" t="n">
        <v>45870</v>
      </c>
      <c r="J487" s="73" t="n">
        <v>45900</v>
      </c>
      <c r="K487" s="74" t="inlineStr">
        <is>
          <t>1</t>
        </is>
      </c>
      <c r="L487" s="74" t="inlineStr">
        <is>
          <t>NLR0268</t>
        </is>
      </c>
      <c r="M487" s="393" t="inlineStr">
        <is>
          <t>NLR0268</t>
        </is>
      </c>
    </row>
    <row r="488" ht="29.1" customHeight="1">
      <c r="A488" s="74" t="inlineStr">
        <is>
          <t>NLR0271</t>
        </is>
      </c>
      <c r="B488" s="74" t="inlineStr">
        <is>
          <t>Củ đậu 3-5 củ/kg</t>
        </is>
      </c>
      <c r="C488" s="74" t="inlineStr">
        <is>
          <t>NLR0271</t>
        </is>
      </c>
      <c r="D488" s="74" t="inlineStr">
        <is>
          <t>Phù sa</t>
        </is>
      </c>
      <c r="E488" s="74" t="inlineStr"/>
      <c r="F488" s="74" t="n"/>
      <c r="G488" s="74" t="inlineStr">
        <is>
          <t>kg</t>
        </is>
      </c>
      <c r="H488" s="76" t="n">
        <v>14000</v>
      </c>
      <c r="I488" s="73" t="n">
        <v>45870</v>
      </c>
      <c r="J488" s="73" t="n">
        <v>45900</v>
      </c>
      <c r="K488" s="74" t="inlineStr">
        <is>
          <t>1</t>
        </is>
      </c>
      <c r="L488" s="74" t="inlineStr">
        <is>
          <t>NLR0271</t>
        </is>
      </c>
      <c r="M488" s="393" t="inlineStr">
        <is>
          <t>NLR0271</t>
        </is>
      </c>
    </row>
    <row r="489" ht="29.1" customHeight="1">
      <c r="A489" s="74" t="inlineStr">
        <is>
          <t>NLT0011</t>
        </is>
      </c>
      <c r="B489" s="74" t="inlineStr">
        <is>
          <t>Đậu phụ kg</t>
        </is>
      </c>
      <c r="C489" s="74" t="inlineStr">
        <is>
          <t>NLT0011</t>
        </is>
      </c>
      <c r="D489" s="74" t="inlineStr">
        <is>
          <t>Phù sa</t>
        </is>
      </c>
      <c r="E489" s="74" t="inlineStr"/>
      <c r="F489" s="74" t="n"/>
      <c r="G489" s="74" t="inlineStr">
        <is>
          <t>kg</t>
        </is>
      </c>
      <c r="H489" s="76" t="n">
        <v>19500</v>
      </c>
      <c r="I489" s="73" t="n">
        <v>45870</v>
      </c>
      <c r="J489" s="73" t="n">
        <v>45900</v>
      </c>
      <c r="K489" s="74" t="inlineStr">
        <is>
          <t>1</t>
        </is>
      </c>
      <c r="L489" s="74" t="inlineStr">
        <is>
          <t>NLT0011</t>
        </is>
      </c>
      <c r="M489" s="393" t="inlineStr">
        <is>
          <t>NLT0011</t>
        </is>
      </c>
    </row>
    <row r="490" ht="29.1" customHeight="1">
      <c r="A490" s="74" t="inlineStr">
        <is>
          <t>NPG0066</t>
        </is>
      </c>
      <c r="B490" s="74" t="inlineStr">
        <is>
          <t>Hành khô</t>
        </is>
      </c>
      <c r="C490" s="74" t="inlineStr">
        <is>
          <t>NPG0066</t>
        </is>
      </c>
      <c r="D490" s="74" t="inlineStr">
        <is>
          <t>Phù sa</t>
        </is>
      </c>
      <c r="E490" s="74" t="inlineStr"/>
      <c r="F490" s="74" t="n"/>
      <c r="G490" s="74" t="inlineStr">
        <is>
          <t>kg</t>
        </is>
      </c>
      <c r="H490" s="76" t="n">
        <v>22000</v>
      </c>
      <c r="I490" s="73" t="n">
        <v>45870</v>
      </c>
      <c r="J490" s="73" t="n">
        <v>45900</v>
      </c>
      <c r="K490" s="74" t="inlineStr">
        <is>
          <t>1</t>
        </is>
      </c>
      <c r="L490" s="74" t="inlineStr">
        <is>
          <t>NPG0066</t>
        </is>
      </c>
      <c r="M490" s="393" t="inlineStr">
        <is>
          <t>NPG0066</t>
        </is>
      </c>
    </row>
    <row r="491" ht="29.1" customHeight="1">
      <c r="A491" s="74" t="inlineStr">
        <is>
          <t>NPG0067</t>
        </is>
      </c>
      <c r="B491" s="74" t="inlineStr">
        <is>
          <t>Hành khô  bóc vỏ</t>
        </is>
      </c>
      <c r="C491" s="74" t="inlineStr">
        <is>
          <t>NPG0067</t>
        </is>
      </c>
      <c r="D491" s="74" t="inlineStr">
        <is>
          <t>Phù sa</t>
        </is>
      </c>
      <c r="E491" s="74" t="inlineStr"/>
      <c r="F491" s="74" t="n"/>
      <c r="G491" s="74" t="inlineStr">
        <is>
          <t>kg</t>
        </is>
      </c>
      <c r="H491" s="76" t="n">
        <v>27000</v>
      </c>
      <c r="I491" s="73" t="n">
        <v>45870</v>
      </c>
      <c r="J491" s="73" t="n">
        <v>45900</v>
      </c>
      <c r="K491" s="74" t="inlineStr">
        <is>
          <t>1</t>
        </is>
      </c>
      <c r="L491" s="74" t="inlineStr">
        <is>
          <t>NPG0067</t>
        </is>
      </c>
      <c r="M491" s="393" t="inlineStr">
        <is>
          <t>NPG0067</t>
        </is>
      </c>
    </row>
    <row r="492" ht="29.1" customHeight="1">
      <c r="A492" s="74" t="inlineStr">
        <is>
          <t>NLQ0017</t>
        </is>
      </c>
      <c r="B492" s="74" t="inlineStr">
        <is>
          <t>Quả quất</t>
        </is>
      </c>
      <c r="C492" s="74" t="inlineStr">
        <is>
          <t>NLQ0017</t>
        </is>
      </c>
      <c r="D492" s="74" t="inlineStr">
        <is>
          <t>Phù sa</t>
        </is>
      </c>
      <c r="E492" s="74" t="inlineStr"/>
      <c r="F492" s="74" t="n"/>
      <c r="G492" s="74" t="inlineStr">
        <is>
          <t>kg</t>
        </is>
      </c>
      <c r="H492" s="76" t="n">
        <v>30000</v>
      </c>
      <c r="I492" s="73" t="n">
        <v>45870</v>
      </c>
      <c r="J492" s="73" t="n">
        <v>45900</v>
      </c>
      <c r="K492" s="74" t="inlineStr">
        <is>
          <t>1</t>
        </is>
      </c>
      <c r="L492" s="74" t="inlineStr">
        <is>
          <t>NLQ0017</t>
        </is>
      </c>
      <c r="M492" s="393" t="inlineStr">
        <is>
          <t>NLQ0017</t>
        </is>
      </c>
    </row>
    <row r="493" ht="29.1" customHeight="1">
      <c r="A493" s="74" t="inlineStr">
        <is>
          <t>NLR0053</t>
        </is>
      </c>
      <c r="B493" s="74" t="inlineStr">
        <is>
          <t>Dọc mồng</t>
        </is>
      </c>
      <c r="C493" s="74" t="inlineStr">
        <is>
          <t>NLR0053</t>
        </is>
      </c>
      <c r="D493" s="74" t="inlineStr">
        <is>
          <t>Phù sa</t>
        </is>
      </c>
      <c r="E493" s="74" t="inlineStr"/>
      <c r="F493" s="74" t="n"/>
      <c r="G493" s="74" t="inlineStr">
        <is>
          <t>kg</t>
        </is>
      </c>
      <c r="H493" s="76" t="n">
        <v>30000</v>
      </c>
      <c r="I493" s="73" t="n">
        <v>45870</v>
      </c>
      <c r="J493" s="73" t="n">
        <v>45900</v>
      </c>
      <c r="K493" s="74" t="inlineStr">
        <is>
          <t>1</t>
        </is>
      </c>
      <c r="L493" s="74" t="inlineStr">
        <is>
          <t>NLR0053</t>
        </is>
      </c>
      <c r="M493" s="393" t="inlineStr">
        <is>
          <t>NLR0053</t>
        </is>
      </c>
    </row>
    <row r="494" ht="29.1" customHeight="1">
      <c r="A494" s="74" t="inlineStr">
        <is>
          <t>NPG0306</t>
        </is>
      </c>
      <c r="B494" s="74" t="inlineStr">
        <is>
          <t>Tiêu xanh</t>
        </is>
      </c>
      <c r="C494" s="74" t="inlineStr">
        <is>
          <t>NPG0306</t>
        </is>
      </c>
      <c r="D494" s="74" t="inlineStr">
        <is>
          <t>Phù sa</t>
        </is>
      </c>
      <c r="E494" s="74" t="inlineStr"/>
      <c r="F494" s="74" t="n"/>
      <c r="G494" s="74" t="inlineStr">
        <is>
          <t>kg</t>
        </is>
      </c>
      <c r="H494" s="76" t="n">
        <v>140000</v>
      </c>
      <c r="I494" s="73" t="n">
        <v>45870</v>
      </c>
      <c r="J494" s="73" t="n">
        <v>45900</v>
      </c>
      <c r="K494" s="74" t="inlineStr">
        <is>
          <t>1</t>
        </is>
      </c>
      <c r="L494" s="74" t="inlineStr">
        <is>
          <t>NPG0306</t>
        </is>
      </c>
      <c r="M494" s="393" t="inlineStr">
        <is>
          <t>NPG0306</t>
        </is>
      </c>
    </row>
    <row r="495" ht="29.1" customHeight="1">
      <c r="A495" s="74" t="inlineStr">
        <is>
          <t>NLR0201</t>
        </is>
      </c>
      <c r="B495" s="74" t="inlineStr">
        <is>
          <t>Nấm hải sản</t>
        </is>
      </c>
      <c r="C495" s="74" t="inlineStr">
        <is>
          <t>NLR0201</t>
        </is>
      </c>
      <c r="D495" s="74" t="inlineStr">
        <is>
          <t>Phù sa</t>
        </is>
      </c>
      <c r="E495" s="74" t="inlineStr"/>
      <c r="F495" s="74" t="n"/>
      <c r="G495" s="74" t="inlineStr">
        <is>
          <t>kg</t>
        </is>
      </c>
      <c r="H495" s="76" t="n">
        <v>65000</v>
      </c>
      <c r="I495" s="73" t="n">
        <v>45870</v>
      </c>
      <c r="J495" s="73" t="n">
        <v>45900</v>
      </c>
      <c r="K495" s="74" t="inlineStr">
        <is>
          <t>1</t>
        </is>
      </c>
      <c r="L495" s="74" t="inlineStr">
        <is>
          <t>NLR0201</t>
        </is>
      </c>
      <c r="M495" s="393" t="inlineStr">
        <is>
          <t>NLR0201</t>
        </is>
      </c>
    </row>
    <row r="496" ht="29.1" customHeight="1">
      <c r="A496" s="74" t="inlineStr">
        <is>
          <t>NLR0269</t>
        </is>
      </c>
      <c r="B496" s="74" t="inlineStr">
        <is>
          <t>Cà chua nhỏ</t>
        </is>
      </c>
      <c r="C496" s="74" t="inlineStr">
        <is>
          <t>NLR0269</t>
        </is>
      </c>
      <c r="D496" s="74" t="inlineStr">
        <is>
          <t>Phù sa</t>
        </is>
      </c>
      <c r="E496" s="74" t="inlineStr"/>
      <c r="F496" s="74" t="n"/>
      <c r="G496" s="74" t="inlineStr">
        <is>
          <t>kg</t>
        </is>
      </c>
      <c r="H496" s="76" t="n">
        <v>13000</v>
      </c>
      <c r="I496" s="73" t="n">
        <v>45870</v>
      </c>
      <c r="J496" s="73" t="n">
        <v>45900</v>
      </c>
      <c r="K496" s="74" t="inlineStr">
        <is>
          <t>1</t>
        </is>
      </c>
      <c r="L496" s="74" t="inlineStr">
        <is>
          <t>NLR0269</t>
        </is>
      </c>
      <c r="M496" s="393" t="inlineStr">
        <is>
          <t>NLR0269</t>
        </is>
      </c>
    </row>
    <row r="497" ht="29.1" customHeight="1">
      <c r="A497" s="74" t="inlineStr">
        <is>
          <t>NPG0094</t>
        </is>
      </c>
      <c r="B497" s="74" t="inlineStr">
        <is>
          <t>Me khô</t>
        </is>
      </c>
      <c r="C497" s="74" t="inlineStr">
        <is>
          <t>NPG0094</t>
        </is>
      </c>
      <c r="D497" s="74" t="inlineStr">
        <is>
          <t>Phù sa</t>
        </is>
      </c>
      <c r="E497" s="74" t="inlineStr"/>
      <c r="F497" s="74" t="n"/>
      <c r="G497" s="74" t="inlineStr">
        <is>
          <t>kg</t>
        </is>
      </c>
      <c r="H497" s="76" t="n">
        <v>36000</v>
      </c>
      <c r="I497" s="73" t="n">
        <v>45870</v>
      </c>
      <c r="J497" s="73" t="n">
        <v>45900</v>
      </c>
      <c r="K497" s="74" t="inlineStr">
        <is>
          <t>1</t>
        </is>
      </c>
      <c r="L497" s="74" t="inlineStr">
        <is>
          <t>NPG0094</t>
        </is>
      </c>
      <c r="M497" s="393" t="inlineStr">
        <is>
          <t>NPG0094</t>
        </is>
      </c>
    </row>
    <row r="498" ht="29.1" customHeight="1">
      <c r="A498" s="74" t="inlineStr">
        <is>
          <t>NLR0182</t>
        </is>
      </c>
      <c r="B498" s="74" t="inlineStr">
        <is>
          <t>nấm kim</t>
        </is>
      </c>
      <c r="C498" s="74" t="inlineStr">
        <is>
          <t>NLR0182</t>
        </is>
      </c>
      <c r="D498" s="74" t="inlineStr">
        <is>
          <t>Phù sa</t>
        </is>
      </c>
      <c r="E498" s="74" t="inlineStr"/>
      <c r="F498" s="74" t="n"/>
      <c r="G498" s="74" t="inlineStr">
        <is>
          <t>kg</t>
        </is>
      </c>
      <c r="H498" s="76" t="n">
        <v>8500</v>
      </c>
      <c r="I498" s="73" t="n">
        <v>45870</v>
      </c>
      <c r="J498" s="73" t="n">
        <v>45900</v>
      </c>
      <c r="K498" s="74" t="inlineStr">
        <is>
          <t>1</t>
        </is>
      </c>
      <c r="L498" s="74" t="inlineStr">
        <is>
          <t>NLR0182</t>
        </is>
      </c>
      <c r="M498" s="393" t="inlineStr">
        <is>
          <t>NLR0182</t>
        </is>
      </c>
    </row>
    <row r="499" ht="29.1" customHeight="1">
      <c r="A499" s="74" t="inlineStr">
        <is>
          <t>NLR0144</t>
        </is>
      </c>
      <c r="B499" s="74" t="inlineStr">
        <is>
          <t>Húng bạc hà</t>
        </is>
      </c>
      <c r="C499" s="74" t="inlineStr">
        <is>
          <t>NLR0144</t>
        </is>
      </c>
      <c r="D499" s="74" t="inlineStr">
        <is>
          <t>Phù sa</t>
        </is>
      </c>
      <c r="E499" s="74" t="inlineStr"/>
      <c r="F499" s="74" t="n"/>
      <c r="G499" s="74" t="inlineStr">
        <is>
          <t>kg</t>
        </is>
      </c>
      <c r="H499" s="76" t="n">
        <v>30000</v>
      </c>
      <c r="I499" s="73" t="n">
        <v>45870</v>
      </c>
      <c r="J499" s="73" t="n">
        <v>45900</v>
      </c>
      <c r="K499" s="74" t="inlineStr">
        <is>
          <t>1</t>
        </is>
      </c>
      <c r="L499" s="74" t="inlineStr">
        <is>
          <t>NLR0144</t>
        </is>
      </c>
      <c r="M499" s="393" t="inlineStr">
        <is>
          <t>NLR0144</t>
        </is>
      </c>
    </row>
    <row r="500" ht="29.1" customHeight="1">
      <c r="A500" s="74" t="inlineStr">
        <is>
          <t>NLR0316</t>
        </is>
      </c>
      <c r="B500" s="74" t="inlineStr">
        <is>
          <t>Măng trúc Phú vinh 400g/gói</t>
        </is>
      </c>
      <c r="C500" s="74" t="inlineStr">
        <is>
          <t>NLR0316</t>
        </is>
      </c>
      <c r="D500" s="74" t="inlineStr">
        <is>
          <t>Phù sa</t>
        </is>
      </c>
      <c r="E500" s="74" t="inlineStr"/>
      <c r="F500" s="74" t="n"/>
      <c r="G500" s="74" t="inlineStr">
        <is>
          <t>kg</t>
        </is>
      </c>
      <c r="H500" s="76" t="n">
        <v>24000</v>
      </c>
      <c r="I500" s="73" t="n">
        <v>45870</v>
      </c>
      <c r="J500" s="73" t="n">
        <v>45900</v>
      </c>
      <c r="K500" s="74" t="inlineStr">
        <is>
          <t>1</t>
        </is>
      </c>
      <c r="L500" s="74" t="inlineStr">
        <is>
          <t>NLR0316</t>
        </is>
      </c>
      <c r="M500" s="393" t="inlineStr">
        <is>
          <t>NLR0316</t>
        </is>
      </c>
    </row>
    <row r="501" ht="29.1" customHeight="1">
      <c r="A501" s="74" t="inlineStr">
        <is>
          <t>NLR0217</t>
        </is>
      </c>
      <c r="B501" s="74" t="inlineStr">
        <is>
          <t>Bí Ngồi</t>
        </is>
      </c>
      <c r="C501" s="74" t="inlineStr">
        <is>
          <t>NLR0217</t>
        </is>
      </c>
      <c r="D501" s="74" t="inlineStr">
        <is>
          <t>Phù sa</t>
        </is>
      </c>
      <c r="E501" s="74" t="inlineStr"/>
      <c r="F501" s="74" t="n"/>
      <c r="G501" s="74" t="inlineStr">
        <is>
          <t>kg</t>
        </is>
      </c>
      <c r="H501" s="76" t="n">
        <v>23000</v>
      </c>
      <c r="I501" s="73" t="n">
        <v>45870</v>
      </c>
      <c r="J501" s="73" t="n">
        <v>45900</v>
      </c>
      <c r="K501" s="74" t="inlineStr">
        <is>
          <t>1</t>
        </is>
      </c>
      <c r="L501" s="74" t="inlineStr">
        <is>
          <t>NLR0217</t>
        </is>
      </c>
      <c r="M501" s="393" t="inlineStr">
        <is>
          <t>NLR0217</t>
        </is>
      </c>
    </row>
    <row r="502" ht="29.1" customHeight="1">
      <c r="A502" s="74" t="inlineStr">
        <is>
          <t>NLR0272</t>
        </is>
      </c>
      <c r="B502" s="74" t="inlineStr">
        <is>
          <t>Dưa cải bẹ muối</t>
        </is>
      </c>
      <c r="C502" s="74" t="inlineStr">
        <is>
          <t>NLR0272</t>
        </is>
      </c>
      <c r="D502" s="74" t="inlineStr">
        <is>
          <t>Phù sa</t>
        </is>
      </c>
      <c r="E502" s="74" t="inlineStr"/>
      <c r="F502" s="74" t="n"/>
      <c r="G502" s="74" t="inlineStr">
        <is>
          <t>kg</t>
        </is>
      </c>
      <c r="H502" s="76" t="n">
        <v>19000</v>
      </c>
      <c r="I502" s="73" t="n">
        <v>45870</v>
      </c>
      <c r="J502" s="73" t="n">
        <v>45900</v>
      </c>
      <c r="K502" s="74" t="inlineStr">
        <is>
          <t>1</t>
        </is>
      </c>
      <c r="L502" s="74" t="inlineStr">
        <is>
          <t>NLR0272</t>
        </is>
      </c>
      <c r="M502" s="393" t="inlineStr">
        <is>
          <t>NLR0272</t>
        </is>
      </c>
    </row>
    <row r="503" ht="29.1" customHeight="1">
      <c r="A503" s="74" t="inlineStr">
        <is>
          <t>NLR0206</t>
        </is>
      </c>
      <c r="B503" s="74" t="inlineStr">
        <is>
          <t>Lá lồm</t>
        </is>
      </c>
      <c r="C503" s="74" t="inlineStr">
        <is>
          <t>NLR0206</t>
        </is>
      </c>
      <c r="D503" s="74" t="inlineStr">
        <is>
          <t>Phù sa</t>
        </is>
      </c>
      <c r="E503" s="74" t="inlineStr"/>
      <c r="F503" s="74" t="n"/>
      <c r="G503" s="74" t="inlineStr">
        <is>
          <t>kg</t>
        </is>
      </c>
      <c r="H503" s="76" t="n">
        <v>80000</v>
      </c>
      <c r="I503" s="73" t="n">
        <v>45870</v>
      </c>
      <c r="J503" s="73" t="n">
        <v>45900</v>
      </c>
      <c r="K503" s="74" t="inlineStr">
        <is>
          <t>1</t>
        </is>
      </c>
      <c r="L503" s="74" t="inlineStr">
        <is>
          <t>NLR0206</t>
        </is>
      </c>
      <c r="M503" s="393" t="inlineStr">
        <is>
          <t>NLR0206</t>
        </is>
      </c>
    </row>
    <row r="504" ht="29.1" customHeight="1">
      <c r="A504" s="74" t="inlineStr">
        <is>
          <t>NLR0057</t>
        </is>
      </c>
      <c r="B504" s="74" t="inlineStr">
        <is>
          <t>Dứa xanh sơ chế (kg)</t>
        </is>
      </c>
      <c r="C504" s="74" t="inlineStr">
        <is>
          <t>NLR0057</t>
        </is>
      </c>
      <c r="D504" s="74" t="inlineStr">
        <is>
          <t>Phù sa</t>
        </is>
      </c>
      <c r="E504" s="74" t="inlineStr"/>
      <c r="F504" s="74" t="n"/>
      <c r="G504" s="74" t="inlineStr">
        <is>
          <t>kg</t>
        </is>
      </c>
      <c r="H504" s="76" t="n">
        <v>39000</v>
      </c>
      <c r="I504" s="73" t="n">
        <v>45870</v>
      </c>
      <c r="J504" s="73" t="n">
        <v>45900</v>
      </c>
      <c r="K504" s="74" t="inlineStr">
        <is>
          <t>1</t>
        </is>
      </c>
      <c r="L504" s="74" t="inlineStr">
        <is>
          <t>NLR0057</t>
        </is>
      </c>
      <c r="M504" s="393" t="inlineStr">
        <is>
          <t>NLR0057</t>
        </is>
      </c>
    </row>
    <row r="505" ht="29.1" customHeight="1">
      <c r="A505" s="74" t="inlineStr">
        <is>
          <t>NLR0173</t>
        </is>
      </c>
      <c r="B505" s="74" t="inlineStr">
        <is>
          <t>Tỏi tây</t>
        </is>
      </c>
      <c r="C505" s="74" t="inlineStr">
        <is>
          <t>NLR0173</t>
        </is>
      </c>
      <c r="D505" s="74" t="inlineStr">
        <is>
          <t>Phù sa</t>
        </is>
      </c>
      <c r="E505" s="74" t="inlineStr"/>
      <c r="F505" s="74" t="n"/>
      <c r="G505" s="74" t="inlineStr">
        <is>
          <t>kg</t>
        </is>
      </c>
      <c r="H505" s="76" t="n">
        <v>35000</v>
      </c>
      <c r="I505" s="73" t="n">
        <v>45870</v>
      </c>
      <c r="J505" s="73" t="n">
        <v>45900</v>
      </c>
      <c r="K505" s="74" t="inlineStr">
        <is>
          <t>1</t>
        </is>
      </c>
      <c r="L505" s="74" t="inlineStr">
        <is>
          <t>NLR0173</t>
        </is>
      </c>
      <c r="M505" s="393" t="inlineStr">
        <is>
          <t>NLR0173</t>
        </is>
      </c>
    </row>
    <row r="506" ht="29.1" customHeight="1">
      <c r="A506" s="74" t="inlineStr">
        <is>
          <t>NLR0014</t>
        </is>
      </c>
      <c r="B506" s="74" t="inlineStr">
        <is>
          <t>Cà chua bi</t>
        </is>
      </c>
      <c r="C506" s="74" t="inlineStr">
        <is>
          <t>NLR0014</t>
        </is>
      </c>
      <c r="D506" s="74" t="inlineStr">
        <is>
          <t>Phù sa</t>
        </is>
      </c>
      <c r="E506" s="74" t="inlineStr"/>
      <c r="F506" s="74" t="n"/>
      <c r="G506" s="74" t="inlineStr">
        <is>
          <t>kg</t>
        </is>
      </c>
      <c r="H506" s="76" t="n">
        <v>30000</v>
      </c>
      <c r="I506" s="73" t="n">
        <v>45870</v>
      </c>
      <c r="J506" s="73" t="n">
        <v>45900</v>
      </c>
      <c r="K506" s="74" t="inlineStr">
        <is>
          <t>1</t>
        </is>
      </c>
      <c r="L506" s="74" t="inlineStr">
        <is>
          <t>NLR0014</t>
        </is>
      </c>
      <c r="M506" s="393" t="inlineStr">
        <is>
          <t>NLR0014</t>
        </is>
      </c>
    </row>
    <row r="507" ht="29.1" customHeight="1">
      <c r="A507" s="74" t="inlineStr">
        <is>
          <t>NLR0163</t>
        </is>
      </c>
      <c r="B507" s="74" t="inlineStr">
        <is>
          <t>Su hào</t>
        </is>
      </c>
      <c r="C507" s="74" t="inlineStr">
        <is>
          <t>NLR0163</t>
        </is>
      </c>
      <c r="D507" s="74" t="inlineStr">
        <is>
          <t>Phù sa</t>
        </is>
      </c>
      <c r="E507" s="74" t="inlineStr"/>
      <c r="F507" s="74" t="n"/>
      <c r="G507" s="74" t="inlineStr">
        <is>
          <t>kg</t>
        </is>
      </c>
      <c r="H507" s="76" t="n">
        <v>10000</v>
      </c>
      <c r="I507" s="73" t="n">
        <v>45870</v>
      </c>
      <c r="J507" s="73" t="n">
        <v>45900</v>
      </c>
      <c r="K507" s="74" t="inlineStr">
        <is>
          <t>1</t>
        </is>
      </c>
      <c r="L507" s="74" t="inlineStr">
        <is>
          <t>NLR0163</t>
        </is>
      </c>
      <c r="M507" s="393" t="inlineStr">
        <is>
          <t>NLR0163</t>
        </is>
      </c>
    </row>
    <row r="508" ht="29.1" customHeight="1">
      <c r="A508" s="74" t="inlineStr">
        <is>
          <t>NLR0108</t>
        </is>
      </c>
      <c r="B508" s="74" t="inlineStr">
        <is>
          <t>Lặc lè</t>
        </is>
      </c>
      <c r="C508" s="74" t="inlineStr">
        <is>
          <t>NLR0108</t>
        </is>
      </c>
      <c r="D508" s="74" t="inlineStr">
        <is>
          <t>Phù sa</t>
        </is>
      </c>
      <c r="E508" s="74" t="inlineStr"/>
      <c r="F508" s="74" t="n"/>
      <c r="G508" s="74" t="inlineStr">
        <is>
          <t>kg</t>
        </is>
      </c>
      <c r="H508" s="76" t="n">
        <v>40000</v>
      </c>
      <c r="I508" s="73" t="n">
        <v>45870</v>
      </c>
      <c r="J508" s="73" t="n">
        <v>45900</v>
      </c>
      <c r="K508" s="74" t="inlineStr">
        <is>
          <t>1</t>
        </is>
      </c>
      <c r="L508" s="74" t="inlineStr">
        <is>
          <t>NLR0108</t>
        </is>
      </c>
      <c r="M508" s="393" t="inlineStr">
        <is>
          <t>NLR0108</t>
        </is>
      </c>
    </row>
    <row r="509" ht="29.1" customHeight="1">
      <c r="A509" s="74" t="inlineStr">
        <is>
          <t>NLR0093</t>
        </is>
      </c>
      <c r="B509" s="74" t="inlineStr">
        <is>
          <t>Khế chua</t>
        </is>
      </c>
      <c r="C509" s="74" t="inlineStr">
        <is>
          <t>NLR0093</t>
        </is>
      </c>
      <c r="D509" s="74" t="inlineStr">
        <is>
          <t>Phù sa</t>
        </is>
      </c>
      <c r="E509" s="74" t="inlineStr"/>
      <c r="F509" s="74" t="n"/>
      <c r="G509" s="74" t="inlineStr">
        <is>
          <t>kg</t>
        </is>
      </c>
      <c r="H509" s="76" t="n">
        <v>27000</v>
      </c>
      <c r="I509" s="73" t="n">
        <v>45870</v>
      </c>
      <c r="J509" s="73" t="n">
        <v>45900</v>
      </c>
      <c r="K509" s="74" t="inlineStr">
        <is>
          <t>1</t>
        </is>
      </c>
      <c r="L509" s="74" t="inlineStr">
        <is>
          <t>NLR0093</t>
        </is>
      </c>
      <c r="M509" s="64" t="inlineStr">
        <is>
          <t>NLR0093</t>
        </is>
      </c>
    </row>
    <row r="510" ht="29.1" customHeight="1">
      <c r="A510" s="74" t="inlineStr">
        <is>
          <t>NLR0027</t>
        </is>
      </c>
      <c r="B510" s="74" t="inlineStr">
        <is>
          <t>Cải cúc kg</t>
        </is>
      </c>
      <c r="C510" s="74" t="inlineStr">
        <is>
          <t>NLR0027</t>
        </is>
      </c>
      <c r="D510" s="74" t="inlineStr">
        <is>
          <t>Phù sa</t>
        </is>
      </c>
      <c r="E510" s="74" t="inlineStr"/>
      <c r="F510" s="74" t="n"/>
      <c r="G510" s="74" t="inlineStr">
        <is>
          <t>kg</t>
        </is>
      </c>
      <c r="H510" s="76" t="n">
        <v>25000</v>
      </c>
      <c r="I510" s="73" t="n">
        <v>45870</v>
      </c>
      <c r="J510" s="73" t="n">
        <v>45900</v>
      </c>
      <c r="K510" s="74" t="inlineStr">
        <is>
          <t>1</t>
        </is>
      </c>
      <c r="L510" s="74" t="inlineStr">
        <is>
          <t>NLR0027</t>
        </is>
      </c>
      <c r="M510" s="393" t="inlineStr">
        <is>
          <t>NLR0027</t>
        </is>
      </c>
    </row>
    <row r="511" ht="29.1" customHeight="1">
      <c r="A511" s="74" t="inlineStr">
        <is>
          <t>NLR0319</t>
        </is>
      </c>
      <c r="B511" s="74" t="inlineStr">
        <is>
          <t>Măng lá 15-16 cái/kg</t>
        </is>
      </c>
      <c r="C511" s="74" t="inlineStr">
        <is>
          <t>NLR0319</t>
        </is>
      </c>
      <c r="D511" s="74" t="inlineStr">
        <is>
          <t>Phù sa</t>
        </is>
      </c>
      <c r="E511" s="74" t="inlineStr"/>
      <c r="F511" s="74" t="n"/>
      <c r="G511" s="74" t="inlineStr">
        <is>
          <t>kg</t>
        </is>
      </c>
      <c r="H511" s="76" t="n">
        <v>31000</v>
      </c>
      <c r="I511" s="73" t="n">
        <v>45870</v>
      </c>
      <c r="J511" s="73" t="n">
        <v>45900</v>
      </c>
      <c r="K511" s="74" t="inlineStr">
        <is>
          <t>1</t>
        </is>
      </c>
      <c r="L511" s="74" t="inlineStr">
        <is>
          <t>NLR0319</t>
        </is>
      </c>
      <c r="M511" s="393" t="inlineStr">
        <is>
          <t>NLR0319</t>
        </is>
      </c>
    </row>
    <row r="512" ht="29.1" customHeight="1">
      <c r="A512" s="74" t="inlineStr">
        <is>
          <t>NLR0065</t>
        </is>
      </c>
      <c r="B512" s="74" t="inlineStr">
        <is>
          <t>Dứa quả xanh (kg)</t>
        </is>
      </c>
      <c r="C512" s="74" t="inlineStr">
        <is>
          <t>NLR0065</t>
        </is>
      </c>
      <c r="D512" s="74" t="inlineStr">
        <is>
          <t>Phù sa</t>
        </is>
      </c>
      <c r="E512" s="74" t="inlineStr"/>
      <c r="F512" s="74" t="n"/>
      <c r="G512" s="74" t="inlineStr">
        <is>
          <t>kg</t>
        </is>
      </c>
      <c r="H512" s="76" t="n">
        <v>23000</v>
      </c>
      <c r="I512" s="73" t="n">
        <v>45870</v>
      </c>
      <c r="J512" s="73" t="n">
        <v>45900</v>
      </c>
      <c r="K512" s="74" t="inlineStr">
        <is>
          <t>1</t>
        </is>
      </c>
      <c r="L512" s="74" t="inlineStr">
        <is>
          <t>NLR0065</t>
        </is>
      </c>
      <c r="M512" s="393" t="inlineStr">
        <is>
          <t>NLR0065</t>
        </is>
      </c>
    </row>
    <row r="513" ht="29.1" customHeight="1">
      <c r="A513" s="74" t="inlineStr">
        <is>
          <t>NLR0166</t>
        </is>
      </c>
      <c r="B513" s="74" t="inlineStr">
        <is>
          <t>Su su sơ chế</t>
        </is>
      </c>
      <c r="C513" s="74" t="inlineStr">
        <is>
          <t>NLR0166</t>
        </is>
      </c>
      <c r="D513" s="74" t="inlineStr">
        <is>
          <t>Phù sa</t>
        </is>
      </c>
      <c r="E513" s="74" t="inlineStr"/>
      <c r="F513" s="74" t="n"/>
      <c r="G513" s="74" t="inlineStr">
        <is>
          <t>kg</t>
        </is>
      </c>
      <c r="H513" s="76" t="n">
        <v>13500</v>
      </c>
      <c r="I513" s="73" t="n">
        <v>45870</v>
      </c>
      <c r="J513" s="73" t="n">
        <v>45900</v>
      </c>
      <c r="K513" s="74" t="inlineStr">
        <is>
          <t>1</t>
        </is>
      </c>
      <c r="L513" s="74" t="inlineStr">
        <is>
          <t>NLR0166</t>
        </is>
      </c>
      <c r="M513" s="393" t="inlineStr">
        <is>
          <t>NLR0166</t>
        </is>
      </c>
    </row>
    <row r="514" ht="29.1" customHeight="1">
      <c r="A514" s="74" t="inlineStr">
        <is>
          <t>NLR0095</t>
        </is>
      </c>
      <c r="B514" s="74" t="inlineStr">
        <is>
          <t>Khoai lang ruột vàng</t>
        </is>
      </c>
      <c r="C514" s="74" t="inlineStr">
        <is>
          <t>NLR0095</t>
        </is>
      </c>
      <c r="D514" s="74" t="inlineStr">
        <is>
          <t>Phù sa</t>
        </is>
      </c>
      <c r="E514" s="74" t="inlineStr"/>
      <c r="F514" s="74" t="n"/>
      <c r="G514" s="74" t="inlineStr">
        <is>
          <t>kg</t>
        </is>
      </c>
      <c r="H514" s="76" t="n">
        <v>30000</v>
      </c>
      <c r="I514" s="73" t="n">
        <v>45870</v>
      </c>
      <c r="J514" s="73" t="n">
        <v>45900</v>
      </c>
      <c r="K514" s="74" t="inlineStr">
        <is>
          <t>1</t>
        </is>
      </c>
      <c r="L514" s="74" t="inlineStr">
        <is>
          <t>NLR0095</t>
        </is>
      </c>
      <c r="M514" s="393" t="inlineStr">
        <is>
          <t>NLR0095</t>
        </is>
      </c>
    </row>
    <row r="515" ht="29.1" customHeight="1">
      <c r="A515" s="74" t="inlineStr">
        <is>
          <t>NLR0101</t>
        </is>
      </c>
      <c r="B515" s="74" t="inlineStr">
        <is>
          <t>Khoai tây sơ chế</t>
        </is>
      </c>
      <c r="C515" s="74" t="inlineStr">
        <is>
          <t>NLR0101</t>
        </is>
      </c>
      <c r="D515" s="74" t="inlineStr">
        <is>
          <t>Phù sa</t>
        </is>
      </c>
      <c r="E515" s="74" t="inlineStr"/>
      <c r="F515" s="74" t="n"/>
      <c r="G515" s="74" t="inlineStr">
        <is>
          <t>kg</t>
        </is>
      </c>
      <c r="H515" s="76" t="n">
        <v>16500</v>
      </c>
      <c r="I515" s="73" t="n">
        <v>45870</v>
      </c>
      <c r="J515" s="73" t="n">
        <v>45900</v>
      </c>
      <c r="K515" s="74" t="inlineStr">
        <is>
          <t>1</t>
        </is>
      </c>
      <c r="L515" s="74" t="inlineStr">
        <is>
          <t>NLR0101</t>
        </is>
      </c>
      <c r="M515" s="393" t="inlineStr">
        <is>
          <t>NLR0101</t>
        </is>
      </c>
    </row>
    <row r="516" ht="29.1" customHeight="1">
      <c r="A516" s="74" t="inlineStr">
        <is>
          <t>NLR0128</t>
        </is>
      </c>
      <c r="B516" s="74" t="inlineStr">
        <is>
          <t>Củ sen</t>
        </is>
      </c>
      <c r="C516" s="74" t="inlineStr">
        <is>
          <t>NLR0128</t>
        </is>
      </c>
      <c r="D516" s="74" t="inlineStr">
        <is>
          <t>Phù sa</t>
        </is>
      </c>
      <c r="E516" s="74" t="inlineStr"/>
      <c r="F516" s="74" t="n"/>
      <c r="G516" s="74" t="inlineStr">
        <is>
          <t>kg</t>
        </is>
      </c>
      <c r="H516" s="76" t="n">
        <v>60000</v>
      </c>
      <c r="I516" s="73" t="n">
        <v>45870</v>
      </c>
      <c r="J516" s="73" t="n">
        <v>45900</v>
      </c>
      <c r="K516" s="74" t="inlineStr">
        <is>
          <t>1</t>
        </is>
      </c>
      <c r="L516" s="74" t="inlineStr">
        <is>
          <t>NLR0128</t>
        </is>
      </c>
      <c r="M516" s="393" t="inlineStr">
        <is>
          <t>NLR0128</t>
        </is>
      </c>
    </row>
    <row r="517" ht="29.1" customHeight="1">
      <c r="A517" s="74" t="inlineStr">
        <is>
          <t>NLR0129</t>
        </is>
      </c>
      <c r="B517" s="74" t="inlineStr">
        <is>
          <t>Ngọn su su (kg)</t>
        </is>
      </c>
      <c r="C517" s="74" t="inlineStr">
        <is>
          <t>NLR0129</t>
        </is>
      </c>
      <c r="D517" s="74" t="inlineStr">
        <is>
          <t>Phù sa</t>
        </is>
      </c>
      <c r="E517" s="74" t="inlineStr"/>
      <c r="F517" s="74" t="n"/>
      <c r="G517" s="74" t="inlineStr">
        <is>
          <t>kg</t>
        </is>
      </c>
      <c r="H517" s="76" t="n">
        <v>27000</v>
      </c>
      <c r="I517" s="73" t="n">
        <v>45870</v>
      </c>
      <c r="J517" s="73" t="n">
        <v>45900</v>
      </c>
      <c r="K517" s="74" t="inlineStr">
        <is>
          <t>1</t>
        </is>
      </c>
      <c r="L517" s="74" t="inlineStr">
        <is>
          <t>NLR0129</t>
        </is>
      </c>
      <c r="M517" s="393" t="inlineStr">
        <is>
          <t>NLR0129</t>
        </is>
      </c>
    </row>
    <row r="518" ht="29.1" customHeight="1">
      <c r="A518" s="74" t="inlineStr">
        <is>
          <t>NLT0099</t>
        </is>
      </c>
      <c r="B518" s="74" t="inlineStr">
        <is>
          <t>Trứng cút</t>
        </is>
      </c>
      <c r="C518" s="74" t="inlineStr">
        <is>
          <t>NLT0099</t>
        </is>
      </c>
      <c r="D518" s="74" t="inlineStr">
        <is>
          <t>Phù sa</t>
        </is>
      </c>
      <c r="E518" s="74" t="inlineStr"/>
      <c r="F518" s="74" t="n"/>
      <c r="G518" s="74" t="inlineStr">
        <is>
          <t>kg</t>
        </is>
      </c>
      <c r="H518" s="76" t="n">
        <v>750</v>
      </c>
      <c r="I518" s="73" t="n">
        <v>45870</v>
      </c>
      <c r="J518" s="73" t="n">
        <v>45900</v>
      </c>
      <c r="K518" s="74" t="inlineStr">
        <is>
          <t>1</t>
        </is>
      </c>
      <c r="L518" s="74" t="inlineStr">
        <is>
          <t>NLT0099</t>
        </is>
      </c>
      <c r="M518" s="64" t="inlineStr">
        <is>
          <t>NLT0099</t>
        </is>
      </c>
    </row>
    <row r="519" ht="29.1" customHeight="1">
      <c r="A519" s="74" t="inlineStr">
        <is>
          <t>NLT0100</t>
        </is>
      </c>
      <c r="B519" s="74" t="inlineStr">
        <is>
          <t>Trứng cút bóc vỏ</t>
        </is>
      </c>
      <c r="C519" s="74" t="inlineStr">
        <is>
          <t>NLT0100</t>
        </is>
      </c>
      <c r="D519" s="74" t="inlineStr">
        <is>
          <t>Phù sa</t>
        </is>
      </c>
      <c r="E519" s="74" t="inlineStr"/>
      <c r="F519" s="74" t="n"/>
      <c r="G519" s="74" t="inlineStr">
        <is>
          <t>kg</t>
        </is>
      </c>
      <c r="H519" s="76" t="n">
        <v>850</v>
      </c>
      <c r="I519" s="73" t="n">
        <v>45870</v>
      </c>
      <c r="J519" s="73" t="n">
        <v>45900</v>
      </c>
      <c r="K519" s="74" t="inlineStr">
        <is>
          <t>1</t>
        </is>
      </c>
      <c r="L519" s="74" t="inlineStr">
        <is>
          <t>NLT0100</t>
        </is>
      </c>
      <c r="M519" s="393" t="inlineStr">
        <is>
          <t>NLT0100</t>
        </is>
      </c>
    </row>
    <row r="520" ht="29.1" customHeight="1">
      <c r="A520" s="74" t="inlineStr">
        <is>
          <t>NLT0105</t>
        </is>
      </c>
      <c r="B520" s="74" t="inlineStr">
        <is>
          <t>Trứng vịt lộn</t>
        </is>
      </c>
      <c r="C520" s="74" t="inlineStr">
        <is>
          <t>NLT0105</t>
        </is>
      </c>
      <c r="D520" s="74" t="inlineStr">
        <is>
          <t>Phù sa</t>
        </is>
      </c>
      <c r="E520" s="74" t="inlineStr"/>
      <c r="F520" s="74" t="n"/>
      <c r="G520" s="74" t="inlineStr">
        <is>
          <t>kg</t>
        </is>
      </c>
      <c r="H520" s="76" t="n">
        <v>4600</v>
      </c>
      <c r="I520" s="73" t="n">
        <v>45870</v>
      </c>
      <c r="J520" s="73" t="n">
        <v>45900</v>
      </c>
      <c r="K520" s="74" t="inlineStr">
        <is>
          <t>1</t>
        </is>
      </c>
      <c r="L520" s="74" t="inlineStr">
        <is>
          <t>NLT0105</t>
        </is>
      </c>
      <c r="M520" s="393" t="inlineStr">
        <is>
          <t>NLT0105</t>
        </is>
      </c>
    </row>
    <row r="521" ht="29.1" customHeight="1">
      <c r="A521" s="74" t="inlineStr">
        <is>
          <t>NLT0181</t>
        </is>
      </c>
      <c r="B521" s="74" t="inlineStr">
        <is>
          <t>Trứng gà CN 1,9-2.1kg/khay</t>
        </is>
      </c>
      <c r="C521" s="74" t="inlineStr">
        <is>
          <t>NLT0181</t>
        </is>
      </c>
      <c r="D521" s="74" t="inlineStr">
        <is>
          <t>Phù sa</t>
        </is>
      </c>
      <c r="E521" s="74" t="inlineStr"/>
      <c r="F521" s="74" t="n"/>
      <c r="G521" s="74" t="inlineStr">
        <is>
          <t>kg</t>
        </is>
      </c>
      <c r="H521" s="76" t="n">
        <v>2600</v>
      </c>
      <c r="I521" s="73" t="n">
        <v>45870</v>
      </c>
      <c r="J521" s="73" t="n">
        <v>45900</v>
      </c>
      <c r="K521" s="74" t="inlineStr">
        <is>
          <t>1</t>
        </is>
      </c>
      <c r="L521" s="74" t="inlineStr">
        <is>
          <t>NLT0181</t>
        </is>
      </c>
      <c r="M521" s="393" t="inlineStr">
        <is>
          <t>NLT0181</t>
        </is>
      </c>
    </row>
    <row r="522" ht="29.1" customHeight="1">
      <c r="A522" s="74" t="inlineStr">
        <is>
          <t>NLT0191</t>
        </is>
      </c>
      <c r="B522" s="74" t="inlineStr">
        <is>
          <t>Trứng vịt 1.9-2kg/khay</t>
        </is>
      </c>
      <c r="C522" s="74" t="inlineStr">
        <is>
          <t>NLT0191</t>
        </is>
      </c>
      <c r="D522" s="74" t="inlineStr">
        <is>
          <t>Phù sa</t>
        </is>
      </c>
      <c r="E522" s="74" t="inlineStr"/>
      <c r="F522" s="74" t="n"/>
      <c r="G522" s="74" t="inlineStr">
        <is>
          <t>kg</t>
        </is>
      </c>
      <c r="H522" s="76" t="n">
        <v>3500</v>
      </c>
      <c r="I522" s="73" t="n">
        <v>45870</v>
      </c>
      <c r="J522" s="73" t="n">
        <v>45900</v>
      </c>
      <c r="K522" s="74" t="inlineStr">
        <is>
          <t>1</t>
        </is>
      </c>
      <c r="L522" s="74" t="inlineStr">
        <is>
          <t>NLT0191</t>
        </is>
      </c>
      <c r="M522" s="393" t="inlineStr">
        <is>
          <t>NLT0191</t>
        </is>
      </c>
    </row>
    <row r="523" ht="29.1" customHeight="1">
      <c r="A523" s="74" t="inlineStr">
        <is>
          <t>NLG0001</t>
        </is>
      </c>
      <c r="B523" s="74" t="inlineStr">
        <is>
          <t>Bún</t>
        </is>
      </c>
      <c r="C523" s="74" t="inlineStr">
        <is>
          <t>NLG0001</t>
        </is>
      </c>
      <c r="D523" s="74" t="inlineStr">
        <is>
          <t>Phù sa</t>
        </is>
      </c>
      <c r="E523" s="74" t="inlineStr"/>
      <c r="F523" s="74" t="n"/>
      <c r="G523" s="74" t="inlineStr">
        <is>
          <t>kg</t>
        </is>
      </c>
      <c r="H523" s="76" t="n">
        <v>17000</v>
      </c>
      <c r="I523" s="73" t="n">
        <v>45870</v>
      </c>
      <c r="J523" s="73" t="n">
        <v>45900</v>
      </c>
      <c r="K523" s="74" t="inlineStr">
        <is>
          <t>1</t>
        </is>
      </c>
      <c r="L523" s="74" t="inlineStr">
        <is>
          <t>NLG0001</t>
        </is>
      </c>
      <c r="M523" s="393" t="inlineStr">
        <is>
          <t>NLG0001</t>
        </is>
      </c>
    </row>
    <row r="524" ht="29.1" customHeight="1">
      <c r="A524" s="74" t="inlineStr">
        <is>
          <t>NLG0031</t>
        </is>
      </c>
      <c r="B524" s="74" t="inlineStr">
        <is>
          <t>Phở tươi</t>
        </is>
      </c>
      <c r="C524" s="74" t="inlineStr">
        <is>
          <t>NLG0031</t>
        </is>
      </c>
      <c r="D524" s="74" t="inlineStr">
        <is>
          <t>Phù sa</t>
        </is>
      </c>
      <c r="E524" s="74" t="inlineStr"/>
      <c r="F524" s="74" t="n"/>
      <c r="G524" s="74" t="inlineStr">
        <is>
          <t>kg</t>
        </is>
      </c>
      <c r="H524" s="76" t="n">
        <v>17000</v>
      </c>
      <c r="I524" s="73" t="n">
        <v>45870</v>
      </c>
      <c r="J524" s="73" t="n">
        <v>45900</v>
      </c>
      <c r="K524" s="74" t="inlineStr">
        <is>
          <t>1</t>
        </is>
      </c>
      <c r="L524" s="74" t="inlineStr">
        <is>
          <t>NLG0031</t>
        </is>
      </c>
      <c r="M524" s="393" t="inlineStr">
        <is>
          <t>NLG0031</t>
        </is>
      </c>
    </row>
    <row r="525" ht="29.1" customHeight="1">
      <c r="A525" s="74" t="inlineStr">
        <is>
          <t>NLG0051</t>
        </is>
      </c>
      <c r="B525" s="74" t="inlineStr">
        <is>
          <t>Bánh phở</t>
        </is>
      </c>
      <c r="C525" s="74" t="inlineStr">
        <is>
          <t>NLG0051</t>
        </is>
      </c>
      <c r="D525" s="74" t="inlineStr">
        <is>
          <t>Phù sa</t>
        </is>
      </c>
      <c r="E525" s="74" t="inlineStr"/>
      <c r="F525" s="74" t="n"/>
      <c r="G525" s="74" t="inlineStr">
        <is>
          <t>kg</t>
        </is>
      </c>
      <c r="H525" s="76" t="n">
        <v>17000</v>
      </c>
      <c r="I525" s="73" t="n">
        <v>45870</v>
      </c>
      <c r="J525" s="73" t="n">
        <v>45900</v>
      </c>
      <c r="K525" s="74" t="inlineStr">
        <is>
          <t>1</t>
        </is>
      </c>
      <c r="L525" s="74" t="inlineStr">
        <is>
          <t>NLG0051</t>
        </is>
      </c>
      <c r="M525" s="64" t="inlineStr">
        <is>
          <t>NLG0051</t>
        </is>
      </c>
    </row>
    <row r="526" ht="29.1" customHeight="1">
      <c r="A526" s="74" t="inlineStr">
        <is>
          <t>NLG0163</t>
        </is>
      </c>
      <c r="B526" s="74" t="inlineStr">
        <is>
          <t>Bún tươi sợi to</t>
        </is>
      </c>
      <c r="C526" s="74" t="inlineStr">
        <is>
          <t>NLG0163</t>
        </is>
      </c>
      <c r="D526" s="74" t="inlineStr">
        <is>
          <t>Phù sa</t>
        </is>
      </c>
      <c r="E526" s="74" t="inlineStr"/>
      <c r="F526" s="74" t="n"/>
      <c r="G526" s="74" t="inlineStr">
        <is>
          <t>kg</t>
        </is>
      </c>
      <c r="H526" s="76" t="n">
        <v>12000</v>
      </c>
      <c r="I526" s="73" t="n">
        <v>45870</v>
      </c>
      <c r="J526" s="73" t="n">
        <v>45900</v>
      </c>
      <c r="K526" s="74" t="inlineStr">
        <is>
          <t>1</t>
        </is>
      </c>
      <c r="L526" s="74" t="inlineStr">
        <is>
          <t>NLG0163</t>
        </is>
      </c>
      <c r="M526" s="393" t="inlineStr">
        <is>
          <t>NLG0163</t>
        </is>
      </c>
    </row>
    <row r="527" ht="29.1" customHeight="1">
      <c r="A527" s="74" t="inlineStr">
        <is>
          <t>NPG0361</t>
        </is>
      </c>
      <c r="B527" s="74" t="inlineStr">
        <is>
          <t>Quẩy</t>
        </is>
      </c>
      <c r="C527" s="74" t="inlineStr">
        <is>
          <t>NPG0361</t>
        </is>
      </c>
      <c r="D527" s="74" t="inlineStr">
        <is>
          <t>Phù sa</t>
        </is>
      </c>
      <c r="E527" s="74" t="inlineStr"/>
      <c r="F527" s="74" t="inlineStr">
        <is>
          <t xml:space="preserve">ải </t>
        </is>
      </c>
      <c r="G527" s="74" t="inlineStr">
        <is>
          <t>kg</t>
        </is>
      </c>
      <c r="H527" s="76" t="n">
        <v>950</v>
      </c>
      <c r="I527" s="73" t="n">
        <v>45870</v>
      </c>
      <c r="J527" s="73" t="n">
        <v>45900</v>
      </c>
      <c r="K527" s="74" t="inlineStr">
        <is>
          <t>1</t>
        </is>
      </c>
      <c r="L527" s="74" t="inlineStr">
        <is>
          <t>NPG0361</t>
        </is>
      </c>
      <c r="M527" s="393" t="inlineStr">
        <is>
          <t>NPG0361</t>
        </is>
      </c>
    </row>
    <row r="528" ht="29.1" customHeight="1">
      <c r="A528" s="74" t="inlineStr">
        <is>
          <t>NLT0094</t>
        </is>
      </c>
      <c r="B528" s="74" t="inlineStr">
        <is>
          <t>Thịt vịt sơ chế</t>
        </is>
      </c>
      <c r="C528" s="74" t="inlineStr">
        <is>
          <t>NLT0094</t>
        </is>
      </c>
      <c r="D528" s="74" t="inlineStr">
        <is>
          <t>Phù sa</t>
        </is>
      </c>
      <c r="E528" s="74" t="inlineStr"/>
      <c r="F528" s="74" t="n"/>
      <c r="G528" s="74" t="inlineStr">
        <is>
          <t>kg</t>
        </is>
      </c>
      <c r="H528" s="76" t="n">
        <v>85000</v>
      </c>
      <c r="I528" s="73" t="n">
        <v>45870</v>
      </c>
      <c r="J528" s="73" t="n">
        <v>45900</v>
      </c>
      <c r="K528" s="74" t="inlineStr">
        <is>
          <t>1</t>
        </is>
      </c>
      <c r="L528" s="74" t="inlineStr">
        <is>
          <t>NLT0094</t>
        </is>
      </c>
      <c r="M528" s="393" t="inlineStr">
        <is>
          <t>NLT0094</t>
        </is>
      </c>
    </row>
    <row r="529" ht="29.1" customHeight="1">
      <c r="A529" s="74" t="inlineStr">
        <is>
          <t>NLT0063</t>
        </is>
      </c>
      <c r="B529" s="74" t="inlineStr">
        <is>
          <t>Thịt gà CN không đầu, cổ cánh &gt;1.8kg/con</t>
        </is>
      </c>
      <c r="C529" s="74" t="inlineStr">
        <is>
          <t>NLT0063</t>
        </is>
      </c>
      <c r="D529" s="74" t="inlineStr">
        <is>
          <t>Phù sa</t>
        </is>
      </c>
      <c r="E529" s="74" t="inlineStr"/>
      <c r="F529" s="74" t="n"/>
      <c r="G529" s="74" t="inlineStr">
        <is>
          <t>kg</t>
        </is>
      </c>
      <c r="H529" s="76" t="n">
        <v>68000</v>
      </c>
      <c r="I529" s="73" t="n">
        <v>45870</v>
      </c>
      <c r="J529" s="73" t="n">
        <v>45900</v>
      </c>
      <c r="K529" s="74" t="inlineStr">
        <is>
          <t>1</t>
        </is>
      </c>
      <c r="L529" s="74" t="inlineStr">
        <is>
          <t>NLT0063</t>
        </is>
      </c>
      <c r="M529" s="393" t="inlineStr">
        <is>
          <t>NLT0063</t>
        </is>
      </c>
    </row>
    <row r="530" ht="29.1" customHeight="1">
      <c r="A530" s="74" t="inlineStr">
        <is>
          <t>NLT0107</t>
        </is>
      </c>
      <c r="B530" s="74" t="inlineStr">
        <is>
          <t>Ức gà không xương không ra</t>
        </is>
      </c>
      <c r="C530" s="74" t="inlineStr">
        <is>
          <t>NLT0107</t>
        </is>
      </c>
      <c r="D530" s="74" t="inlineStr">
        <is>
          <t>Phù sa</t>
        </is>
      </c>
      <c r="E530" s="74" t="inlineStr"/>
      <c r="F530" s="74" t="n"/>
      <c r="G530" s="74" t="inlineStr">
        <is>
          <t>kg</t>
        </is>
      </c>
      <c r="H530" s="76" t="n">
        <v>80000</v>
      </c>
      <c r="I530" s="73" t="n">
        <v>45870</v>
      </c>
      <c r="J530" s="73" t="n">
        <v>45900</v>
      </c>
      <c r="K530" s="74" t="inlineStr">
        <is>
          <t>1</t>
        </is>
      </c>
      <c r="L530" s="74" t="inlineStr">
        <is>
          <t>NLT0107</t>
        </is>
      </c>
      <c r="M530" s="64" t="inlineStr">
        <is>
          <t>NLT0107</t>
        </is>
      </c>
    </row>
    <row r="531" ht="29.1" customHeight="1">
      <c r="A531" s="74" t="inlineStr">
        <is>
          <t>NLT0001</t>
        </is>
      </c>
      <c r="B531" s="74" t="inlineStr">
        <is>
          <t>Cánh gà CN tươi 7-8 cái/kg</t>
        </is>
      </c>
      <c r="C531" s="74" t="inlineStr">
        <is>
          <t>NLT0001</t>
        </is>
      </c>
      <c r="D531" s="74" t="inlineStr">
        <is>
          <t>Phù sa</t>
        </is>
      </c>
      <c r="E531" s="74" t="inlineStr"/>
      <c r="F531" s="74" t="n"/>
      <c r="G531" s="74" t="inlineStr">
        <is>
          <t>kg</t>
        </is>
      </c>
      <c r="H531" s="76" t="n">
        <v>80000</v>
      </c>
      <c r="I531" s="73" t="n">
        <v>45870</v>
      </c>
      <c r="J531" s="73" t="n">
        <v>45900</v>
      </c>
      <c r="K531" s="74" t="inlineStr">
        <is>
          <t>1</t>
        </is>
      </c>
      <c r="L531" s="74" t="inlineStr">
        <is>
          <t>NLT0001</t>
        </is>
      </c>
      <c r="M531" s="393" t="inlineStr">
        <is>
          <t>NLT0001</t>
        </is>
      </c>
    </row>
    <row r="532" ht="29.1" customHeight="1">
      <c r="A532" s="74" t="inlineStr">
        <is>
          <t>NLT0158</t>
        </is>
      </c>
      <c r="B532" s="74" t="inlineStr">
        <is>
          <t>Đùi gà 1/4 CN</t>
        </is>
      </c>
      <c r="C532" s="74" t="inlineStr">
        <is>
          <t>NLT0158</t>
        </is>
      </c>
      <c r="D532" s="74" t="inlineStr">
        <is>
          <t>Phù sa</t>
        </is>
      </c>
      <c r="E532" s="74" t="inlineStr"/>
      <c r="F532" s="74" t="n"/>
      <c r="G532" s="74" t="inlineStr">
        <is>
          <t>kg</t>
        </is>
      </c>
      <c r="H532" s="76" t="n">
        <v>85000</v>
      </c>
      <c r="I532" s="73" t="n">
        <v>45870</v>
      </c>
      <c r="J532" s="73" t="n">
        <v>45900</v>
      </c>
      <c r="K532" s="74" t="inlineStr">
        <is>
          <t>1</t>
        </is>
      </c>
      <c r="L532" s="74" t="inlineStr">
        <is>
          <t>NLT0158</t>
        </is>
      </c>
      <c r="M532" s="393" t="inlineStr">
        <is>
          <t>NLT0158</t>
        </is>
      </c>
    </row>
    <row r="533" ht="29.1" customHeight="1">
      <c r="A533" s="74" t="inlineStr">
        <is>
          <t>NLT0070</t>
        </is>
      </c>
      <c r="B533" s="74" t="inlineStr">
        <is>
          <t>Thịt gà ta sơ chế 1-1.3kg/con</t>
        </is>
      </c>
      <c r="C533" s="74" t="inlineStr">
        <is>
          <t>NLT0070</t>
        </is>
      </c>
      <c r="D533" s="74" t="inlineStr">
        <is>
          <t>Phù sa</t>
        </is>
      </c>
      <c r="E533" s="74" t="inlineStr"/>
      <c r="F533" s="74" t="n"/>
      <c r="G533" s="74" t="inlineStr">
        <is>
          <t>kg</t>
        </is>
      </c>
      <c r="H533" s="76" t="n">
        <v>117000</v>
      </c>
      <c r="I533" s="73" t="n">
        <v>45870</v>
      </c>
      <c r="J533" s="73" t="n">
        <v>45900</v>
      </c>
      <c r="K533" s="74" t="inlineStr">
        <is>
          <t>1</t>
        </is>
      </c>
      <c r="L533" s="74" t="inlineStr">
        <is>
          <t>NLT0070</t>
        </is>
      </c>
      <c r="M533" s="64" t="inlineStr">
        <is>
          <t>NLT0070</t>
        </is>
      </c>
    </row>
    <row r="534" ht="29.1" customHeight="1">
      <c r="A534" s="74" t="inlineStr">
        <is>
          <t>NLT0046</t>
        </is>
      </c>
      <c r="B534" s="74" t="inlineStr">
        <is>
          <t>Thịt ba chỉ</t>
        </is>
      </c>
      <c r="C534" s="74" t="inlineStr">
        <is>
          <t>NLT0046</t>
        </is>
      </c>
      <c r="D534" s="74" t="inlineStr">
        <is>
          <t>Phù sa</t>
        </is>
      </c>
      <c r="E534" s="74" t="inlineStr"/>
      <c r="F534" s="74" t="n"/>
      <c r="G534" s="74" t="inlineStr">
        <is>
          <t>kg</t>
        </is>
      </c>
      <c r="H534" s="76" t="n">
        <v>140000</v>
      </c>
      <c r="I534" s="73" t="n">
        <v>45870</v>
      </c>
      <c r="J534" s="73" t="n">
        <v>45900</v>
      </c>
      <c r="K534" s="74" t="inlineStr">
        <is>
          <t>1</t>
        </is>
      </c>
      <c r="L534" s="74" t="inlineStr">
        <is>
          <t>NLT0046</t>
        </is>
      </c>
      <c r="M534" s="393" t="inlineStr">
        <is>
          <t>NLT0046</t>
        </is>
      </c>
    </row>
    <row r="535" ht="29.1" customHeight="1">
      <c r="A535" s="74" t="inlineStr">
        <is>
          <t>NLT0057</t>
        </is>
      </c>
      <c r="B535" s="74" t="inlineStr">
        <is>
          <t>Thịt chân giò rút xương</t>
        </is>
      </c>
      <c r="C535" s="74" t="inlineStr">
        <is>
          <t>NLT0057</t>
        </is>
      </c>
      <c r="D535" s="74" t="inlineStr">
        <is>
          <t>Phù sa</t>
        </is>
      </c>
      <c r="E535" s="74" t="inlineStr"/>
      <c r="F535" s="74" t="n"/>
      <c r="G535" s="74" t="inlineStr">
        <is>
          <t>kg</t>
        </is>
      </c>
      <c r="H535" s="76" t="n">
        <v>128000</v>
      </c>
      <c r="I535" s="73" t="n">
        <v>45870</v>
      </c>
      <c r="J535" s="73" t="n">
        <v>45900</v>
      </c>
      <c r="K535" s="74" t="inlineStr">
        <is>
          <t>1</t>
        </is>
      </c>
      <c r="L535" s="74" t="inlineStr">
        <is>
          <t>NLT0057</t>
        </is>
      </c>
      <c r="M535" s="393" t="inlineStr">
        <is>
          <t>NLT0057</t>
        </is>
      </c>
    </row>
    <row r="536" ht="29.1" customHeight="1">
      <c r="A536" s="74" t="inlineStr">
        <is>
          <t>NLT0076</t>
        </is>
      </c>
      <c r="B536" s="74" t="inlineStr">
        <is>
          <t>Thịt lợn mông sấn</t>
        </is>
      </c>
      <c r="C536" s="74" t="inlineStr">
        <is>
          <t>NLT0076</t>
        </is>
      </c>
      <c r="D536" s="74" t="inlineStr">
        <is>
          <t>Phù sa</t>
        </is>
      </c>
      <c r="E536" s="74" t="inlineStr"/>
      <c r="F536" s="74" t="n"/>
      <c r="G536" s="74" t="inlineStr">
        <is>
          <t>kg</t>
        </is>
      </c>
      <c r="H536" s="76" t="n">
        <v>110000</v>
      </c>
      <c r="I536" s="73" t="n">
        <v>45870</v>
      </c>
      <c r="J536" s="73" t="n">
        <v>45900</v>
      </c>
      <c r="K536" s="74" t="inlineStr">
        <is>
          <t>1</t>
        </is>
      </c>
      <c r="L536" s="74" t="inlineStr">
        <is>
          <t>NLT0076</t>
        </is>
      </c>
      <c r="M536" s="393" t="inlineStr">
        <is>
          <t>NLT0076</t>
        </is>
      </c>
    </row>
    <row r="537" ht="29.1" customHeight="1">
      <c r="A537" s="74" t="inlineStr">
        <is>
          <t>NLT0078</t>
        </is>
      </c>
      <c r="B537" s="74" t="inlineStr">
        <is>
          <t>Thịt mỡ lợn</t>
        </is>
      </c>
      <c r="C537" s="74" t="inlineStr">
        <is>
          <t>NLT0078</t>
        </is>
      </c>
      <c r="D537" s="74" t="inlineStr">
        <is>
          <t>Phù sa</t>
        </is>
      </c>
      <c r="E537" s="74" t="inlineStr"/>
      <c r="F537" s="74" t="n"/>
      <c r="G537" s="74" t="inlineStr">
        <is>
          <t>kg</t>
        </is>
      </c>
      <c r="H537" s="76" t="n">
        <v>80000</v>
      </c>
      <c r="I537" s="73" t="n">
        <v>45870</v>
      </c>
      <c r="J537" s="73" t="n">
        <v>45900</v>
      </c>
      <c r="K537" s="74" t="inlineStr">
        <is>
          <t>1</t>
        </is>
      </c>
      <c r="L537" s="74" t="inlineStr">
        <is>
          <t>NLT0078</t>
        </is>
      </c>
      <c r="M537" s="393" t="inlineStr">
        <is>
          <t>NLT0078</t>
        </is>
      </c>
    </row>
    <row r="538" ht="29.1" customHeight="1">
      <c r="A538" s="74" t="inlineStr">
        <is>
          <t>NLT0080</t>
        </is>
      </c>
      <c r="B538" s="74" t="inlineStr">
        <is>
          <t>Thịt nạc mông</t>
        </is>
      </c>
      <c r="C538" s="74" t="inlineStr">
        <is>
          <t>NLT0080</t>
        </is>
      </c>
      <c r="D538" s="74" t="inlineStr">
        <is>
          <t>Phù sa</t>
        </is>
      </c>
      <c r="E538" s="74" t="inlineStr"/>
      <c r="F538" s="74" t="n"/>
      <c r="G538" s="74" t="inlineStr">
        <is>
          <t>kg</t>
        </is>
      </c>
      <c r="H538" s="76" t="n">
        <v>125000</v>
      </c>
      <c r="I538" s="73" t="n">
        <v>45870</v>
      </c>
      <c r="J538" s="73" t="n">
        <v>45900</v>
      </c>
      <c r="K538" s="74" t="inlineStr">
        <is>
          <t>1</t>
        </is>
      </c>
      <c r="L538" s="74" t="inlineStr">
        <is>
          <t>NLT0080</t>
        </is>
      </c>
      <c r="M538" s="393" t="inlineStr">
        <is>
          <t>NLT0080</t>
        </is>
      </c>
    </row>
    <row r="539" ht="29.1" customHeight="1">
      <c r="A539" s="74" t="inlineStr">
        <is>
          <t>NLT0081</t>
        </is>
      </c>
      <c r="B539" s="74" t="inlineStr">
        <is>
          <t>Thịt nạc vai</t>
        </is>
      </c>
      <c r="C539" s="74" t="inlineStr">
        <is>
          <t>NLT0081</t>
        </is>
      </c>
      <c r="D539" s="74" t="inlineStr">
        <is>
          <t>Phù sa</t>
        </is>
      </c>
      <c r="E539" s="74" t="inlineStr"/>
      <c r="F539" s="74" t="n"/>
      <c r="G539" s="74" t="inlineStr">
        <is>
          <t>kg</t>
        </is>
      </c>
      <c r="H539" s="76" t="n">
        <v>130000</v>
      </c>
      <c r="I539" s="73" t="n">
        <v>45870</v>
      </c>
      <c r="J539" s="73" t="n">
        <v>45900</v>
      </c>
      <c r="K539" s="74" t="inlineStr">
        <is>
          <t>1</t>
        </is>
      </c>
      <c r="L539" s="74" t="inlineStr">
        <is>
          <t>NLT0081</t>
        </is>
      </c>
      <c r="M539" s="393" t="inlineStr">
        <is>
          <t>NLT0081</t>
        </is>
      </c>
    </row>
    <row r="540" ht="29.1" customHeight="1">
      <c r="A540" s="74" t="inlineStr">
        <is>
          <t>NLT0084</t>
        </is>
      </c>
      <c r="B540" s="74" t="inlineStr">
        <is>
          <t>Thịt nách</t>
        </is>
      </c>
      <c r="C540" s="74" t="inlineStr">
        <is>
          <t>NLT0084</t>
        </is>
      </c>
      <c r="D540" s="74" t="inlineStr">
        <is>
          <t>Phù sa</t>
        </is>
      </c>
      <c r="E540" s="74" t="inlineStr"/>
      <c r="F540" s="74" t="n"/>
      <c r="G540" s="74" t="inlineStr">
        <is>
          <t>kg</t>
        </is>
      </c>
      <c r="H540" s="76" t="n">
        <v>115000</v>
      </c>
      <c r="I540" s="73" t="n">
        <v>45870</v>
      </c>
      <c r="J540" s="73" t="n">
        <v>45900</v>
      </c>
      <c r="K540" s="74" t="inlineStr">
        <is>
          <t>1</t>
        </is>
      </c>
      <c r="L540" s="74" t="inlineStr">
        <is>
          <t>NLT0084</t>
        </is>
      </c>
      <c r="M540" s="393" t="inlineStr">
        <is>
          <t>NLT0084</t>
        </is>
      </c>
    </row>
    <row r="541" ht="29.1" customHeight="1">
      <c r="A541" s="74" t="inlineStr">
        <is>
          <t>NLT0090</t>
        </is>
      </c>
      <c r="B541" s="74" t="inlineStr">
        <is>
          <t>Thịt nạc  thăn</t>
        </is>
      </c>
      <c r="C541" s="74" t="inlineStr">
        <is>
          <t>NLT0090</t>
        </is>
      </c>
      <c r="D541" s="74" t="inlineStr">
        <is>
          <t>Phù sa</t>
        </is>
      </c>
      <c r="E541" s="74" t="inlineStr"/>
      <c r="F541" s="74" t="n"/>
      <c r="G541" s="74" t="inlineStr">
        <is>
          <t>kg</t>
        </is>
      </c>
      <c r="H541" s="76" t="n">
        <v>129000</v>
      </c>
      <c r="I541" s="73" t="n">
        <v>45870</v>
      </c>
      <c r="J541" s="73" t="n">
        <v>45900</v>
      </c>
      <c r="K541" s="74" t="inlineStr">
        <is>
          <t>1</t>
        </is>
      </c>
      <c r="L541" s="74" t="inlineStr">
        <is>
          <t>NLT0090</t>
        </is>
      </c>
      <c r="M541" s="393" t="inlineStr">
        <is>
          <t>NLT0090</t>
        </is>
      </c>
    </row>
    <row r="542" ht="29.1" customHeight="1">
      <c r="A542" s="74" t="inlineStr">
        <is>
          <t>NLT0093</t>
        </is>
      </c>
      <c r="B542" s="74" t="inlineStr">
        <is>
          <t>Thịt lợn vai sấn</t>
        </is>
      </c>
      <c r="C542" s="74" t="inlineStr">
        <is>
          <t>NLT0093</t>
        </is>
      </c>
      <c r="D542" s="74" t="inlineStr">
        <is>
          <t>Phù sa</t>
        </is>
      </c>
      <c r="E542" s="74" t="inlineStr"/>
      <c r="F542" s="74" t="n"/>
      <c r="G542" s="74" t="inlineStr">
        <is>
          <t>kg</t>
        </is>
      </c>
      <c r="H542" s="76" t="n">
        <v>113000</v>
      </c>
      <c r="I542" s="73" t="n">
        <v>45870</v>
      </c>
      <c r="J542" s="73" t="n">
        <v>45900</v>
      </c>
      <c r="K542" s="74" t="inlineStr">
        <is>
          <t>1</t>
        </is>
      </c>
      <c r="L542" s="74" t="inlineStr">
        <is>
          <t>NLT0093</t>
        </is>
      </c>
      <c r="M542" s="393" t="inlineStr">
        <is>
          <t>NLT0093</t>
        </is>
      </c>
    </row>
    <row r="543" ht="29.1" customHeight="1">
      <c r="A543" s="74" t="inlineStr">
        <is>
          <t>NLT0098</t>
        </is>
      </c>
      <c r="B543" s="74" t="inlineStr">
        <is>
          <t>Thịt xay</t>
        </is>
      </c>
      <c r="C543" s="74" t="inlineStr">
        <is>
          <t>NLT0098</t>
        </is>
      </c>
      <c r="D543" s="74" t="inlineStr">
        <is>
          <t>Phù sa</t>
        </is>
      </c>
      <c r="E543" s="74" t="inlineStr"/>
      <c r="F543" s="74" t="n"/>
      <c r="G543" s="74" t="inlineStr">
        <is>
          <t>kg</t>
        </is>
      </c>
      <c r="H543" s="76" t="n">
        <v>128000</v>
      </c>
      <c r="I543" s="73" t="n">
        <v>45870</v>
      </c>
      <c r="J543" s="73" t="n">
        <v>45900</v>
      </c>
      <c r="K543" s="74" t="inlineStr">
        <is>
          <t>1</t>
        </is>
      </c>
      <c r="L543" s="74" t="inlineStr">
        <is>
          <t>NLT0098</t>
        </is>
      </c>
      <c r="M543" s="393" t="inlineStr">
        <is>
          <t>NLT0098</t>
        </is>
      </c>
    </row>
    <row r="544" ht="29.1" customHeight="1">
      <c r="A544" s="74" t="inlineStr">
        <is>
          <t>NLT0035</t>
        </is>
      </c>
      <c r="B544" s="74" t="inlineStr">
        <is>
          <t>Tai heo</t>
        </is>
      </c>
      <c r="C544" s="74" t="inlineStr">
        <is>
          <t>NLT0035</t>
        </is>
      </c>
      <c r="D544" s="74" t="inlineStr">
        <is>
          <t>Phù sa</t>
        </is>
      </c>
      <c r="E544" s="74" t="inlineStr"/>
      <c r="F544" s="74" t="n"/>
      <c r="G544" s="74" t="inlineStr">
        <is>
          <t>kg</t>
        </is>
      </c>
      <c r="H544" s="76" t="n">
        <v>155000</v>
      </c>
      <c r="I544" s="73" t="n">
        <v>45870</v>
      </c>
      <c r="J544" s="73" t="n">
        <v>45900</v>
      </c>
      <c r="K544" s="74" t="inlineStr">
        <is>
          <t>1</t>
        </is>
      </c>
      <c r="L544" s="74" t="inlineStr">
        <is>
          <t>NLT0035</t>
        </is>
      </c>
      <c r="M544" s="393" t="inlineStr">
        <is>
          <t>NLT0035</t>
        </is>
      </c>
    </row>
    <row r="545" ht="29.1" customHeight="1">
      <c r="A545" s="74" t="inlineStr">
        <is>
          <t>NLT0037</t>
        </is>
      </c>
      <c r="B545" s="74" t="inlineStr">
        <is>
          <t>Tiết lợn kg</t>
        </is>
      </c>
      <c r="C545" s="74" t="inlineStr">
        <is>
          <t>NLT0037</t>
        </is>
      </c>
      <c r="D545" s="74" t="inlineStr">
        <is>
          <t>Phù sa</t>
        </is>
      </c>
      <c r="E545" s="74" t="inlineStr"/>
      <c r="F545" s="74" t="n"/>
      <c r="G545" s="74" t="inlineStr">
        <is>
          <t>kg</t>
        </is>
      </c>
      <c r="H545" s="76" t="n">
        <v>15000</v>
      </c>
      <c r="I545" s="73" t="n">
        <v>45870</v>
      </c>
      <c r="J545" s="73" t="n">
        <v>45900</v>
      </c>
      <c r="K545" s="74" t="inlineStr">
        <is>
          <t>1</t>
        </is>
      </c>
      <c r="L545" s="74" t="inlineStr">
        <is>
          <t>NLT0037</t>
        </is>
      </c>
      <c r="M545" s="393" t="inlineStr">
        <is>
          <t>NLT0037</t>
        </is>
      </c>
    </row>
    <row r="546" ht="29.1" customHeight="1">
      <c r="A546" s="74" t="inlineStr">
        <is>
          <t>NLT0634</t>
        </is>
      </c>
      <c r="B546" s="74" t="inlineStr">
        <is>
          <t>Lòng lợn nguyên bộ</t>
        </is>
      </c>
      <c r="C546" s="74" t="inlineStr">
        <is>
          <t>NLT0634</t>
        </is>
      </c>
      <c r="D546" s="74" t="inlineStr">
        <is>
          <t>Phù sa</t>
        </is>
      </c>
      <c r="E546" s="74" t="inlineStr"/>
      <c r="F546" s="74" t="n"/>
      <c r="G546" s="74" t="inlineStr">
        <is>
          <t>kg</t>
        </is>
      </c>
      <c r="H546" s="76" t="n">
        <v>62000</v>
      </c>
      <c r="I546" s="73" t="n">
        <v>45870</v>
      </c>
      <c r="J546" s="73" t="n">
        <v>45900</v>
      </c>
      <c r="K546" s="74" t="inlineStr">
        <is>
          <t>1</t>
        </is>
      </c>
      <c r="L546" s="74" t="inlineStr">
        <is>
          <t>NLT0634</t>
        </is>
      </c>
      <c r="M546" s="64" t="inlineStr">
        <is>
          <t>NLT0634</t>
        </is>
      </c>
    </row>
    <row r="547" ht="29.1" customHeight="1">
      <c r="A547" s="74" t="inlineStr">
        <is>
          <t>NLT0017</t>
        </is>
      </c>
      <c r="B547" s="74" t="inlineStr">
        <is>
          <t>Giò lụa</t>
        </is>
      </c>
      <c r="C547" s="74" t="inlineStr">
        <is>
          <t>NLT0017</t>
        </is>
      </c>
      <c r="D547" s="74" t="inlineStr">
        <is>
          <t>Phù sa</t>
        </is>
      </c>
      <c r="E547" s="74" t="inlineStr"/>
      <c r="F547" s="74" t="n"/>
      <c r="G547" s="74" t="inlineStr">
        <is>
          <t>kg</t>
        </is>
      </c>
      <c r="H547" s="76" t="n">
        <v>138000</v>
      </c>
      <c r="I547" s="73" t="n">
        <v>45870</v>
      </c>
      <c r="J547" s="73" t="n">
        <v>45900</v>
      </c>
      <c r="K547" s="74" t="inlineStr">
        <is>
          <t>1</t>
        </is>
      </c>
      <c r="L547" s="74" t="inlineStr">
        <is>
          <t>NLT0017</t>
        </is>
      </c>
      <c r="M547" s="64" t="inlineStr">
        <is>
          <t>NLT0017</t>
        </is>
      </c>
    </row>
    <row r="548" ht="29.1" customHeight="1">
      <c r="A548" s="74" t="inlineStr">
        <is>
          <t>NLT0018</t>
        </is>
      </c>
      <c r="B548" s="74" t="inlineStr">
        <is>
          <t>Giò sống</t>
        </is>
      </c>
      <c r="C548" s="74" t="inlineStr">
        <is>
          <t>NLT0018</t>
        </is>
      </c>
      <c r="D548" s="74" t="inlineStr">
        <is>
          <t>Phù sa</t>
        </is>
      </c>
      <c r="E548" s="74" t="n"/>
      <c r="F548" s="74" t="n"/>
      <c r="G548" s="74" t="inlineStr">
        <is>
          <t>kg</t>
        </is>
      </c>
      <c r="H548" s="76" t="n">
        <v>100000</v>
      </c>
      <c r="I548" s="73" t="n">
        <v>45870</v>
      </c>
      <c r="J548" s="73" t="n">
        <v>45900</v>
      </c>
      <c r="K548" s="74" t="inlineStr">
        <is>
          <t>1</t>
        </is>
      </c>
      <c r="L548" s="74" t="inlineStr">
        <is>
          <t>NLT0018</t>
        </is>
      </c>
      <c r="M548" s="393" t="inlineStr">
        <is>
          <t>NLT0018</t>
        </is>
      </c>
    </row>
    <row r="549" ht="29.1" customHeight="1">
      <c r="A549" s="74" t="inlineStr">
        <is>
          <t>NLT0112</t>
        </is>
      </c>
      <c r="B549" s="74" t="inlineStr">
        <is>
          <t>Xương ống</t>
        </is>
      </c>
      <c r="C549" s="74" t="inlineStr">
        <is>
          <t>NLT0112</t>
        </is>
      </c>
      <c r="D549" s="74" t="inlineStr">
        <is>
          <t>Phù sa</t>
        </is>
      </c>
      <c r="E549" s="74" t="inlineStr"/>
      <c r="F549" s="74" t="n"/>
      <c r="G549" s="74" t="inlineStr">
        <is>
          <t>kg</t>
        </is>
      </c>
      <c r="H549" s="76" t="n">
        <v>48000</v>
      </c>
      <c r="I549" s="73" t="n">
        <v>45870</v>
      </c>
      <c r="J549" s="73" t="n">
        <v>45900</v>
      </c>
      <c r="K549" s="74" t="inlineStr">
        <is>
          <t>1</t>
        </is>
      </c>
      <c r="L549" s="74" t="inlineStr">
        <is>
          <t>NLT0112</t>
        </is>
      </c>
      <c r="M549" s="393" t="inlineStr">
        <is>
          <t>NLT0112</t>
        </is>
      </c>
    </row>
    <row r="550" ht="29.1" customHeight="1">
      <c r="A550" s="74" t="inlineStr">
        <is>
          <t>NLT0013</t>
        </is>
      </c>
      <c r="B550" s="74" t="inlineStr">
        <is>
          <t>Gan lợn</t>
        </is>
      </c>
      <c r="C550" s="74" t="inlineStr">
        <is>
          <t>NLT0013</t>
        </is>
      </c>
      <c r="D550" s="74" t="inlineStr">
        <is>
          <t>Phù sa</t>
        </is>
      </c>
      <c r="E550" s="74" t="inlineStr"/>
      <c r="F550" s="74" t="n"/>
      <c r="G550" s="74" t="inlineStr">
        <is>
          <t>kg</t>
        </is>
      </c>
      <c r="H550" s="76" t="n">
        <v>44000</v>
      </c>
      <c r="I550" s="73" t="n">
        <v>45870</v>
      </c>
      <c r="J550" s="73" t="n">
        <v>45900</v>
      </c>
      <c r="K550" s="74" t="inlineStr">
        <is>
          <t>1</t>
        </is>
      </c>
      <c r="L550" s="74" t="inlineStr">
        <is>
          <t>NLT0013</t>
        </is>
      </c>
      <c r="M550" s="393" t="inlineStr">
        <is>
          <t>NLT0013</t>
        </is>
      </c>
    </row>
    <row r="551" ht="29.1" customHeight="1">
      <c r="A551" s="74" t="inlineStr">
        <is>
          <t>NLT0003</t>
        </is>
      </c>
      <c r="B551" s="74" t="inlineStr">
        <is>
          <t>Chả lợn</t>
        </is>
      </c>
      <c r="C551" s="74" t="inlineStr">
        <is>
          <t>NLT0003</t>
        </is>
      </c>
      <c r="D551" s="74" t="inlineStr">
        <is>
          <t>Phù sa</t>
        </is>
      </c>
      <c r="E551" s="74" t="inlineStr"/>
      <c r="F551" s="74" t="n"/>
      <c r="G551" s="74" t="inlineStr">
        <is>
          <t>kg</t>
        </is>
      </c>
      <c r="H551" s="76" t="n">
        <v>138000</v>
      </c>
      <c r="I551" s="73" t="n">
        <v>45870</v>
      </c>
      <c r="J551" s="73" t="n">
        <v>45900</v>
      </c>
      <c r="K551" s="74" t="inlineStr">
        <is>
          <t>1</t>
        </is>
      </c>
      <c r="L551" s="74" t="inlineStr">
        <is>
          <t>NLT0003</t>
        </is>
      </c>
      <c r="M551" s="64" t="inlineStr">
        <is>
          <t>NLT0003</t>
        </is>
      </c>
    </row>
    <row r="552" ht="29.1" customHeight="1">
      <c r="A552" s="74" t="inlineStr">
        <is>
          <t>NLT0051</t>
        </is>
      </c>
      <c r="B552" s="74" t="inlineStr">
        <is>
          <t>Thịt bò cổ</t>
        </is>
      </c>
      <c r="C552" s="74" t="inlineStr">
        <is>
          <t>NLT0051</t>
        </is>
      </c>
      <c r="D552" s="74" t="inlineStr">
        <is>
          <t>Phù sa</t>
        </is>
      </c>
      <c r="E552" s="74" t="inlineStr"/>
      <c r="F552" s="74" t="n"/>
      <c r="G552" s="74" t="inlineStr">
        <is>
          <t>kg</t>
        </is>
      </c>
      <c r="H552" s="76" t="n">
        <v>190000</v>
      </c>
      <c r="I552" s="73" t="n">
        <v>45870</v>
      </c>
      <c r="J552" s="73" t="n">
        <v>45900</v>
      </c>
      <c r="K552" s="74" t="inlineStr">
        <is>
          <t>1</t>
        </is>
      </c>
      <c r="L552" s="74" t="inlineStr">
        <is>
          <t>NLT0051</t>
        </is>
      </c>
      <c r="M552" s="393" t="inlineStr">
        <is>
          <t>NLT0051</t>
        </is>
      </c>
    </row>
    <row r="553" ht="29.1" customHeight="1">
      <c r="A553" s="74" t="inlineStr">
        <is>
          <t>NLT0055</t>
        </is>
      </c>
      <c r="B553" s="74" t="inlineStr">
        <is>
          <t>Thịt bò mông</t>
        </is>
      </c>
      <c r="C553" s="74" t="inlineStr">
        <is>
          <t>NLT0055</t>
        </is>
      </c>
      <c r="D553" s="74" t="inlineStr">
        <is>
          <t>Phù sa</t>
        </is>
      </c>
      <c r="E553" s="74" t="inlineStr"/>
      <c r="F553" s="74" t="n"/>
      <c r="G553" s="74" t="inlineStr">
        <is>
          <t>kg</t>
        </is>
      </c>
      <c r="H553" s="76" t="n">
        <v>250000</v>
      </c>
      <c r="I553" s="73" t="n">
        <v>45870</v>
      </c>
      <c r="J553" s="73" t="n">
        <v>45900</v>
      </c>
      <c r="K553" s="74" t="inlineStr">
        <is>
          <t>1</t>
        </is>
      </c>
      <c r="L553" s="74" t="inlineStr">
        <is>
          <t>NLT0055</t>
        </is>
      </c>
      <c r="M553" s="393" t="inlineStr">
        <is>
          <t>NLT0055</t>
        </is>
      </c>
    </row>
    <row r="554" ht="29.1" customHeight="1">
      <c r="A554" s="74" t="inlineStr">
        <is>
          <t>NLT0138</t>
        </is>
      </c>
      <c r="B554" s="74" t="inlineStr">
        <is>
          <t>Nạm bò tươi</t>
        </is>
      </c>
      <c r="C554" s="74" t="inlineStr">
        <is>
          <t>NLT0138</t>
        </is>
      </c>
      <c r="D554" s="74" t="inlineStr">
        <is>
          <t>Phù sa</t>
        </is>
      </c>
      <c r="E554" s="74" t="inlineStr"/>
      <c r="F554" s="74" t="n"/>
      <c r="G554" s="74" t="inlineStr">
        <is>
          <t>kg</t>
        </is>
      </c>
      <c r="H554" s="76" t="n">
        <v>185000</v>
      </c>
      <c r="I554" s="73" t="n">
        <v>45870</v>
      </c>
      <c r="J554" s="73" t="n">
        <v>45900</v>
      </c>
      <c r="K554" s="74" t="inlineStr">
        <is>
          <t>1</t>
        </is>
      </c>
      <c r="L554" s="74" t="inlineStr">
        <is>
          <t>NLT0138</t>
        </is>
      </c>
      <c r="M554" s="393" t="inlineStr">
        <is>
          <t>NLT0138</t>
        </is>
      </c>
    </row>
    <row r="555" ht="27.6" customHeight="1">
      <c r="A555" s="74" t="inlineStr">
        <is>
          <t>NLT0214</t>
        </is>
      </c>
      <c r="B555" s="74" t="inlineStr">
        <is>
          <t>diềm bò tươi</t>
        </is>
      </c>
      <c r="C555" s="74" t="inlineStr">
        <is>
          <t>NLT0214</t>
        </is>
      </c>
      <c r="D555" s="74" t="inlineStr">
        <is>
          <t>Phù sa</t>
        </is>
      </c>
      <c r="E555" s="74" t="inlineStr"/>
      <c r="F555" s="74" t="n"/>
      <c r="G555" s="74" t="inlineStr">
        <is>
          <t>kg</t>
        </is>
      </c>
      <c r="H555" s="76" t="n">
        <v>250000</v>
      </c>
      <c r="I555" s="73" t="n">
        <v>45870</v>
      </c>
      <c r="J555" s="73" t="n">
        <v>45900</v>
      </c>
      <c r="K555" s="74" t="inlineStr">
        <is>
          <t>1</t>
        </is>
      </c>
      <c r="L555" s="74" t="inlineStr">
        <is>
          <t>NLT0214</t>
        </is>
      </c>
      <c r="M555" s="393" t="inlineStr">
        <is>
          <t>NLT0214</t>
        </is>
      </c>
    </row>
    <row r="556" ht="37.95" customHeight="1">
      <c r="A556" s="74" t="inlineStr">
        <is>
          <t>NLT0145</t>
        </is>
      </c>
      <c r="B556" s="74" t="inlineStr">
        <is>
          <t>Rẻ sườn bò</t>
        </is>
      </c>
      <c r="C556" s="74" t="inlineStr">
        <is>
          <t>NLT0145</t>
        </is>
      </c>
      <c r="D556" s="74" t="inlineStr">
        <is>
          <t>Phù sa</t>
        </is>
      </c>
      <c r="E556" s="74" t="inlineStr"/>
      <c r="F556" s="74" t="n"/>
      <c r="G556" s="74" t="inlineStr">
        <is>
          <t>kg</t>
        </is>
      </c>
      <c r="H556" s="76" t="n">
        <v>190000</v>
      </c>
      <c r="I556" s="73" t="n">
        <v>45870</v>
      </c>
      <c r="J556" s="73" t="n">
        <v>45900</v>
      </c>
      <c r="K556" s="74" t="inlineStr">
        <is>
          <t>1</t>
        </is>
      </c>
      <c r="L556" s="74" t="inlineStr">
        <is>
          <t>NLT0145</t>
        </is>
      </c>
      <c r="M556" s="393" t="inlineStr">
        <is>
          <t>NLT0145</t>
        </is>
      </c>
    </row>
    <row r="557" ht="42" customHeight="1">
      <c r="A557" s="74" t="inlineStr">
        <is>
          <t>NLT0050</t>
        </is>
      </c>
      <c r="B557" s="74" t="inlineStr">
        <is>
          <t>Thịt bắp bò</t>
        </is>
      </c>
      <c r="C557" s="74" t="inlineStr">
        <is>
          <t>NLT0050</t>
        </is>
      </c>
      <c r="D557" s="74" t="inlineStr">
        <is>
          <t>Phù sa</t>
        </is>
      </c>
      <c r="E557" s="74" t="inlineStr"/>
      <c r="F557" s="74" t="n"/>
      <c r="G557" s="74" t="inlineStr">
        <is>
          <t>kg</t>
        </is>
      </c>
      <c r="H557" s="76" t="n">
        <v>270000</v>
      </c>
      <c r="I557" s="73" t="n">
        <v>45870</v>
      </c>
      <c r="J557" s="73" t="n">
        <v>45900</v>
      </c>
      <c r="K557" s="74" t="inlineStr">
        <is>
          <t>1</t>
        </is>
      </c>
      <c r="L557" s="74" t="inlineStr">
        <is>
          <t>NLT0050</t>
        </is>
      </c>
      <c r="M557" s="393" t="inlineStr">
        <is>
          <t>NLT0050</t>
        </is>
      </c>
    </row>
    <row r="558" ht="30.6" customHeight="1">
      <c r="A558" s="74" t="inlineStr">
        <is>
          <t>NLT0114</t>
        </is>
      </c>
      <c r="B558" s="74" t="inlineStr">
        <is>
          <t>Xương ống bò</t>
        </is>
      </c>
      <c r="C558" s="74" t="inlineStr">
        <is>
          <t>NLT0114</t>
        </is>
      </c>
      <c r="D558" s="74" t="inlineStr">
        <is>
          <t>Phù sa</t>
        </is>
      </c>
      <c r="E558" s="74" t="inlineStr"/>
      <c r="F558" s="74" t="n"/>
      <c r="G558" s="74" t="inlineStr">
        <is>
          <t>kg</t>
        </is>
      </c>
      <c r="H558" s="76" t="n">
        <v>35000</v>
      </c>
      <c r="I558" s="73" t="n">
        <v>45870</v>
      </c>
      <c r="J558" s="73" t="n">
        <v>45900</v>
      </c>
      <c r="K558" s="74" t="inlineStr">
        <is>
          <t>1</t>
        </is>
      </c>
      <c r="L558" s="74" t="inlineStr">
        <is>
          <t>NLT0114</t>
        </is>
      </c>
      <c r="M558" s="64" t="inlineStr">
        <is>
          <t>NLT0114</t>
        </is>
      </c>
    </row>
    <row r="559" ht="30.6" customHeight="1">
      <c r="A559" s="74" t="inlineStr">
        <is>
          <t>NLG0106</t>
        </is>
      </c>
      <c r="B559" s="74" t="inlineStr">
        <is>
          <t>bánh tẻ 140-160g</t>
        </is>
      </c>
      <c r="C559" s="74" t="inlineStr">
        <is>
          <t>NLG0106</t>
        </is>
      </c>
      <c r="D559" s="74" t="inlineStr">
        <is>
          <t>Phù sa</t>
        </is>
      </c>
      <c r="E559" s="74" t="inlineStr"/>
      <c r="F559" s="74" t="inlineStr">
        <is>
          <t>1</t>
        </is>
      </c>
      <c r="G559" s="74" t="inlineStr">
        <is>
          <t>kg</t>
        </is>
      </c>
      <c r="H559" s="76" t="n">
        <v>7000</v>
      </c>
      <c r="I559" s="73" t="n">
        <v>45870</v>
      </c>
      <c r="J559" s="73" t="n">
        <v>45900</v>
      </c>
      <c r="K559" s="74" t="inlineStr">
        <is>
          <t>1</t>
        </is>
      </c>
      <c r="L559" s="74" t="inlineStr">
        <is>
          <t>NLG0106</t>
        </is>
      </c>
      <c r="M559" s="393" t="inlineStr">
        <is>
          <t>NLG0106</t>
        </is>
      </c>
    </row>
    <row r="560" ht="29.4" customHeight="1">
      <c r="A560" s="74" t="inlineStr">
        <is>
          <t>NLG0043</t>
        </is>
      </c>
      <c r="B560" s="74" t="inlineStr">
        <is>
          <t>Bánh cuốn</t>
        </is>
      </c>
      <c r="C560" s="74" t="inlineStr">
        <is>
          <t>NLG0043</t>
        </is>
      </c>
      <c r="D560" s="74" t="inlineStr">
        <is>
          <t>Phù sa</t>
        </is>
      </c>
      <c r="E560" s="74" t="inlineStr"/>
      <c r="F560" s="74" t="inlineStr">
        <is>
          <t>1</t>
        </is>
      </c>
      <c r="G560" s="74" t="inlineStr">
        <is>
          <t>kg</t>
        </is>
      </c>
      <c r="H560" s="76" t="n">
        <v>30000</v>
      </c>
      <c r="I560" s="73" t="n">
        <v>45870</v>
      </c>
      <c r="J560" s="73" t="n">
        <v>45900</v>
      </c>
      <c r="K560" s="74" t="inlineStr">
        <is>
          <t>1</t>
        </is>
      </c>
      <c r="L560" s="74" t="inlineStr">
        <is>
          <t>NLG0043</t>
        </is>
      </c>
      <c r="M560" s="393" t="inlineStr">
        <is>
          <t>NLG0043</t>
        </is>
      </c>
    </row>
    <row r="561" ht="21.6" customHeight="1">
      <c r="A561" s="74" t="inlineStr">
        <is>
          <t>NLG0099</t>
        </is>
      </c>
      <c r="B561" s="74" t="inlineStr">
        <is>
          <t>Bánh giò 240-260gr( cái)</t>
        </is>
      </c>
      <c r="C561" s="74" t="inlineStr">
        <is>
          <t>NLG0099</t>
        </is>
      </c>
      <c r="D561" s="74" t="inlineStr">
        <is>
          <t>Phù sa</t>
        </is>
      </c>
      <c r="E561" s="74" t="inlineStr"/>
      <c r="F561" s="74" t="inlineStr">
        <is>
          <t>1</t>
        </is>
      </c>
      <c r="G561" s="74" t="inlineStr">
        <is>
          <t>kg</t>
        </is>
      </c>
      <c r="H561" s="76" t="n">
        <v>10000</v>
      </c>
      <c r="I561" s="73" t="n">
        <v>45870</v>
      </c>
      <c r="J561" s="73" t="n">
        <v>45900</v>
      </c>
      <c r="K561" s="74" t="inlineStr">
        <is>
          <t>1</t>
        </is>
      </c>
      <c r="L561" s="74" t="inlineStr">
        <is>
          <t>NLG0099</t>
        </is>
      </c>
      <c r="M561" s="393" t="inlineStr">
        <is>
          <t>NLG0099</t>
        </is>
      </c>
    </row>
    <row r="562" ht="19.95" customHeight="1">
      <c r="A562" s="74" t="inlineStr">
        <is>
          <t>NPG1106</t>
        </is>
      </c>
      <c r="B562" s="74" t="inlineStr">
        <is>
          <t>Dầu ăn orchid 9.8 lít/can</t>
        </is>
      </c>
      <c r="C562" s="74" t="inlineStr">
        <is>
          <t>NPG1106</t>
        </is>
      </c>
      <c r="D562" s="74" t="inlineStr">
        <is>
          <t>Phù sa</t>
        </is>
      </c>
      <c r="E562" s="74" t="inlineStr"/>
      <c r="F562" s="74" t="n"/>
      <c r="G562" s="74" t="inlineStr">
        <is>
          <t>kg</t>
        </is>
      </c>
      <c r="H562" s="76" t="n">
        <v>38155</v>
      </c>
      <c r="I562" s="73" t="n">
        <v>45870</v>
      </c>
      <c r="J562" s="73" t="n">
        <v>45900</v>
      </c>
      <c r="K562" s="74" t="inlineStr">
        <is>
          <t>1</t>
        </is>
      </c>
      <c r="L562" s="74" t="inlineStr">
        <is>
          <t>NPG1106</t>
        </is>
      </c>
      <c r="M562" s="64" t="inlineStr">
        <is>
          <t>NPG1106</t>
        </is>
      </c>
    </row>
    <row r="563" ht="26.4" customHeight="1">
      <c r="A563" s="74" t="inlineStr">
        <is>
          <t>NPG0532</t>
        </is>
      </c>
      <c r="B563" s="74" t="inlineStr">
        <is>
          <t>Dầu ăn orchid 19.8 lít / thùng</t>
        </is>
      </c>
      <c r="C563" s="74" t="inlineStr">
        <is>
          <t>NPG0532</t>
        </is>
      </c>
      <c r="D563" s="74" t="inlineStr">
        <is>
          <t>Phù sa</t>
        </is>
      </c>
      <c r="E563" s="74" t="inlineStr"/>
      <c r="F563" s="74" t="n"/>
      <c r="G563" s="74" t="inlineStr">
        <is>
          <t>kg</t>
        </is>
      </c>
      <c r="H563" s="76" t="n">
        <v>36400</v>
      </c>
      <c r="I563" s="73" t="n">
        <v>45870</v>
      </c>
      <c r="J563" s="73" t="n">
        <v>45900</v>
      </c>
      <c r="K563" s="74" t="inlineStr">
        <is>
          <t>1</t>
        </is>
      </c>
      <c r="L563" s="74" t="inlineStr">
        <is>
          <t>NPG0532</t>
        </is>
      </c>
      <c r="M563" s="393" t="inlineStr">
        <is>
          <t>NPG0532</t>
        </is>
      </c>
    </row>
    <row r="564" ht="26.4" customHeight="1">
      <c r="A564" s="74" t="inlineStr">
        <is>
          <t>NPG0529</t>
        </is>
      </c>
      <c r="B564" s="74" t="inlineStr">
        <is>
          <t>Dầu ăn Cái Lân 19,8L/thùng</t>
        </is>
      </c>
      <c r="C564" s="74" t="inlineStr">
        <is>
          <t>NPG0529</t>
        </is>
      </c>
      <c r="D564" s="74" t="inlineStr">
        <is>
          <t>Phù sa</t>
        </is>
      </c>
      <c r="E564" s="74" t="inlineStr"/>
      <c r="F564" s="74" t="n"/>
      <c r="G564" s="74" t="inlineStr">
        <is>
          <t>kg</t>
        </is>
      </c>
      <c r="H564" s="76" t="n">
        <v>38000</v>
      </c>
      <c r="I564" s="73" t="n">
        <v>45870</v>
      </c>
      <c r="J564" s="73" t="n">
        <v>45900</v>
      </c>
      <c r="K564" s="74" t="inlineStr">
        <is>
          <t>1</t>
        </is>
      </c>
      <c r="L564" s="74" t="inlineStr">
        <is>
          <t>NPG0529</t>
        </is>
      </c>
      <c r="M564" s="393" t="inlineStr">
        <is>
          <t>NPG0529</t>
        </is>
      </c>
    </row>
    <row r="565" ht="12" customHeight="1">
      <c r="A565" s="74" t="inlineStr">
        <is>
          <t>NLS0058</t>
        </is>
      </c>
      <c r="B565" s="74" t="inlineStr">
        <is>
          <t>Ngao</t>
        </is>
      </c>
      <c r="C565" s="74" t="inlineStr">
        <is>
          <t>NLS0058</t>
        </is>
      </c>
      <c r="D565" s="74" t="inlineStr">
        <is>
          <t>Phù sa</t>
        </is>
      </c>
      <c r="E565" s="74" t="inlineStr"/>
      <c r="F565" s="74" t="n"/>
      <c r="G565" s="74" t="inlineStr">
        <is>
          <t>kg</t>
        </is>
      </c>
      <c r="H565" s="76" t="n">
        <v>24000</v>
      </c>
      <c r="I565" s="73" t="n">
        <v>45870</v>
      </c>
      <c r="J565" s="73" t="n">
        <v>45900</v>
      </c>
      <c r="K565" s="74" t="inlineStr">
        <is>
          <t>1</t>
        </is>
      </c>
      <c r="L565" s="74" t="inlineStr">
        <is>
          <t>NLS0058</t>
        </is>
      </c>
      <c r="M565" s="393" t="inlineStr">
        <is>
          <t>NLS0058</t>
        </is>
      </c>
    </row>
    <row r="566" ht="14.4" customHeight="1">
      <c r="A566" s="74" t="inlineStr">
        <is>
          <t>NLS0135</t>
        </is>
      </c>
      <c r="B566" s="74" t="inlineStr">
        <is>
          <t>Cá rô phi sơ chế bỏ đầu 0.8-1kg</t>
        </is>
      </c>
      <c r="C566" s="74" t="inlineStr">
        <is>
          <t>NLS0132</t>
        </is>
      </c>
      <c r="D566" s="74" t="inlineStr">
        <is>
          <t>Phù sa</t>
        </is>
      </c>
      <c r="E566" s="74" t="inlineStr"/>
      <c r="F566" s="74" t="n"/>
      <c r="G566" s="74" t="inlineStr">
        <is>
          <t>kg</t>
        </is>
      </c>
      <c r="H566" s="76" t="n">
        <v>83000</v>
      </c>
      <c r="I566" s="73" t="n">
        <v>45870</v>
      </c>
      <c r="J566" s="73" t="n">
        <v>45900</v>
      </c>
      <c r="K566" s="74" t="inlineStr">
        <is>
          <t>1</t>
        </is>
      </c>
      <c r="L566" s="74" t="inlineStr">
        <is>
          <t>NLS0135</t>
        </is>
      </c>
      <c r="M566" s="64" t="inlineStr">
        <is>
          <t>NLS0135</t>
        </is>
      </c>
    </row>
    <row r="567" ht="23.4" customHeight="1">
      <c r="A567" s="74" t="inlineStr">
        <is>
          <t>NLS0437</t>
        </is>
      </c>
      <c r="B567" s="74" t="inlineStr">
        <is>
          <t>Cua đồng xay</t>
        </is>
      </c>
      <c r="C567" s="74" t="inlineStr">
        <is>
          <t>NLS0437</t>
        </is>
      </c>
      <c r="D567" s="74" t="inlineStr">
        <is>
          <t>Phù sa</t>
        </is>
      </c>
      <c r="E567" s="74" t="inlineStr"/>
      <c r="F567" s="74" t="n"/>
      <c r="G567" s="74" t="inlineStr">
        <is>
          <t>kg</t>
        </is>
      </c>
      <c r="H567" s="76" t="n">
        <v>134000</v>
      </c>
      <c r="I567" s="73" t="n">
        <v>45870</v>
      </c>
      <c r="J567" s="73" t="n">
        <v>45900</v>
      </c>
      <c r="K567" s="74" t="inlineStr">
        <is>
          <t>1</t>
        </is>
      </c>
      <c r="L567" s="74" t="inlineStr">
        <is>
          <t>NLS0437</t>
        </is>
      </c>
      <c r="M567" s="393" t="inlineStr">
        <is>
          <t>NLS0437</t>
        </is>
      </c>
    </row>
    <row r="568" ht="42" customHeight="1">
      <c r="A568" s="74" t="inlineStr">
        <is>
          <t>NLS0078</t>
        </is>
      </c>
      <c r="B568" s="74" t="inlineStr">
        <is>
          <t>Cua xay đông lạnh</t>
        </is>
      </c>
      <c r="C568" s="74" t="inlineStr">
        <is>
          <t>NLS0078</t>
        </is>
      </c>
      <c r="D568" s="74" t="inlineStr">
        <is>
          <t>Phù sa</t>
        </is>
      </c>
      <c r="E568" s="74" t="inlineStr"/>
      <c r="F568" s="74" t="n"/>
      <c r="G568" s="74" t="inlineStr">
        <is>
          <t>kg</t>
        </is>
      </c>
      <c r="H568" s="76" t="n">
        <v>64000</v>
      </c>
      <c r="I568" s="73" t="n">
        <v>45870</v>
      </c>
      <c r="J568" s="73" t="n">
        <v>45900</v>
      </c>
      <c r="K568" s="74" t="inlineStr">
        <is>
          <t>1</t>
        </is>
      </c>
      <c r="L568" s="74" t="inlineStr">
        <is>
          <t>NLS0078</t>
        </is>
      </c>
      <c r="M568" s="393" t="inlineStr">
        <is>
          <t>NLS0078</t>
        </is>
      </c>
    </row>
    <row r="569" ht="24" customHeight="1">
      <c r="A569" s="74" t="inlineStr">
        <is>
          <t>NLS0254</t>
        </is>
      </c>
      <c r="B569" s="74" t="inlineStr">
        <is>
          <t>Cá bống khô</t>
        </is>
      </c>
      <c r="C569" s="74" t="inlineStr">
        <is>
          <t>NLS0254</t>
        </is>
      </c>
      <c r="D569" s="74" t="inlineStr">
        <is>
          <t>Phù sa</t>
        </is>
      </c>
      <c r="E569" s="74" t="inlineStr"/>
      <c r="F569" s="74" t="n"/>
      <c r="G569" s="74" t="inlineStr">
        <is>
          <t>kg</t>
        </is>
      </c>
      <c r="H569" s="76" t="n">
        <v>129000</v>
      </c>
      <c r="I569" s="73" t="n">
        <v>45870</v>
      </c>
      <c r="J569" s="73" t="n">
        <v>45900</v>
      </c>
      <c r="K569" s="74" t="inlineStr">
        <is>
          <t>1</t>
        </is>
      </c>
      <c r="L569" s="74" t="inlineStr">
        <is>
          <t>NLS0254</t>
        </is>
      </c>
      <c r="M569" s="64" t="inlineStr">
        <is>
          <t>NLS0254</t>
        </is>
      </c>
    </row>
    <row r="570" ht="30.6" customHeight="1">
      <c r="A570" s="74" t="inlineStr">
        <is>
          <t>NLS0144</t>
        </is>
      </c>
      <c r="B570" s="74" t="inlineStr">
        <is>
          <t>Cá nục gai 10-12 con/kg, 15kg/thùng</t>
        </is>
      </c>
      <c r="C570" s="74" t="inlineStr">
        <is>
          <t>NLS0144</t>
        </is>
      </c>
      <c r="D570" s="74" t="inlineStr">
        <is>
          <t>Phù sa</t>
        </is>
      </c>
      <c r="E570" s="74" t="inlineStr"/>
      <c r="F570" s="74" t="n"/>
      <c r="G570" s="74" t="inlineStr">
        <is>
          <t>kg</t>
        </is>
      </c>
      <c r="H570" s="76" t="n">
        <v>49000</v>
      </c>
      <c r="I570" s="73" t="n">
        <v>45870</v>
      </c>
      <c r="J570" s="73" t="n">
        <v>45900</v>
      </c>
      <c r="K570" s="74" t="inlineStr">
        <is>
          <t>1</t>
        </is>
      </c>
      <c r="L570" s="74" t="inlineStr">
        <is>
          <t>NLS0144</t>
        </is>
      </c>
      <c r="M570" s="64" t="inlineStr">
        <is>
          <t>NLS0144</t>
        </is>
      </c>
    </row>
    <row r="571" ht="34.95" customHeight="1">
      <c r="A571" s="74" t="inlineStr">
        <is>
          <t>NLS0259</t>
        </is>
      </c>
      <c r="B571" s="74" t="inlineStr">
        <is>
          <t>Cá nục gai 12-14 con/kg, 10kg/thùng</t>
        </is>
      </c>
      <c r="C571" s="74" t="inlineStr">
        <is>
          <t>NLS0259</t>
        </is>
      </c>
      <c r="D571" s="74" t="inlineStr">
        <is>
          <t>Phù sa</t>
        </is>
      </c>
      <c r="E571" s="74" t="inlineStr"/>
      <c r="F571" s="74" t="n"/>
      <c r="G571" s="74" t="inlineStr">
        <is>
          <t>kg</t>
        </is>
      </c>
      <c r="H571" s="76" t="n">
        <v>48000</v>
      </c>
      <c r="I571" s="73" t="n">
        <v>45870</v>
      </c>
      <c r="J571" s="73" t="n">
        <v>45900</v>
      </c>
      <c r="K571" s="74" t="inlineStr">
        <is>
          <t>1</t>
        </is>
      </c>
      <c r="L571" s="74" t="inlineStr">
        <is>
          <t>NLS0259</t>
        </is>
      </c>
      <c r="M571" s="64" t="inlineStr">
        <is>
          <t>NLS0259</t>
        </is>
      </c>
    </row>
    <row r="572" ht="23.4" customHeight="1">
      <c r="A572" s="74" t="inlineStr">
        <is>
          <t>NLR0147</t>
        </is>
      </c>
      <c r="B572" s="74" t="inlineStr">
        <is>
          <t>Rau cần</t>
        </is>
      </c>
      <c r="C572" s="74" t="inlineStr">
        <is>
          <t>NLR0147</t>
        </is>
      </c>
      <c r="D572" s="74" t="inlineStr">
        <is>
          <t>Phù sa</t>
        </is>
      </c>
      <c r="E572" s="74" t="inlineStr"/>
      <c r="F572" s="74" t="n"/>
      <c r="G572" s="74" t="inlineStr">
        <is>
          <t>kg</t>
        </is>
      </c>
      <c r="H572" s="76" t="n">
        <v>15000</v>
      </c>
      <c r="I572" s="73" t="n">
        <v>45870</v>
      </c>
      <c r="J572" s="73" t="n">
        <v>45900</v>
      </c>
      <c r="K572" s="74" t="inlineStr">
        <is>
          <t>1</t>
        </is>
      </c>
      <c r="L572" s="74" t="inlineStr">
        <is>
          <t>NLR0147</t>
        </is>
      </c>
      <c r="M572" s="393" t="inlineStr">
        <is>
          <t>NLR0147</t>
        </is>
      </c>
    </row>
    <row r="573" ht="56.4" customHeight="1">
      <c r="A573" s="74" t="inlineStr">
        <is>
          <t>NLR0107</t>
        </is>
      </c>
      <c r="B573" s="74" t="inlineStr">
        <is>
          <t>Lá lốt (kg)</t>
        </is>
      </c>
      <c r="C573" s="74" t="inlineStr">
        <is>
          <t>NLR0107</t>
        </is>
      </c>
      <c r="D573" s="74" t="inlineStr">
        <is>
          <t>Phù sa</t>
        </is>
      </c>
      <c r="E573" s="74" t="inlineStr"/>
      <c r="F573" s="74" t="n"/>
      <c r="G573" s="74" t="inlineStr">
        <is>
          <t>kg</t>
        </is>
      </c>
      <c r="H573" s="76" t="n">
        <v>60000</v>
      </c>
      <c r="I573" s="73" t="n">
        <v>45870</v>
      </c>
      <c r="J573" s="73" t="n">
        <v>45900</v>
      </c>
      <c r="K573" s="74" t="inlineStr">
        <is>
          <t>1</t>
        </is>
      </c>
      <c r="L573" s="74" t="inlineStr">
        <is>
          <t>NLR0107</t>
        </is>
      </c>
      <c r="M573" s="393" t="inlineStr">
        <is>
          <t>NLR0107</t>
        </is>
      </c>
    </row>
    <row r="574" ht="42" customHeight="1">
      <c r="A574" s="74" t="inlineStr">
        <is>
          <t>NLQ0103</t>
        </is>
      </c>
      <c r="B574" s="74" t="inlineStr">
        <is>
          <t>Quả táo xanh</t>
        </is>
      </c>
      <c r="C574" s="74" t="inlineStr">
        <is>
          <t>NLQ0103</t>
        </is>
      </c>
      <c r="D574" s="74" t="inlineStr">
        <is>
          <t>Phù sa</t>
        </is>
      </c>
      <c r="E574" s="74" t="inlineStr"/>
      <c r="F574" s="74" t="n"/>
      <c r="G574" s="74" t="inlineStr">
        <is>
          <t>kg</t>
        </is>
      </c>
      <c r="H574" s="76" t="n">
        <v>45000</v>
      </c>
      <c r="I574" s="73" t="n">
        <v>45870</v>
      </c>
      <c r="J574" s="73" t="n">
        <v>45900</v>
      </c>
      <c r="K574" s="74" t="inlineStr">
        <is>
          <t>1</t>
        </is>
      </c>
      <c r="L574" s="74" t="inlineStr">
        <is>
          <t>NLQ0103</t>
        </is>
      </c>
      <c r="M574" s="64" t="inlineStr">
        <is>
          <t>NLQ0103</t>
        </is>
      </c>
    </row>
    <row r="575" ht="34.95" customHeight="1">
      <c r="A575" s="74" t="inlineStr">
        <is>
          <t>NLT0063</t>
        </is>
      </c>
      <c r="B575" s="74" t="inlineStr">
        <is>
          <t>Thịt gà CN không đầu, cổ cánh &gt;1.8kg/con</t>
        </is>
      </c>
      <c r="C575" s="74" t="inlineStr">
        <is>
          <t>NNCC00276</t>
        </is>
      </c>
      <c r="D575" s="74" t="inlineStr">
        <is>
          <t>Phù sa</t>
        </is>
      </c>
      <c r="E575" s="74" t="inlineStr"/>
      <c r="F575" s="74" t="n"/>
      <c r="G575" s="74" t="inlineStr">
        <is>
          <t>kg</t>
        </is>
      </c>
      <c r="H575" s="76" t="n">
        <v>68000</v>
      </c>
      <c r="I575" s="73" t="n">
        <v>45870</v>
      </c>
      <c r="J575" s="73" t="n">
        <v>45900</v>
      </c>
      <c r="K575" s="74" t="inlineStr">
        <is>
          <t>1</t>
        </is>
      </c>
      <c r="L575" s="74" t="inlineStr">
        <is>
          <t>NLT0063</t>
        </is>
      </c>
      <c r="M575" s="393" t="inlineStr">
        <is>
          <t>NLT0063</t>
        </is>
      </c>
    </row>
    <row r="576" ht="33.6" customHeight="1">
      <c r="A576" s="74" t="inlineStr">
        <is>
          <t>NLT0064</t>
        </is>
      </c>
      <c r="B576" s="74" t="inlineStr">
        <is>
          <t>Thịt gà CN sơ chế nguyên đầu cổ cánh 2-2.5kg/con</t>
        </is>
      </c>
      <c r="C576" s="74" t="inlineStr">
        <is>
          <t>NNCC00276</t>
        </is>
      </c>
      <c r="D576" s="74" t="inlineStr">
        <is>
          <t>Phù sa</t>
        </is>
      </c>
      <c r="E576" s="74" t="inlineStr"/>
      <c r="F576" s="74" t="n"/>
      <c r="G576" s="74" t="inlineStr">
        <is>
          <t>kg</t>
        </is>
      </c>
      <c r="H576" s="76" t="n">
        <v>58000</v>
      </c>
      <c r="I576" s="73" t="n">
        <v>45870</v>
      </c>
      <c r="J576" s="73" t="n">
        <v>45900</v>
      </c>
      <c r="K576" s="74" t="inlineStr">
        <is>
          <t>1</t>
        </is>
      </c>
      <c r="L576" s="74" t="inlineStr">
        <is>
          <t>NLT0064</t>
        </is>
      </c>
      <c r="M576" s="64" t="inlineStr">
        <is>
          <t>NLT0064</t>
        </is>
      </c>
    </row>
    <row r="577" ht="36" customHeight="1">
      <c r="A577" s="74" t="inlineStr">
        <is>
          <t>NLT0342</t>
        </is>
      </c>
      <c r="B577" s="74" t="inlineStr">
        <is>
          <t>Thịt gà ta sơ chế 1.5-1.7kg/con</t>
        </is>
      </c>
      <c r="C577" s="74" t="inlineStr">
        <is>
          <t>NNCC00276</t>
        </is>
      </c>
      <c r="D577" s="74" t="inlineStr">
        <is>
          <t>Phù sa</t>
        </is>
      </c>
      <c r="E577" s="74" t="inlineStr"/>
      <c r="F577" s="74" t="n"/>
      <c r="G577" s="74" t="inlineStr">
        <is>
          <t>kg</t>
        </is>
      </c>
      <c r="H577" s="76" t="n">
        <v>120000</v>
      </c>
      <c r="I577" s="73" t="n">
        <v>45870</v>
      </c>
      <c r="J577" s="73" t="n">
        <v>45900</v>
      </c>
      <c r="K577" s="74" t="inlineStr">
        <is>
          <t>1</t>
        </is>
      </c>
      <c r="L577" s="74" t="inlineStr">
        <is>
          <t>NLT0342</t>
        </is>
      </c>
      <c r="M577" s="64" t="inlineStr">
        <is>
          <t>NLT0342</t>
        </is>
      </c>
    </row>
    <row r="578" ht="35.4" customHeight="1">
      <c r="A578" s="74" t="inlineStr">
        <is>
          <t>NLT0094</t>
        </is>
      </c>
      <c r="B578" s="74" t="inlineStr">
        <is>
          <t>Thịt vịt sơ chế bỏ đầu, cổ cánh 2-2.5kg/con.</t>
        </is>
      </c>
      <c r="C578" s="74" t="inlineStr">
        <is>
          <t>NNCC00276</t>
        </is>
      </c>
      <c r="D578" s="74" t="inlineStr">
        <is>
          <t>Phù sa</t>
        </is>
      </c>
      <c r="E578" s="74" t="inlineStr"/>
      <c r="F578" s="74" t="n"/>
      <c r="G578" s="74" t="inlineStr">
        <is>
          <t>kg</t>
        </is>
      </c>
      <c r="H578" s="76" t="n">
        <v>85000</v>
      </c>
      <c r="I578" s="73" t="n">
        <v>45870</v>
      </c>
      <c r="J578" s="73" t="n">
        <v>45900</v>
      </c>
      <c r="K578" s="74" t="inlineStr">
        <is>
          <t>1</t>
        </is>
      </c>
      <c r="L578" s="74" t="inlineStr">
        <is>
          <t>NLT0094</t>
        </is>
      </c>
      <c r="M578" s="393" t="inlineStr">
        <is>
          <t>NLT0094</t>
        </is>
      </c>
    </row>
    <row r="579" ht="44.4" customHeight="1">
      <c r="A579" s="74" t="inlineStr">
        <is>
          <t>NLT0107</t>
        </is>
      </c>
      <c r="B579" s="74" t="inlineStr">
        <is>
          <t>Ức gà không xương</t>
        </is>
      </c>
      <c r="C579" s="74" t="inlineStr">
        <is>
          <t>NNCC00276</t>
        </is>
      </c>
      <c r="D579" s="74" t="inlineStr">
        <is>
          <t>Phù sa</t>
        </is>
      </c>
      <c r="E579" s="74" t="inlineStr"/>
      <c r="F579" s="74" t="n"/>
      <c r="G579" s="74" t="inlineStr">
        <is>
          <t>kg</t>
        </is>
      </c>
      <c r="H579" s="76" t="n">
        <v>75000</v>
      </c>
      <c r="I579" s="73" t="n">
        <v>45870</v>
      </c>
      <c r="J579" s="73" t="n">
        <v>45900</v>
      </c>
      <c r="K579" s="74" t="inlineStr">
        <is>
          <t>1</t>
        </is>
      </c>
      <c r="L579" s="74" t="inlineStr">
        <is>
          <t>NLT0107</t>
        </is>
      </c>
      <c r="M579" s="393" t="inlineStr">
        <is>
          <t>NLT0107</t>
        </is>
      </c>
    </row>
    <row r="580" ht="27" customHeight="1">
      <c r="A580" s="74" t="inlineStr">
        <is>
          <t>NLT0158</t>
        </is>
      </c>
      <c r="B580" s="74" t="inlineStr">
        <is>
          <t>Đùi gà 1/4 CN</t>
        </is>
      </c>
      <c r="C580" s="74" t="inlineStr">
        <is>
          <t>NNCC00276</t>
        </is>
      </c>
      <c r="D580" s="74" t="inlineStr">
        <is>
          <t>Phù sa</t>
        </is>
      </c>
      <c r="E580" s="74" t="inlineStr"/>
      <c r="F580" s="74" t="n"/>
      <c r="G580" s="74" t="inlineStr">
        <is>
          <t>kg</t>
        </is>
      </c>
      <c r="H580" s="76" t="n">
        <v>85000</v>
      </c>
      <c r="I580" s="73" t="n">
        <v>45870</v>
      </c>
      <c r="J580" s="73" t="n">
        <v>45900</v>
      </c>
      <c r="K580" s="74" t="inlineStr">
        <is>
          <t>1</t>
        </is>
      </c>
      <c r="L580" s="74" t="inlineStr">
        <is>
          <t>NLT0158</t>
        </is>
      </c>
      <c r="M580" s="393" t="inlineStr">
        <is>
          <t>NLT0158</t>
        </is>
      </c>
    </row>
    <row r="581" ht="36.6" customHeight="1">
      <c r="A581" s="74" t="inlineStr">
        <is>
          <t>NLT0001</t>
        </is>
      </c>
      <c r="B581" s="74" t="inlineStr">
        <is>
          <t>Cánh gà CN tươi 7-8 cái/kg</t>
        </is>
      </c>
      <c r="C581" s="74" t="inlineStr">
        <is>
          <t>NNCC00276</t>
        </is>
      </c>
      <c r="D581" s="74" t="inlineStr">
        <is>
          <t>Phù sa</t>
        </is>
      </c>
      <c r="E581" s="74" t="inlineStr"/>
      <c r="F581" s="74" t="n"/>
      <c r="G581" s="74" t="inlineStr">
        <is>
          <t>kg</t>
        </is>
      </c>
      <c r="H581" s="76" t="n">
        <v>80000</v>
      </c>
      <c r="I581" s="73" t="n">
        <v>45870</v>
      </c>
      <c r="J581" s="73" t="n">
        <v>45900</v>
      </c>
      <c r="K581" s="74" t="inlineStr">
        <is>
          <t>1</t>
        </is>
      </c>
      <c r="L581" s="74" t="inlineStr">
        <is>
          <t>NLT0001</t>
        </is>
      </c>
      <c r="M581" s="393" t="inlineStr">
        <is>
          <t>NLT0001</t>
        </is>
      </c>
    </row>
    <row r="582" ht="40.95" customHeight="1">
      <c r="A582" s="74" t="inlineStr">
        <is>
          <t>NLT0117</t>
        </is>
      </c>
      <c r="B582" s="74" t="inlineStr">
        <is>
          <t>Mề gà</t>
        </is>
      </c>
      <c r="C582" s="74" t="inlineStr">
        <is>
          <t>NNCC00276</t>
        </is>
      </c>
      <c r="D582" s="74" t="inlineStr">
        <is>
          <t>Phù sa</t>
        </is>
      </c>
      <c r="E582" s="74" t="inlineStr"/>
      <c r="F582" s="74" t="n"/>
      <c r="G582" s="74" t="inlineStr">
        <is>
          <t>kg</t>
        </is>
      </c>
      <c r="H582" s="76" t="n">
        <v>55000</v>
      </c>
      <c r="I582" s="73" t="n">
        <v>45870</v>
      </c>
      <c r="J582" s="73" t="n">
        <v>45900</v>
      </c>
      <c r="K582" s="74" t="inlineStr">
        <is>
          <t>1</t>
        </is>
      </c>
      <c r="L582" s="74" t="inlineStr">
        <is>
          <t>NLT0117</t>
        </is>
      </c>
      <c r="M582" s="64" t="inlineStr">
        <is>
          <t>NLT0117</t>
        </is>
      </c>
    </row>
    <row r="583" ht="30.6" customHeight="1">
      <c r="A583" s="74" t="inlineStr">
        <is>
          <t>NLT0088</t>
        </is>
      </c>
      <c r="B583" s="74" t="inlineStr">
        <is>
          <t>Thịt ngan làm sạch nguyên con 2.5-3.2kg/con</t>
        </is>
      </c>
      <c r="C583" s="74" t="inlineStr">
        <is>
          <t>NNCC00276</t>
        </is>
      </c>
      <c r="D583" s="74" t="inlineStr">
        <is>
          <t>Phù sa</t>
        </is>
      </c>
      <c r="E583" s="74" t="inlineStr"/>
      <c r="F583" s="74" t="n"/>
      <c r="G583" s="74" t="inlineStr">
        <is>
          <t>kg</t>
        </is>
      </c>
      <c r="H583" s="76" t="n">
        <v>115000</v>
      </c>
      <c r="I583" s="73" t="n">
        <v>45870</v>
      </c>
      <c r="J583" s="73" t="n">
        <v>45900</v>
      </c>
      <c r="K583" s="74" t="inlineStr">
        <is>
          <t>1</t>
        </is>
      </c>
      <c r="L583" s="74" t="inlineStr">
        <is>
          <t>NLT0088</t>
        </is>
      </c>
      <c r="M583" s="64" t="inlineStr">
        <is>
          <t>NLT0088</t>
        </is>
      </c>
    </row>
    <row r="584" ht="33.6" customHeight="1">
      <c r="A584" s="74" t="inlineStr">
        <is>
          <t>NLT0051</t>
        </is>
      </c>
      <c r="B584" s="74" t="inlineStr">
        <is>
          <t>Thịt bò cổ</t>
        </is>
      </c>
      <c r="C584" s="74" t="inlineStr">
        <is>
          <t>NNCC00276</t>
        </is>
      </c>
      <c r="D584" s="74" t="inlineStr">
        <is>
          <t>Phù sa</t>
        </is>
      </c>
      <c r="E584" s="74" t="inlineStr"/>
      <c r="F584" s="74" t="n"/>
      <c r="G584" s="74" t="inlineStr">
        <is>
          <t>kg</t>
        </is>
      </c>
      <c r="H584" s="76" t="n">
        <v>190000</v>
      </c>
      <c r="I584" s="73" t="n">
        <v>45870</v>
      </c>
      <c r="J584" s="73" t="n">
        <v>45900</v>
      </c>
      <c r="K584" s="74" t="inlineStr">
        <is>
          <t>1</t>
        </is>
      </c>
      <c r="L584" s="74" t="inlineStr">
        <is>
          <t>NLT0051</t>
        </is>
      </c>
      <c r="M584" s="393" t="inlineStr">
        <is>
          <t>NLT0051</t>
        </is>
      </c>
    </row>
    <row r="585" ht="37.95" customHeight="1">
      <c r="A585" s="74" t="inlineStr">
        <is>
          <t>NLT0138</t>
        </is>
      </c>
      <c r="B585" s="74" t="inlineStr">
        <is>
          <t>Nạm bò tươi</t>
        </is>
      </c>
      <c r="C585" s="74" t="inlineStr">
        <is>
          <t>NNCC00276</t>
        </is>
      </c>
      <c r="D585" s="74" t="inlineStr">
        <is>
          <t>Phù sa</t>
        </is>
      </c>
      <c r="E585" s="74" t="inlineStr"/>
      <c r="F585" s="74" t="n"/>
      <c r="G585" s="74" t="inlineStr">
        <is>
          <t>kg</t>
        </is>
      </c>
      <c r="H585" s="76" t="n">
        <v>185000</v>
      </c>
      <c r="I585" s="73" t="n">
        <v>45870</v>
      </c>
      <c r="J585" s="73" t="n">
        <v>45900</v>
      </c>
      <c r="K585" s="74" t="inlineStr">
        <is>
          <t>1</t>
        </is>
      </c>
      <c r="L585" s="74" t="inlineStr">
        <is>
          <t>NLT0138</t>
        </is>
      </c>
      <c r="M585" s="393" t="inlineStr">
        <is>
          <t>NLT0138</t>
        </is>
      </c>
    </row>
    <row r="586" ht="36" customHeight="1">
      <c r="A586" s="74" t="inlineStr">
        <is>
          <t>NLT0214</t>
        </is>
      </c>
      <c r="B586" s="74" t="inlineStr">
        <is>
          <t>Diềm bò tươi</t>
        </is>
      </c>
      <c r="C586" s="74" t="inlineStr">
        <is>
          <t>NNCC00276</t>
        </is>
      </c>
      <c r="D586" s="74" t="inlineStr">
        <is>
          <t>Phù sa</t>
        </is>
      </c>
      <c r="E586" s="74" t="inlineStr"/>
      <c r="F586" s="74" t="n"/>
      <c r="G586" s="74" t="inlineStr">
        <is>
          <t>kg</t>
        </is>
      </c>
      <c r="H586" s="76" t="n">
        <v>255000</v>
      </c>
      <c r="I586" s="73" t="n">
        <v>45870</v>
      </c>
      <c r="J586" s="73" t="n">
        <v>45900</v>
      </c>
      <c r="K586" s="74" t="inlineStr">
        <is>
          <t>1</t>
        </is>
      </c>
      <c r="L586" s="74" t="inlineStr">
        <is>
          <t>NLT0214</t>
        </is>
      </c>
      <c r="M586" s="393" t="inlineStr">
        <is>
          <t>NLT0214</t>
        </is>
      </c>
    </row>
    <row r="587" ht="30.6" customHeight="1">
      <c r="A587" s="74" t="inlineStr">
        <is>
          <t>NLT0055</t>
        </is>
      </c>
      <c r="B587" s="74" t="inlineStr">
        <is>
          <t>Thịt bò mông</t>
        </is>
      </c>
      <c r="C587" s="74" t="inlineStr">
        <is>
          <t>NNCC00276</t>
        </is>
      </c>
      <c r="D587" s="74" t="inlineStr">
        <is>
          <t>Phù sa</t>
        </is>
      </c>
      <c r="E587" s="74" t="inlineStr"/>
      <c r="F587" s="74" t="n"/>
      <c r="G587" s="74" t="inlineStr">
        <is>
          <t>kg</t>
        </is>
      </c>
      <c r="H587" s="76" t="n">
        <v>250000</v>
      </c>
      <c r="I587" s="73" t="n">
        <v>45870</v>
      </c>
      <c r="J587" s="73" t="n">
        <v>45900</v>
      </c>
      <c r="K587" s="74" t="inlineStr">
        <is>
          <t>1</t>
        </is>
      </c>
      <c r="L587" s="74" t="inlineStr">
        <is>
          <t>NLT0055</t>
        </is>
      </c>
      <c r="M587" s="393" t="inlineStr">
        <is>
          <t>NLT0055</t>
        </is>
      </c>
    </row>
    <row r="588" ht="26.4" customHeight="1">
      <c r="A588" s="74" t="inlineStr">
        <is>
          <t>NLT0606</t>
        </is>
      </c>
      <c r="B588" s="74" t="inlineStr">
        <is>
          <t>Tỏi gà cn tươi 100-110g/cái</t>
        </is>
      </c>
      <c r="C588" s="74" t="inlineStr">
        <is>
          <t>NNCC00276</t>
        </is>
      </c>
      <c r="D588" s="74" t="inlineStr">
        <is>
          <t>Phù sa</t>
        </is>
      </c>
      <c r="E588" s="74" t="inlineStr"/>
      <c r="F588" s="74" t="n"/>
      <c r="G588" s="74" t="inlineStr">
        <is>
          <t>kg</t>
        </is>
      </c>
      <c r="H588" s="76" t="n">
        <v>81000</v>
      </c>
      <c r="I588" s="73" t="n">
        <v>45870</v>
      </c>
      <c r="J588" s="73" t="n">
        <v>45900</v>
      </c>
      <c r="K588" s="74" t="inlineStr">
        <is>
          <t>1</t>
        </is>
      </c>
      <c r="L588" s="74" t="inlineStr">
        <is>
          <t>NLT0606</t>
        </is>
      </c>
      <c r="M588" s="64" t="inlineStr">
        <is>
          <t>NLT0606</t>
        </is>
      </c>
    </row>
    <row r="589" ht="41.4" customHeight="1">
      <c r="A589" s="74" t="inlineStr">
        <is>
          <t>NLT0607</t>
        </is>
      </c>
      <c r="B589" s="74" t="inlineStr">
        <is>
          <t>Tỏi gà cn tươi 160-180g/cái</t>
        </is>
      </c>
      <c r="C589" s="74" t="inlineStr">
        <is>
          <t>NNCC00276</t>
        </is>
      </c>
      <c r="D589" s="74" t="inlineStr">
        <is>
          <t>Phù sa</t>
        </is>
      </c>
      <c r="E589" s="74" t="inlineStr"/>
      <c r="F589" s="74" t="n"/>
      <c r="G589" s="74" t="inlineStr">
        <is>
          <t>kg</t>
        </is>
      </c>
      <c r="H589" s="76" t="n">
        <v>80000</v>
      </c>
      <c r="I589" s="73" t="n">
        <v>45870</v>
      </c>
      <c r="J589" s="73" t="n">
        <v>45900</v>
      </c>
      <c r="K589" s="74" t="inlineStr">
        <is>
          <t>1</t>
        </is>
      </c>
      <c r="L589" s="74" t="inlineStr">
        <is>
          <t>NLT0607</t>
        </is>
      </c>
      <c r="M589" s="64" t="inlineStr">
        <is>
          <t>NLT0607</t>
        </is>
      </c>
    </row>
    <row r="590" ht="32.4" customHeight="1">
      <c r="A590" s="74" t="inlineStr">
        <is>
          <t>NLT0433</t>
        </is>
      </c>
      <c r="B590" s="74" t="inlineStr">
        <is>
          <t>Má đùi gà CN tươi</t>
        </is>
      </c>
      <c r="C590" s="74" t="inlineStr">
        <is>
          <t>NNCC00276</t>
        </is>
      </c>
      <c r="D590" s="74" t="inlineStr">
        <is>
          <t>Phù sa</t>
        </is>
      </c>
      <c r="E590" s="74" t="inlineStr"/>
      <c r="F590" s="74" t="n"/>
      <c r="G590" s="74" t="inlineStr">
        <is>
          <t>kg</t>
        </is>
      </c>
      <c r="H590" s="76" t="n">
        <v>78000</v>
      </c>
      <c r="I590" s="73" t="n">
        <v>45870</v>
      </c>
      <c r="J590" s="73" t="n">
        <v>45900</v>
      </c>
      <c r="K590" s="74" t="inlineStr">
        <is>
          <t>1</t>
        </is>
      </c>
      <c r="L590" s="74" t="inlineStr">
        <is>
          <t>NLT0433</t>
        </is>
      </c>
      <c r="M590" s="64" t="inlineStr">
        <is>
          <t>NLT0433</t>
        </is>
      </c>
    </row>
    <row r="591" ht="22.95" customHeight="1">
      <c r="A591" s="74" t="inlineStr">
        <is>
          <t>HHS0019</t>
        </is>
      </c>
      <c r="B591" s="74" t="inlineStr">
        <is>
          <t>Sữa chua vinamilk</t>
        </is>
      </c>
      <c r="C591" s="74" t="inlineStr">
        <is>
          <t>NNCC00276</t>
        </is>
      </c>
      <c r="D591" s="74" t="inlineStr">
        <is>
          <t>Phù sa</t>
        </is>
      </c>
      <c r="E591" s="74" t="inlineStr"/>
      <c r="F591" s="74" t="n"/>
      <c r="G591" s="74" t="inlineStr">
        <is>
          <t>kg</t>
        </is>
      </c>
      <c r="H591" s="76" t="n">
        <v>5664</v>
      </c>
      <c r="I591" s="73" t="n">
        <v>45870</v>
      </c>
      <c r="J591" s="73" t="n">
        <v>45900</v>
      </c>
      <c r="K591" s="74" t="inlineStr">
        <is>
          <t>1</t>
        </is>
      </c>
      <c r="L591" s="74" t="inlineStr">
        <is>
          <t>HHS0019</t>
        </is>
      </c>
      <c r="M591" s="64" t="inlineStr">
        <is>
          <t>HHS0019</t>
        </is>
      </c>
    </row>
    <row r="592" ht="11.4" customHeight="1">
      <c r="A592" s="74" t="inlineStr">
        <is>
          <t>HHS0048</t>
        </is>
      </c>
      <c r="B592" s="74" t="inlineStr">
        <is>
          <t>sữa chua proby</t>
        </is>
      </c>
      <c r="C592" s="74" t="inlineStr">
        <is>
          <t>NNCC00276</t>
        </is>
      </c>
      <c r="D592" s="74" t="inlineStr">
        <is>
          <t>Phù sa</t>
        </is>
      </c>
      <c r="E592" s="74" t="inlineStr"/>
      <c r="F592" s="74" t="n"/>
      <c r="G592" s="74" t="inlineStr">
        <is>
          <t>kg</t>
        </is>
      </c>
      <c r="H592" s="76" t="n">
        <v>4272</v>
      </c>
      <c r="I592" s="73" t="n">
        <v>45870</v>
      </c>
      <c r="J592" s="73" t="n">
        <v>45900</v>
      </c>
      <c r="K592" s="74" t="inlineStr">
        <is>
          <t>1</t>
        </is>
      </c>
      <c r="L592" s="74" t="inlineStr">
        <is>
          <t>HHS0048</t>
        </is>
      </c>
      <c r="M592" s="64" t="inlineStr">
        <is>
          <t>HHS0048</t>
        </is>
      </c>
    </row>
    <row r="593" ht="21.6" customHeight="1">
      <c r="A593" s="74" t="inlineStr">
        <is>
          <t>NLQ0030</t>
        </is>
      </c>
      <c r="B593" s="74" t="inlineStr">
        <is>
          <t>quả nho</t>
        </is>
      </c>
      <c r="C593" s="74" t="inlineStr">
        <is>
          <t>NNCC00276</t>
        </is>
      </c>
      <c r="D593" s="74" t="inlineStr">
        <is>
          <t>Phù sa</t>
        </is>
      </c>
      <c r="E593" s="74" t="inlineStr"/>
      <c r="F593" s="74" t="n"/>
      <c r="G593" s="74" t="inlineStr">
        <is>
          <t>kg</t>
        </is>
      </c>
      <c r="H593" s="76" t="n">
        <v>50000</v>
      </c>
      <c r="I593" s="73" t="n">
        <v>45870</v>
      </c>
      <c r="J593" s="73" t="n">
        <v>45900</v>
      </c>
      <c r="K593" s="74" t="inlineStr">
        <is>
          <t>1</t>
        </is>
      </c>
      <c r="L593" s="74" t="inlineStr">
        <is>
          <t>NLQ0030</t>
        </is>
      </c>
      <c r="M593" s="64" t="inlineStr">
        <is>
          <t>NLQ0030</t>
        </is>
      </c>
    </row>
    <row r="594" ht="27" customHeight="1">
      <c r="A594" s="74" t="inlineStr">
        <is>
          <t>NLT0090</t>
        </is>
      </c>
      <c r="B594" s="74" t="inlineStr">
        <is>
          <t>Thịt nạc  thăn</t>
        </is>
      </c>
      <c r="C594" s="74" t="inlineStr">
        <is>
          <t>NNCC00276</t>
        </is>
      </c>
      <c r="D594" s="74" t="inlineStr">
        <is>
          <t>Phù sa</t>
        </is>
      </c>
      <c r="E594" s="74" t="inlineStr"/>
      <c r="F594" s="74" t="n"/>
      <c r="G594" s="74" t="inlineStr">
        <is>
          <t>kg</t>
        </is>
      </c>
      <c r="H594" s="76" t="n">
        <v>129000</v>
      </c>
      <c r="I594" s="73" t="n">
        <v>45870</v>
      </c>
      <c r="J594" s="73" t="n">
        <v>45900</v>
      </c>
      <c r="K594" s="74" t="inlineStr">
        <is>
          <t>1</t>
        </is>
      </c>
      <c r="L594" s="74" t="inlineStr">
        <is>
          <t>NLT0090</t>
        </is>
      </c>
      <c r="M594" s="393" t="inlineStr">
        <is>
          <t>NLT0090</t>
        </is>
      </c>
    </row>
    <row r="595" ht="31.2" customHeight="1">
      <c r="A595" s="74" t="inlineStr">
        <is>
          <t>NPG0094</t>
        </is>
      </c>
      <c r="B595" s="74" t="inlineStr">
        <is>
          <t>Quả me</t>
        </is>
      </c>
      <c r="C595" s="74" t="inlineStr">
        <is>
          <t>NNCC00276</t>
        </is>
      </c>
      <c r="D595" s="74" t="inlineStr">
        <is>
          <t>Phù sa</t>
        </is>
      </c>
      <c r="E595" s="74" t="inlineStr"/>
      <c r="F595" s="74" t="n"/>
      <c r="G595" s="74" t="inlineStr">
        <is>
          <t>kg</t>
        </is>
      </c>
      <c r="H595" s="76" t="n">
        <v>28000</v>
      </c>
      <c r="I595" s="73" t="n">
        <v>45870</v>
      </c>
      <c r="J595" s="73" t="n">
        <v>45900</v>
      </c>
      <c r="K595" s="74" t="inlineStr">
        <is>
          <t>1</t>
        </is>
      </c>
      <c r="L595" s="74" t="inlineStr">
        <is>
          <t>NPG0094</t>
        </is>
      </c>
      <c r="M595" s="64" t="inlineStr">
        <is>
          <t>NPG0094</t>
        </is>
      </c>
    </row>
    <row r="596" ht="31.2" customHeight="1">
      <c r="A596" s="74" t="inlineStr">
        <is>
          <t>NLG0043</t>
        </is>
      </c>
      <c r="B596" s="74" t="inlineStr">
        <is>
          <t>Bánh cuốn</t>
        </is>
      </c>
      <c r="C596" s="74" t="inlineStr">
        <is>
          <t>NNCC00276</t>
        </is>
      </c>
      <c r="D596" s="74" t="inlineStr">
        <is>
          <t>Phù sa</t>
        </is>
      </c>
      <c r="E596" s="74" t="inlineStr"/>
      <c r="F596" s="74" t="n"/>
      <c r="G596" s="74" t="inlineStr">
        <is>
          <t>kg</t>
        </is>
      </c>
      <c r="H596" s="76" t="n">
        <v>23000</v>
      </c>
      <c r="I596" s="73" t="n">
        <v>45870</v>
      </c>
      <c r="J596" s="73" t="n">
        <v>45900</v>
      </c>
      <c r="K596" s="74" t="inlineStr">
        <is>
          <t>1</t>
        </is>
      </c>
      <c r="L596" s="74" t="inlineStr">
        <is>
          <t>NLG0043</t>
        </is>
      </c>
      <c r="M596" s="393" t="inlineStr">
        <is>
          <t>NLG0043</t>
        </is>
      </c>
    </row>
    <row r="597" ht="31.2" customHeight="1">
      <c r="A597" s="74" t="inlineStr">
        <is>
          <t>NLG0043</t>
        </is>
      </c>
      <c r="B597" s="74" t="inlineStr">
        <is>
          <t>Bánh bao thập cẩm 180g/cái</t>
        </is>
      </c>
      <c r="C597" s="74" t="inlineStr">
        <is>
          <t>NNCC00276</t>
        </is>
      </c>
      <c r="D597" s="74" t="inlineStr">
        <is>
          <t>Phù sa</t>
        </is>
      </c>
      <c r="E597" s="74" t="inlineStr"/>
      <c r="F597" s="74" t="inlineStr">
        <is>
          <t>1</t>
        </is>
      </c>
      <c r="G597" s="74" t="inlineStr">
        <is>
          <t>kg</t>
        </is>
      </c>
      <c r="H597" s="76" t="n">
        <v>11000</v>
      </c>
      <c r="I597" s="73" t="n">
        <v>45870</v>
      </c>
      <c r="J597" s="73" t="n">
        <v>45900</v>
      </c>
      <c r="K597" s="74" t="inlineStr">
        <is>
          <t>1</t>
        </is>
      </c>
      <c r="L597" s="74" t="inlineStr">
        <is>
          <t>NLG0043</t>
        </is>
      </c>
      <c r="M597" s="64" t="inlineStr">
        <is>
          <t>NLG0043</t>
        </is>
      </c>
    </row>
    <row r="598" ht="31.2" customHeight="1">
      <c r="A598" s="74" t="inlineStr">
        <is>
          <t>NLG0011</t>
        </is>
      </c>
      <c r="B598" s="74" t="inlineStr">
        <is>
          <t>Bánh chưng</t>
        </is>
      </c>
      <c r="C598" s="74" t="inlineStr">
        <is>
          <t>NNCC00276</t>
        </is>
      </c>
      <c r="D598" s="74" t="inlineStr">
        <is>
          <t>Phù sa</t>
        </is>
      </c>
      <c r="E598" s="74" t="inlineStr"/>
      <c r="F598" s="74" t="inlineStr">
        <is>
          <t>1</t>
        </is>
      </c>
      <c r="G598" s="74" t="inlineStr">
        <is>
          <t>kg</t>
        </is>
      </c>
      <c r="H598" s="76" t="n">
        <v>10000</v>
      </c>
      <c r="I598" s="73" t="n">
        <v>45870</v>
      </c>
      <c r="J598" s="73" t="n">
        <v>45900</v>
      </c>
      <c r="K598" s="74" t="inlineStr">
        <is>
          <t>1</t>
        </is>
      </c>
      <c r="L598" s="74" t="inlineStr">
        <is>
          <t>NLG0011</t>
        </is>
      </c>
      <c r="M598" s="64" t="inlineStr">
        <is>
          <t>NLG0011</t>
        </is>
      </c>
    </row>
    <row r="599" ht="31.2" customHeight="1">
      <c r="A599" s="74" t="inlineStr">
        <is>
          <t>NLG0106</t>
        </is>
      </c>
      <c r="B599" s="74" t="inlineStr">
        <is>
          <t>Bánh tẻ</t>
        </is>
      </c>
      <c r="C599" s="74" t="inlineStr">
        <is>
          <t>NNCC00276</t>
        </is>
      </c>
      <c r="D599" s="74" t="inlineStr">
        <is>
          <t>Phù sa</t>
        </is>
      </c>
      <c r="E599" s="74" t="n"/>
      <c r="F599" s="74" t="n"/>
      <c r="G599" s="74" t="inlineStr">
        <is>
          <t>kg</t>
        </is>
      </c>
      <c r="H599" s="76" t="n">
        <v>7000</v>
      </c>
      <c r="I599" s="73" t="n">
        <v>45870</v>
      </c>
      <c r="J599" s="73" t="n">
        <v>45900</v>
      </c>
      <c r="K599" s="74" t="inlineStr">
        <is>
          <t>1</t>
        </is>
      </c>
      <c r="L599" s="74" t="inlineStr">
        <is>
          <t>NLG0106</t>
        </is>
      </c>
      <c r="M599" s="64" t="inlineStr">
        <is>
          <t>NLG0106</t>
        </is>
      </c>
    </row>
    <row r="600" ht="29.1" customHeight="1">
      <c r="A600" s="74" t="inlineStr">
        <is>
          <t>HHB0308</t>
        </is>
      </c>
      <c r="B600" s="74" t="inlineStr">
        <is>
          <t>xôi</t>
        </is>
      </c>
      <c r="C600" s="74" t="inlineStr">
        <is>
          <t>NNCC00276</t>
        </is>
      </c>
      <c r="D600" s="74" t="inlineStr">
        <is>
          <t>Phù sa</t>
        </is>
      </c>
      <c r="E600" s="74" t="inlineStr"/>
      <c r="F600" s="74" t="n"/>
      <c r="G600" s="74" t="inlineStr">
        <is>
          <t>kg</t>
        </is>
      </c>
      <c r="H600" s="76" t="n">
        <v>45000</v>
      </c>
      <c r="I600" s="73" t="n">
        <v>45870</v>
      </c>
      <c r="J600" s="73" t="n">
        <v>45900</v>
      </c>
      <c r="K600" s="74" t="inlineStr">
        <is>
          <t>1</t>
        </is>
      </c>
      <c r="L600" s="74" t="inlineStr">
        <is>
          <t>HHB0308</t>
        </is>
      </c>
      <c r="M600" s="64" t="inlineStr">
        <is>
          <t>HHB0308</t>
        </is>
      </c>
    </row>
    <row r="601" ht="29.1" customHeight="1">
      <c r="A601" s="74" t="inlineStr">
        <is>
          <t>HHB0307</t>
        </is>
      </c>
      <c r="B601" s="74" t="inlineStr">
        <is>
          <t>Bánh nếp</t>
        </is>
      </c>
      <c r="C601" s="74" t="inlineStr">
        <is>
          <t>NNCC00276</t>
        </is>
      </c>
      <c r="D601" s="74" t="inlineStr">
        <is>
          <t>Phù sa</t>
        </is>
      </c>
      <c r="E601" s="74" t="inlineStr"/>
      <c r="F601" s="74" t="inlineStr">
        <is>
          <t>1</t>
        </is>
      </c>
      <c r="G601" s="74" t="inlineStr">
        <is>
          <t>kg</t>
        </is>
      </c>
      <c r="H601" s="76" t="n">
        <v>9000</v>
      </c>
      <c r="I601" s="73" t="n">
        <v>45870</v>
      </c>
      <c r="J601" s="73" t="n">
        <v>45900</v>
      </c>
      <c r="K601" s="74" t="inlineStr">
        <is>
          <t>1</t>
        </is>
      </c>
      <c r="L601" s="74" t="inlineStr">
        <is>
          <t>HHB0307</t>
        </is>
      </c>
      <c r="M601" s="64" t="inlineStr">
        <is>
          <t>HHB0307</t>
        </is>
      </c>
    </row>
    <row r="602" ht="29.1" customHeight="1">
      <c r="A602" s="74" t="inlineStr">
        <is>
          <t>HHB0089</t>
        </is>
      </c>
      <c r="B602" s="74" t="inlineStr">
        <is>
          <t>Bánh bao chay 30gr/cái, 6 cái/túi</t>
        </is>
      </c>
      <c r="C602" s="74" t="inlineStr">
        <is>
          <t>NNCC00276</t>
        </is>
      </c>
      <c r="D602" s="74" t="inlineStr">
        <is>
          <t>Phù sa</t>
        </is>
      </c>
      <c r="E602" s="74" t="inlineStr"/>
      <c r="F602" s="74" t="n"/>
      <c r="G602" s="74" t="inlineStr">
        <is>
          <t>kg</t>
        </is>
      </c>
      <c r="H602" s="76" t="n">
        <v>2416.67</v>
      </c>
      <c r="I602" s="73" t="n">
        <v>45870</v>
      </c>
      <c r="J602" s="73" t="n">
        <v>45900</v>
      </c>
      <c r="K602" s="74" t="inlineStr">
        <is>
          <t>1</t>
        </is>
      </c>
      <c r="L602" s="74" t="inlineStr">
        <is>
          <t>HHB0089</t>
        </is>
      </c>
      <c r="M602" s="64" t="inlineStr">
        <is>
          <t>HHB0089</t>
        </is>
      </c>
    </row>
    <row r="603" ht="29.1" customHeight="1">
      <c r="A603" s="74" t="inlineStr">
        <is>
          <t>HHB0158</t>
        </is>
      </c>
      <c r="B603" s="74" t="inlineStr">
        <is>
          <t>Bánh cupcake Hải Hà 20g/cái</t>
        </is>
      </c>
      <c r="C603" s="74" t="inlineStr">
        <is>
          <t>NNCC00276</t>
        </is>
      </c>
      <c r="D603" s="74" t="inlineStr">
        <is>
          <t>Phù sa</t>
        </is>
      </c>
      <c r="E603" s="74" t="inlineStr"/>
      <c r="F603" s="74" t="n"/>
      <c r="G603" s="74" t="inlineStr">
        <is>
          <t>kg</t>
        </is>
      </c>
      <c r="H603" s="76" t="n">
        <v>3222.23</v>
      </c>
      <c r="I603" s="73" t="n">
        <v>45870</v>
      </c>
      <c r="J603" s="73" t="n">
        <v>45900</v>
      </c>
      <c r="K603" s="74" t="inlineStr">
        <is>
          <t>1</t>
        </is>
      </c>
      <c r="L603" s="74" t="inlineStr">
        <is>
          <t>HHB0158</t>
        </is>
      </c>
      <c r="M603" s="64" t="inlineStr">
        <is>
          <t>HHB0158</t>
        </is>
      </c>
    </row>
    <row r="604" ht="29.1" customHeight="1">
      <c r="A604" s="74" t="inlineStr">
        <is>
          <t>HHB0170</t>
        </is>
      </c>
      <c r="B604" s="74" t="inlineStr">
        <is>
          <t>Bánh mỳ thường</t>
        </is>
      </c>
      <c r="C604" s="74" t="inlineStr">
        <is>
          <t>NNCC00276</t>
        </is>
      </c>
      <c r="D604" s="74" t="inlineStr">
        <is>
          <t>Phù sa</t>
        </is>
      </c>
      <c r="E604" s="74" t="inlineStr"/>
      <c r="F604" s="74" t="n"/>
      <c r="G604" s="74" t="inlineStr">
        <is>
          <t>kg</t>
        </is>
      </c>
      <c r="H604" s="76" t="n">
        <v>3000</v>
      </c>
      <c r="I604" s="73" t="n">
        <v>45870</v>
      </c>
      <c r="J604" s="73" t="n">
        <v>45900</v>
      </c>
      <c r="K604" s="74" t="inlineStr">
        <is>
          <t>1</t>
        </is>
      </c>
      <c r="L604" s="74" t="inlineStr">
        <is>
          <t>HHB0170</t>
        </is>
      </c>
      <c r="M604" s="64" t="inlineStr">
        <is>
          <t>HHB0170</t>
        </is>
      </c>
    </row>
    <row r="605" ht="29.1" customHeight="1">
      <c r="A605" s="74" t="inlineStr">
        <is>
          <t>HHB0178</t>
        </is>
      </c>
      <c r="B605" s="74" t="inlineStr">
        <is>
          <t>Bánh sandwich Hải Hà 290g/gói</t>
        </is>
      </c>
      <c r="C605" s="74" t="inlineStr">
        <is>
          <t>NNCC00276</t>
        </is>
      </c>
      <c r="D605" s="74" t="inlineStr">
        <is>
          <t>Phù sa</t>
        </is>
      </c>
      <c r="E605" s="74" t="inlineStr"/>
      <c r="F605" s="74" t="n"/>
      <c r="G605" s="74" t="inlineStr">
        <is>
          <t>kg</t>
        </is>
      </c>
      <c r="H605" s="76" t="n">
        <v>11841.67</v>
      </c>
      <c r="I605" s="73" t="n">
        <v>45870</v>
      </c>
      <c r="J605" s="73" t="n">
        <v>45900</v>
      </c>
      <c r="K605" s="74" t="inlineStr">
        <is>
          <t>1</t>
        </is>
      </c>
      <c r="L605" s="74" t="inlineStr">
        <is>
          <t>HHB0178</t>
        </is>
      </c>
      <c r="M605" s="64" t="inlineStr">
        <is>
          <t>HHB0178</t>
        </is>
      </c>
    </row>
    <row r="606" ht="29.1" customHeight="1">
      <c r="A606" s="70" t="inlineStr">
        <is>
          <t>NPG0138</t>
        </is>
      </c>
      <c r="B606" s="71" t="inlineStr">
        <is>
          <t>Tinh dầu chuối 200ml/chai</t>
        </is>
      </c>
      <c r="C606" s="70" t="inlineStr">
        <is>
          <t>NCC00480</t>
        </is>
      </c>
      <c r="D606" s="70" t="inlineStr">
        <is>
          <t>Phù sa</t>
        </is>
      </c>
      <c r="E606" s="70" t="inlineStr"/>
      <c r="F606" s="70" t="n"/>
      <c r="G606" s="70" t="inlineStr">
        <is>
          <t>Chai</t>
        </is>
      </c>
      <c r="H606" s="72" t="n">
        <v>15000</v>
      </c>
      <c r="I606" s="73" t="n">
        <v>45870</v>
      </c>
      <c r="J606" s="73" t="n">
        <v>45900</v>
      </c>
      <c r="K606" s="74" t="inlineStr">
        <is>
          <t>1</t>
        </is>
      </c>
      <c r="L606" s="74" t="inlineStr">
        <is>
          <t>NPG0138</t>
        </is>
      </c>
      <c r="M606" s="64" t="inlineStr">
        <is>
          <t>NPG0138</t>
        </is>
      </c>
    </row>
    <row r="607" ht="29.1" customHeight="1">
      <c r="A607" s="74" t="inlineStr">
        <is>
          <t>HHB0205</t>
        </is>
      </c>
      <c r="B607" s="74" t="inlineStr">
        <is>
          <t>Bánh pizza Hải Hà 40g/cái</t>
        </is>
      </c>
      <c r="C607" s="74" t="inlineStr">
        <is>
          <t>NNCC00276</t>
        </is>
      </c>
      <c r="D607" s="74" t="inlineStr">
        <is>
          <t>Phù sa</t>
        </is>
      </c>
      <c r="E607" s="74" t="inlineStr"/>
      <c r="F607" s="74" t="n"/>
      <c r="G607" s="74" t="inlineStr">
        <is>
          <t>kg</t>
        </is>
      </c>
      <c r="H607" s="76" t="n">
        <v>5638.89</v>
      </c>
      <c r="I607" s="73" t="n">
        <v>45870</v>
      </c>
      <c r="J607" s="73" t="n">
        <v>45900</v>
      </c>
      <c r="K607" s="74" t="inlineStr">
        <is>
          <t>1</t>
        </is>
      </c>
      <c r="L607" s="74" t="inlineStr">
        <is>
          <t>HHB0205</t>
        </is>
      </c>
      <c r="M607" s="64" t="inlineStr">
        <is>
          <t>HHB0205</t>
        </is>
      </c>
    </row>
    <row r="608" ht="29.1" customHeight="1">
      <c r="A608" s="74" t="inlineStr">
        <is>
          <t>HHB0204</t>
        </is>
      </c>
      <c r="B608" s="74" t="inlineStr">
        <is>
          <t>Bánh cắt 2 màu Hải Hà 25g/cái</t>
        </is>
      </c>
      <c r="C608" s="74" t="inlineStr">
        <is>
          <t>NNCC00276</t>
        </is>
      </c>
      <c r="D608" s="74" t="inlineStr">
        <is>
          <t>Phù sa</t>
        </is>
      </c>
      <c r="E608" s="74" t="inlineStr"/>
      <c r="F608" s="74" t="n"/>
      <c r="G608" s="74" t="inlineStr">
        <is>
          <t>kg</t>
        </is>
      </c>
      <c r="H608" s="76" t="n">
        <v>4027.78</v>
      </c>
      <c r="I608" s="73" t="n">
        <v>45870</v>
      </c>
      <c r="J608" s="73" t="n">
        <v>45900</v>
      </c>
      <c r="K608" s="74" t="inlineStr">
        <is>
          <t>1</t>
        </is>
      </c>
      <c r="L608" s="74" t="inlineStr">
        <is>
          <t>HHB0204</t>
        </is>
      </c>
      <c r="M608" s="64" t="inlineStr">
        <is>
          <t>HHB0204</t>
        </is>
      </c>
    </row>
    <row r="609" ht="29.1" customHeight="1">
      <c r="A609" s="74" t="inlineStr">
        <is>
          <t>HHB0174</t>
        </is>
      </c>
      <c r="B609" s="74" t="inlineStr">
        <is>
          <t>Pudding Caramen Hải Hà 50g/cái</t>
        </is>
      </c>
      <c r="C609" s="74" t="inlineStr">
        <is>
          <t>NNCC00276</t>
        </is>
      </c>
      <c r="D609" s="74" t="inlineStr">
        <is>
          <t>Phù sa</t>
        </is>
      </c>
      <c r="E609" s="74" t="inlineStr"/>
      <c r="F609" s="74" t="n"/>
      <c r="G609" s="74" t="inlineStr">
        <is>
          <t>kg</t>
        </is>
      </c>
      <c r="H609" s="76" t="n">
        <v>4833.34</v>
      </c>
      <c r="I609" s="73" t="n">
        <v>45870</v>
      </c>
      <c r="J609" s="73" t="n">
        <v>45900</v>
      </c>
      <c r="K609" s="74" t="inlineStr">
        <is>
          <t>1</t>
        </is>
      </c>
      <c r="L609" s="74" t="inlineStr">
        <is>
          <t>HHB0174</t>
        </is>
      </c>
      <c r="M609" s="64" t="inlineStr">
        <is>
          <t>HHB0174</t>
        </is>
      </c>
    </row>
    <row r="610" ht="29.1" customHeight="1">
      <c r="A610" s="74" t="inlineStr">
        <is>
          <t>HHB0265</t>
        </is>
      </c>
      <c r="B610" s="74" t="inlineStr">
        <is>
          <t>Bánh mì humburger 70 gr/ chiếc</t>
        </is>
      </c>
      <c r="C610" s="74" t="inlineStr">
        <is>
          <t>NNCC00276</t>
        </is>
      </c>
      <c r="D610" s="74" t="inlineStr">
        <is>
          <t>Phù sa</t>
        </is>
      </c>
      <c r="E610" s="74" t="inlineStr"/>
      <c r="F610" s="74" t="n"/>
      <c r="G610" s="74" t="inlineStr">
        <is>
          <t>kg</t>
        </is>
      </c>
      <c r="H610" s="76" t="n">
        <v>4027.78</v>
      </c>
      <c r="I610" s="73" t="n">
        <v>45870</v>
      </c>
      <c r="J610" s="73" t="n">
        <v>45900</v>
      </c>
      <c r="K610" s="74" t="inlineStr">
        <is>
          <t>1</t>
        </is>
      </c>
      <c r="L610" s="74" t="inlineStr">
        <is>
          <t>HHB0265</t>
        </is>
      </c>
      <c r="M610" s="64" t="inlineStr">
        <is>
          <t>HHB0265</t>
        </is>
      </c>
    </row>
    <row r="611" ht="29.1" customHeight="1">
      <c r="A611" s="74" t="inlineStr">
        <is>
          <t>HHB0314</t>
        </is>
      </c>
      <c r="B611" s="74" t="inlineStr">
        <is>
          <t>Bánh bao thập cẩm trứng cút 70g</t>
        </is>
      </c>
      <c r="C611" s="74" t="inlineStr">
        <is>
          <t>NNCC00276</t>
        </is>
      </c>
      <c r="D611" s="74" t="inlineStr">
        <is>
          <t>Phù sa</t>
        </is>
      </c>
      <c r="E611" s="74" t="inlineStr"/>
      <c r="F611" s="74" t="n"/>
      <c r="G611" s="74" t="inlineStr">
        <is>
          <t>kg</t>
        </is>
      </c>
      <c r="H611" s="76" t="n">
        <v>6041.67</v>
      </c>
      <c r="I611" s="73" t="n">
        <v>45870</v>
      </c>
      <c r="J611" s="73" t="n">
        <v>45900</v>
      </c>
      <c r="K611" s="74" t="inlineStr">
        <is>
          <t>1</t>
        </is>
      </c>
      <c r="L611" s="74" t="inlineStr">
        <is>
          <t>HHB0314</t>
        </is>
      </c>
      <c r="M611" s="64" t="inlineStr">
        <is>
          <t>HHB0314</t>
        </is>
      </c>
    </row>
    <row r="612" ht="29.1" customHeight="1">
      <c r="A612" s="74" t="inlineStr">
        <is>
          <t>HHB0313</t>
        </is>
      </c>
      <c r="B612" s="74" t="inlineStr">
        <is>
          <t>Bánh bao thập cẩm 60g/cái</t>
        </is>
      </c>
      <c r="C612" s="74" t="inlineStr">
        <is>
          <t>NNCC00276</t>
        </is>
      </c>
      <c r="D612" s="74" t="inlineStr">
        <is>
          <t>Phù sa</t>
        </is>
      </c>
      <c r="E612" s="74" t="inlineStr"/>
      <c r="F612" s="74" t="n"/>
      <c r="G612" s="74" t="inlineStr">
        <is>
          <t>kg</t>
        </is>
      </c>
      <c r="H612" s="76" t="n">
        <v>5638.89</v>
      </c>
      <c r="I612" s="73" t="n">
        <v>45870</v>
      </c>
      <c r="J612" s="73" t="n">
        <v>45900</v>
      </c>
      <c r="K612" s="74" t="inlineStr">
        <is>
          <t>1</t>
        </is>
      </c>
      <c r="L612" s="74" t="inlineStr">
        <is>
          <t>HHB0313</t>
        </is>
      </c>
      <c r="M612" s="64" t="inlineStr">
        <is>
          <t>HHB0313</t>
        </is>
      </c>
    </row>
    <row r="613" ht="29.1" customHeight="1">
      <c r="A613" s="74" t="inlineStr">
        <is>
          <t>HHB0312</t>
        </is>
      </c>
      <c r="B613" s="74" t="inlineStr">
        <is>
          <t>Bánh bao gà nấm 45g/cái</t>
        </is>
      </c>
      <c r="C613" s="74" t="inlineStr">
        <is>
          <t>NNCC00276</t>
        </is>
      </c>
      <c r="D613" s="74" t="inlineStr">
        <is>
          <t>Phù sa</t>
        </is>
      </c>
      <c r="E613" s="74" t="inlineStr"/>
      <c r="F613" s="74" t="n"/>
      <c r="G613" s="74" t="inlineStr">
        <is>
          <t>kg</t>
        </is>
      </c>
      <c r="H613" s="76" t="n">
        <v>5638.89</v>
      </c>
      <c r="I613" s="73" t="n">
        <v>45870</v>
      </c>
      <c r="J613" s="73" t="n">
        <v>45900</v>
      </c>
      <c r="K613" s="74" t="inlineStr">
        <is>
          <t>1</t>
        </is>
      </c>
      <c r="L613" s="74" t="inlineStr">
        <is>
          <t>HHB0312</t>
        </is>
      </c>
      <c r="M613" s="64" t="inlineStr">
        <is>
          <t>HHB0312</t>
        </is>
      </c>
    </row>
    <row r="614" ht="29.1" customHeight="1">
      <c r="A614" s="74" t="inlineStr">
        <is>
          <t>HHB0311</t>
        </is>
      </c>
      <c r="B614" s="74" t="inlineStr">
        <is>
          <t>Bánh bao thập cẩm xá xíu 45g/cái</t>
        </is>
      </c>
      <c r="C614" s="74" t="inlineStr">
        <is>
          <t>NNCC00276</t>
        </is>
      </c>
      <c r="D614" s="74" t="inlineStr">
        <is>
          <t>Phù sa</t>
        </is>
      </c>
      <c r="E614" s="74" t="inlineStr"/>
      <c r="F614" s="74" t="n"/>
      <c r="G614" s="74" t="inlineStr">
        <is>
          <t>kg</t>
        </is>
      </c>
      <c r="H614" s="76" t="n">
        <v>4833.34</v>
      </c>
      <c r="I614" s="73" t="n">
        <v>45870</v>
      </c>
      <c r="J614" s="73" t="n">
        <v>45900</v>
      </c>
      <c r="K614" s="74" t="inlineStr">
        <is>
          <t>1</t>
        </is>
      </c>
      <c r="L614" s="74" t="inlineStr">
        <is>
          <t>HHB0311</t>
        </is>
      </c>
      <c r="M614" s="64" t="inlineStr">
        <is>
          <t>HHB0311</t>
        </is>
      </c>
    </row>
    <row r="615" ht="29.1" customHeight="1">
      <c r="A615" s="74" t="inlineStr">
        <is>
          <t>HHS0001</t>
        </is>
      </c>
      <c r="B615" s="74" t="inlineStr">
        <is>
          <t>Sữa Mộc Châu 110ml, 48hộp/ thùng</t>
        </is>
      </c>
      <c r="C615" s="74" t="inlineStr">
        <is>
          <t>NNCC00276</t>
        </is>
      </c>
      <c r="D615" s="74" t="inlineStr">
        <is>
          <t>Phù sa</t>
        </is>
      </c>
      <c r="E615" s="74" t="inlineStr"/>
      <c r="F615" s="74" t="n"/>
      <c r="G615" s="74" t="inlineStr">
        <is>
          <t>kg</t>
        </is>
      </c>
      <c r="H615" s="76" t="n">
        <v>4010</v>
      </c>
      <c r="I615" s="73" t="n">
        <v>45870</v>
      </c>
      <c r="J615" s="73" t="n">
        <v>45900</v>
      </c>
      <c r="K615" s="74" t="inlineStr">
        <is>
          <t>1</t>
        </is>
      </c>
      <c r="L615" s="74" t="inlineStr">
        <is>
          <t>HHS0001</t>
        </is>
      </c>
      <c r="M615" s="64" t="inlineStr">
        <is>
          <t>HHS0001</t>
        </is>
      </c>
    </row>
    <row r="616" ht="29.1" customHeight="1">
      <c r="A616" s="74" t="inlineStr">
        <is>
          <t>HHS0002</t>
        </is>
      </c>
      <c r="B616" s="74" t="inlineStr">
        <is>
          <t>Sữa Mộc Châu 180ml, 48hộp/ thùng</t>
        </is>
      </c>
      <c r="C616" s="74" t="inlineStr">
        <is>
          <t>NNCC00276</t>
        </is>
      </c>
      <c r="D616" s="74" t="inlineStr">
        <is>
          <t>Phù sa</t>
        </is>
      </c>
      <c r="E616" s="74" t="inlineStr"/>
      <c r="F616" s="74" t="n"/>
      <c r="G616" s="74" t="inlineStr">
        <is>
          <t>kg</t>
        </is>
      </c>
      <c r="H616" s="76" t="n">
        <v>6200</v>
      </c>
      <c r="I616" s="73" t="n">
        <v>45870</v>
      </c>
      <c r="J616" s="73" t="n">
        <v>45900</v>
      </c>
      <c r="K616" s="74" t="inlineStr">
        <is>
          <t>1</t>
        </is>
      </c>
      <c r="L616" s="74" t="inlineStr">
        <is>
          <t>HHS0002</t>
        </is>
      </c>
      <c r="M616" s="64" t="inlineStr">
        <is>
          <t>HHS0002</t>
        </is>
      </c>
    </row>
    <row r="617" ht="29.1" customHeight="1">
      <c r="A617" s="74" t="inlineStr">
        <is>
          <t>HHS0003</t>
        </is>
      </c>
      <c r="B617" s="74" t="inlineStr">
        <is>
          <t>Sữa TH 110ml, 48hộp/ thùng</t>
        </is>
      </c>
      <c r="C617" s="74" t="inlineStr">
        <is>
          <t>NNCC00276</t>
        </is>
      </c>
      <c r="D617" s="74" t="inlineStr">
        <is>
          <t>Phù sa</t>
        </is>
      </c>
      <c r="E617" s="74" t="inlineStr"/>
      <c r="F617" s="74" t="n"/>
      <c r="G617" s="74" t="inlineStr">
        <is>
          <t>kg</t>
        </is>
      </c>
      <c r="H617" s="76" t="n">
        <v>5575</v>
      </c>
      <c r="I617" s="73" t="n">
        <v>45870</v>
      </c>
      <c r="J617" s="73" t="n">
        <v>45900</v>
      </c>
      <c r="K617" s="74" t="inlineStr">
        <is>
          <t>1</t>
        </is>
      </c>
      <c r="L617" s="74" t="inlineStr">
        <is>
          <t>HHS0003</t>
        </is>
      </c>
      <c r="M617" s="64" t="inlineStr">
        <is>
          <t>HHS0003</t>
        </is>
      </c>
    </row>
    <row r="618" ht="29.1" customHeight="1">
      <c r="A618" s="74" t="inlineStr">
        <is>
          <t>HHS0004</t>
        </is>
      </c>
      <c r="B618" s="74" t="inlineStr">
        <is>
          <t>Sữa Vinamilk ADM 110ml, 48 hộp/ thùng</t>
        </is>
      </c>
      <c r="C618" s="74" t="inlineStr">
        <is>
          <t>NNCC00276</t>
        </is>
      </c>
      <c r="D618" s="74" t="inlineStr">
        <is>
          <t>Phù sa</t>
        </is>
      </c>
      <c r="E618" s="74" t="inlineStr"/>
      <c r="F618" s="74" t="n"/>
      <c r="G618" s="74" t="inlineStr">
        <is>
          <t>kg</t>
        </is>
      </c>
      <c r="H618" s="76" t="n">
        <v>4080</v>
      </c>
      <c r="I618" s="73" t="n">
        <v>45870</v>
      </c>
      <c r="J618" s="73" t="n">
        <v>45900</v>
      </c>
      <c r="K618" s="74" t="inlineStr">
        <is>
          <t>1</t>
        </is>
      </c>
      <c r="L618" s="74" t="inlineStr">
        <is>
          <t>HHS0004</t>
        </is>
      </c>
      <c r="M618" s="64" t="inlineStr">
        <is>
          <t>HHS0004</t>
        </is>
      </c>
    </row>
    <row r="619" ht="29.1" customHeight="1">
      <c r="A619" s="74" t="inlineStr">
        <is>
          <t>HHS0009</t>
        </is>
      </c>
      <c r="B619" s="74" t="inlineStr">
        <is>
          <t>Sữa milo 180ml, 48hộp/thùng</t>
        </is>
      </c>
      <c r="C619" s="74" t="inlineStr">
        <is>
          <t>NNCC00276</t>
        </is>
      </c>
      <c r="D619" s="74" t="inlineStr">
        <is>
          <t>Phù sa</t>
        </is>
      </c>
      <c r="E619" s="74" t="inlineStr"/>
      <c r="F619" s="74" t="n"/>
      <c r="G619" s="74" t="inlineStr">
        <is>
          <t>kg</t>
        </is>
      </c>
      <c r="H619" s="76" t="n">
        <v>6798</v>
      </c>
      <c r="I619" s="73" t="n">
        <v>45870</v>
      </c>
      <c r="J619" s="73" t="n">
        <v>45900</v>
      </c>
      <c r="K619" s="74" t="inlineStr">
        <is>
          <t>1</t>
        </is>
      </c>
      <c r="L619" s="74" t="inlineStr">
        <is>
          <t>HHS0009</t>
        </is>
      </c>
      <c r="M619" s="64" t="inlineStr">
        <is>
          <t>HHS0009</t>
        </is>
      </c>
    </row>
    <row r="620" ht="29.1" customHeight="1">
      <c r="A620" s="74" t="inlineStr">
        <is>
          <t>HHS0018</t>
        </is>
      </c>
      <c r="B620" s="74" t="inlineStr">
        <is>
          <t>Sữa chua vinamilk nha đam 48 hộp/thùng</t>
        </is>
      </c>
      <c r="C620" s="74" t="inlineStr">
        <is>
          <t>NNCC00276</t>
        </is>
      </c>
      <c r="D620" s="74" t="inlineStr">
        <is>
          <t>Phù sa</t>
        </is>
      </c>
      <c r="E620" s="74" t="inlineStr"/>
      <c r="F620" s="74" t="n"/>
      <c r="G620" s="74" t="inlineStr">
        <is>
          <t>kg</t>
        </is>
      </c>
      <c r="H620" s="76" t="n">
        <v>6576</v>
      </c>
      <c r="I620" s="73" t="n">
        <v>45870</v>
      </c>
      <c r="J620" s="73" t="n">
        <v>45900</v>
      </c>
      <c r="K620" s="74" t="inlineStr">
        <is>
          <t>1</t>
        </is>
      </c>
      <c r="L620" s="74" t="inlineStr">
        <is>
          <t>HHS0018</t>
        </is>
      </c>
      <c r="M620" s="64" t="inlineStr">
        <is>
          <t>HHS0018</t>
        </is>
      </c>
    </row>
    <row r="621" ht="29.1" customHeight="1">
      <c r="A621" s="74" t="inlineStr">
        <is>
          <t>HHS0025</t>
        </is>
      </c>
      <c r="B621" s="74" t="inlineStr">
        <is>
          <t>Sữa TH True Milk 180ml, 48 hộp/thùng</t>
        </is>
      </c>
      <c r="C621" s="74" t="inlineStr">
        <is>
          <t>NNCC00276</t>
        </is>
      </c>
      <c r="D621" s="74" t="inlineStr">
        <is>
          <t>Phù sa</t>
        </is>
      </c>
      <c r="E621" s="74" t="inlineStr"/>
      <c r="F621" s="74" t="n"/>
      <c r="G621" s="74" t="inlineStr">
        <is>
          <t>kg</t>
        </is>
      </c>
      <c r="H621" s="76" t="n">
        <v>8740</v>
      </c>
      <c r="I621" s="73" t="n">
        <v>45870</v>
      </c>
      <c r="J621" s="73" t="n">
        <v>45900</v>
      </c>
      <c r="K621" s="74" t="inlineStr">
        <is>
          <t>1</t>
        </is>
      </c>
      <c r="L621" s="74" t="inlineStr">
        <is>
          <t>HHS0025</t>
        </is>
      </c>
      <c r="M621" s="64" t="inlineStr">
        <is>
          <t>HHS0025</t>
        </is>
      </c>
    </row>
    <row r="622" ht="29.1" customHeight="1">
      <c r="A622" s="74" t="inlineStr">
        <is>
          <t>HHS0034</t>
        </is>
      </c>
      <c r="B622" s="74" t="inlineStr">
        <is>
          <t>Sữa ZINZIN 110ml, 48 hộp /thùng</t>
        </is>
      </c>
      <c r="C622" s="74" t="inlineStr">
        <is>
          <t>NNCC00276</t>
        </is>
      </c>
      <c r="D622" s="74" t="inlineStr">
        <is>
          <t>Phù sa</t>
        </is>
      </c>
      <c r="E622" s="74" t="inlineStr"/>
      <c r="F622" s="74" t="n"/>
      <c r="G622" s="74" t="inlineStr">
        <is>
          <t>kg</t>
        </is>
      </c>
      <c r="H622" s="76" t="n">
        <v>3207</v>
      </c>
      <c r="I622" s="73" t="n">
        <v>45870</v>
      </c>
      <c r="J622" s="73" t="n">
        <v>45900</v>
      </c>
      <c r="K622" s="74" t="inlineStr">
        <is>
          <t>1</t>
        </is>
      </c>
      <c r="L622" s="74" t="inlineStr">
        <is>
          <t>HHS0034</t>
        </is>
      </c>
      <c r="M622" s="64" t="inlineStr">
        <is>
          <t>HHS0034</t>
        </is>
      </c>
    </row>
    <row r="623" ht="29.1" customHeight="1">
      <c r="A623" s="74" t="inlineStr">
        <is>
          <t>HHS0044</t>
        </is>
      </c>
      <c r="B623" s="74" t="inlineStr">
        <is>
          <t>Sữa tươi elovi 180ml, 48 hộp/thùng</t>
        </is>
      </c>
      <c r="C623" s="74" t="inlineStr">
        <is>
          <t>NNCC00276</t>
        </is>
      </c>
      <c r="D623" s="74" t="inlineStr">
        <is>
          <t>Phù sa</t>
        </is>
      </c>
      <c r="E623" s="74" t="inlineStr"/>
      <c r="F623" s="74" t="n"/>
      <c r="G623" s="74" t="inlineStr">
        <is>
          <t>kg</t>
        </is>
      </c>
      <c r="H623" s="76" t="n">
        <v>4906</v>
      </c>
      <c r="I623" s="73" t="n">
        <v>45870</v>
      </c>
      <c r="J623" s="73" t="n">
        <v>45900</v>
      </c>
      <c r="K623" s="74" t="inlineStr">
        <is>
          <t>1</t>
        </is>
      </c>
      <c r="L623" s="74" t="inlineStr">
        <is>
          <t>HHS0044</t>
        </is>
      </c>
      <c r="M623" s="64" t="inlineStr">
        <is>
          <t>HHS0044</t>
        </is>
      </c>
    </row>
    <row r="624" ht="29.1" customHeight="1">
      <c r="A624" s="74" t="inlineStr">
        <is>
          <t>HHS0045</t>
        </is>
      </c>
      <c r="B624" s="74" t="inlineStr">
        <is>
          <t>Sữa đậu nành Nuti nguyên chất 200ml, 36 hộp/ thùng</t>
        </is>
      </c>
      <c r="C624" s="74" t="inlineStr">
        <is>
          <t>NNCC00276</t>
        </is>
      </c>
      <c r="D624" s="74" t="inlineStr">
        <is>
          <t>Phù sa</t>
        </is>
      </c>
      <c r="E624" s="74" t="inlineStr"/>
      <c r="F624" s="74" t="n"/>
      <c r="G624" s="74" t="inlineStr">
        <is>
          <t>kg</t>
        </is>
      </c>
      <c r="H624" s="76" t="n">
        <v>3900</v>
      </c>
      <c r="I624" s="73" t="n">
        <v>45870</v>
      </c>
      <c r="J624" s="73" t="n">
        <v>45900</v>
      </c>
      <c r="K624" s="74" t="inlineStr">
        <is>
          <t>1</t>
        </is>
      </c>
      <c r="L624" s="74" t="inlineStr">
        <is>
          <t>HHS0045</t>
        </is>
      </c>
      <c r="M624" s="64" t="inlineStr">
        <is>
          <t>HHS0045</t>
        </is>
      </c>
    </row>
    <row r="625" ht="29.1" customHeight="1">
      <c r="A625" s="74" t="inlineStr">
        <is>
          <t>HHS0054</t>
        </is>
      </c>
      <c r="B625" s="74" t="inlineStr">
        <is>
          <t>Sữa tươi 100% Vinamilk 180ml, 48 hộp /thùng</t>
        </is>
      </c>
      <c r="C625" s="74" t="inlineStr">
        <is>
          <t>NNCC00276</t>
        </is>
      </c>
      <c r="D625" s="74" t="inlineStr">
        <is>
          <t>Phù sa</t>
        </is>
      </c>
      <c r="E625" s="74" t="inlineStr"/>
      <c r="F625" s="74" t="n"/>
      <c r="G625" s="74" t="inlineStr">
        <is>
          <t>kg</t>
        </is>
      </c>
      <c r="H625" s="76" t="n">
        <v>7584</v>
      </c>
      <c r="I625" s="73" t="n">
        <v>45870</v>
      </c>
      <c r="J625" s="73" t="n">
        <v>45900</v>
      </c>
      <c r="K625" s="74" t="inlineStr">
        <is>
          <t>1</t>
        </is>
      </c>
      <c r="L625" s="74" t="inlineStr">
        <is>
          <t>HHS0054</t>
        </is>
      </c>
      <c r="M625" s="64" t="inlineStr">
        <is>
          <t>HHS0054</t>
        </is>
      </c>
    </row>
    <row r="626" ht="29.1" customHeight="1">
      <c r="A626" s="74" t="inlineStr">
        <is>
          <t>HHS0104</t>
        </is>
      </c>
      <c r="B626" s="74" t="inlineStr">
        <is>
          <t>Sữa tươi Vinamilk 100% không đường 180ml/ hộp</t>
        </is>
      </c>
      <c r="C626" s="74" t="inlineStr">
        <is>
          <t>NNCC00276</t>
        </is>
      </c>
      <c r="D626" s="74" t="inlineStr">
        <is>
          <t>Phù sa</t>
        </is>
      </c>
      <c r="E626" s="74" t="inlineStr"/>
      <c r="F626" s="74" t="n"/>
      <c r="G626" s="74" t="inlineStr">
        <is>
          <t>kg</t>
        </is>
      </c>
      <c r="H626" s="76" t="n">
        <v>7584</v>
      </c>
      <c r="I626" s="73" t="n">
        <v>45870</v>
      </c>
      <c r="J626" s="73" t="n">
        <v>45900</v>
      </c>
      <c r="K626" s="74" t="inlineStr">
        <is>
          <t>1</t>
        </is>
      </c>
      <c r="L626" s="74" t="inlineStr">
        <is>
          <t>HHS0104</t>
        </is>
      </c>
      <c r="M626" s="64" t="inlineStr">
        <is>
          <t>HHS0104</t>
        </is>
      </c>
    </row>
    <row r="627" ht="29.1" customHeight="1">
      <c r="A627" s="74" t="inlineStr">
        <is>
          <t>HHS0109</t>
        </is>
      </c>
      <c r="B627" s="74" t="inlineStr">
        <is>
          <t>Sữa chua Ba Vì có đường KAKA 100g, 48 hộp/ thùng</t>
        </is>
      </c>
      <c r="C627" s="74" t="inlineStr">
        <is>
          <t>NNCC00276</t>
        </is>
      </c>
      <c r="D627" s="74" t="inlineStr">
        <is>
          <t>Phù sa</t>
        </is>
      </c>
      <c r="E627" s="74" t="inlineStr"/>
      <c r="F627" s="74" t="n"/>
      <c r="G627" s="74" t="inlineStr">
        <is>
          <t>kg</t>
        </is>
      </c>
      <c r="H627" s="76" t="n">
        <v>3320</v>
      </c>
      <c r="I627" s="73" t="n">
        <v>45870</v>
      </c>
      <c r="J627" s="73" t="n">
        <v>45900</v>
      </c>
      <c r="K627" s="74" t="inlineStr">
        <is>
          <t>1</t>
        </is>
      </c>
      <c r="L627" s="74" t="inlineStr">
        <is>
          <t>HHS0109</t>
        </is>
      </c>
      <c r="M627" s="64" t="inlineStr">
        <is>
          <t>HHS0109</t>
        </is>
      </c>
    </row>
    <row r="628" ht="29.1" customHeight="1">
      <c r="A628" s="74" t="inlineStr">
        <is>
          <t>HHS0110</t>
        </is>
      </c>
      <c r="B628" s="74" t="inlineStr">
        <is>
          <t>Sữa tươi Vinamilk 100% không đường 1 lít/hộp</t>
        </is>
      </c>
      <c r="C628" s="74" t="inlineStr">
        <is>
          <t>NNCC00276</t>
        </is>
      </c>
      <c r="D628" s="74" t="inlineStr">
        <is>
          <t>Phù sa</t>
        </is>
      </c>
      <c r="E628" s="74" t="inlineStr"/>
      <c r="F628" s="74" t="n"/>
      <c r="G628" s="74" t="inlineStr">
        <is>
          <t>kg</t>
        </is>
      </c>
      <c r="H628" s="76" t="n">
        <v>34558</v>
      </c>
      <c r="I628" s="73" t="n">
        <v>45870</v>
      </c>
      <c r="J628" s="73" t="n">
        <v>45900</v>
      </c>
      <c r="K628" s="74" t="inlineStr">
        <is>
          <t>1</t>
        </is>
      </c>
      <c r="L628" s="74" t="inlineStr">
        <is>
          <t>HHS0110</t>
        </is>
      </c>
      <c r="M628" s="64" t="inlineStr">
        <is>
          <t>HHS0110</t>
        </is>
      </c>
    </row>
    <row r="629" ht="29.1" customHeight="1">
      <c r="A629" s="74" t="inlineStr">
        <is>
          <t>HHS0113</t>
        </is>
      </c>
      <c r="B629" s="74" t="inlineStr">
        <is>
          <t>Sữa TH True Milk  ít đường 180ml, 48 hộp/thùng</t>
        </is>
      </c>
      <c r="C629" s="74" t="inlineStr">
        <is>
          <t>NNCC00276</t>
        </is>
      </c>
      <c r="D629" s="74" t="inlineStr">
        <is>
          <t>Phù sa</t>
        </is>
      </c>
      <c r="E629" s="74" t="inlineStr"/>
      <c r="F629" s="74" t="n"/>
      <c r="G629" s="74" t="inlineStr">
        <is>
          <t>kg</t>
        </is>
      </c>
      <c r="H629" s="76" t="n">
        <v>8740</v>
      </c>
      <c r="I629" s="73" t="n">
        <v>45870</v>
      </c>
      <c r="J629" s="73" t="n">
        <v>45900</v>
      </c>
      <c r="K629" s="74" t="inlineStr">
        <is>
          <t>1</t>
        </is>
      </c>
      <c r="L629" s="74" t="inlineStr">
        <is>
          <t>HHS0113</t>
        </is>
      </c>
      <c r="M629" s="64" t="inlineStr">
        <is>
          <t>HHS0113</t>
        </is>
      </c>
    </row>
    <row r="630" ht="29.1" customHeight="1">
      <c r="A630" s="74" t="inlineStr">
        <is>
          <t>HHS0129</t>
        </is>
      </c>
      <c r="B630" s="74" t="inlineStr">
        <is>
          <t>Sữa chua Ba Vì có đường KAKA 70g, 48 hộp/ thùng</t>
        </is>
      </c>
      <c r="C630" s="74" t="inlineStr">
        <is>
          <t>NNCC00276</t>
        </is>
      </c>
      <c r="D630" s="74" t="inlineStr">
        <is>
          <t>Phù sa</t>
        </is>
      </c>
      <c r="E630" s="74" t="inlineStr"/>
      <c r="F630" s="74" t="n"/>
      <c r="G630" s="74" t="inlineStr">
        <is>
          <t>kg</t>
        </is>
      </c>
      <c r="H630" s="76" t="n">
        <v>2750</v>
      </c>
      <c r="I630" s="73" t="n">
        <v>45870</v>
      </c>
      <c r="J630" s="73" t="n">
        <v>45900</v>
      </c>
      <c r="K630" s="74" t="inlineStr">
        <is>
          <t>1</t>
        </is>
      </c>
      <c r="L630" s="74" t="inlineStr">
        <is>
          <t>HHS0129</t>
        </is>
      </c>
      <c r="M630" s="64" t="inlineStr">
        <is>
          <t>HHS0129</t>
        </is>
      </c>
    </row>
    <row r="631" ht="29.1" customHeight="1">
      <c r="A631" s="74" t="inlineStr">
        <is>
          <t>HHS0144</t>
        </is>
      </c>
      <c r="B631" s="74" t="inlineStr">
        <is>
          <t>Sữa chua nếp cẩm Ba Vì 110g, 12 hộp/thùng</t>
        </is>
      </c>
      <c r="C631" s="74" t="inlineStr">
        <is>
          <t>NNCC00276</t>
        </is>
      </c>
      <c r="D631" s="74" t="inlineStr">
        <is>
          <t>Phù sa</t>
        </is>
      </c>
      <c r="E631" s="74" t="inlineStr"/>
      <c r="F631" s="74" t="n"/>
      <c r="G631" s="74" t="inlineStr">
        <is>
          <t>kg</t>
        </is>
      </c>
      <c r="H631" s="76" t="n">
        <v>5800</v>
      </c>
      <c r="I631" s="73" t="n">
        <v>45870</v>
      </c>
      <c r="J631" s="73" t="n">
        <v>45900</v>
      </c>
      <c r="K631" s="74" t="inlineStr">
        <is>
          <t>1</t>
        </is>
      </c>
      <c r="L631" s="74" t="inlineStr">
        <is>
          <t>HHS0144</t>
        </is>
      </c>
      <c r="M631" s="64" t="inlineStr">
        <is>
          <t>HHS0144</t>
        </is>
      </c>
    </row>
    <row r="632" ht="29.1" customHeight="1">
      <c r="A632" s="74" t="inlineStr">
        <is>
          <t>HHS0146</t>
        </is>
      </c>
      <c r="B632" s="74" t="inlineStr">
        <is>
          <t>Sữa Kun Socola lúa mạch 110ml, 48 hộp/thùng</t>
        </is>
      </c>
      <c r="C632" s="74" t="inlineStr">
        <is>
          <t>NNCC00276</t>
        </is>
      </c>
      <c r="D632" s="74" t="inlineStr">
        <is>
          <t>Phù sa</t>
        </is>
      </c>
      <c r="E632" s="74" t="inlineStr"/>
      <c r="F632" s="74" t="n"/>
      <c r="G632" s="74" t="inlineStr">
        <is>
          <t>kg</t>
        </is>
      </c>
      <c r="H632" s="76" t="n">
        <v>3465</v>
      </c>
      <c r="I632" s="73" t="n">
        <v>45870</v>
      </c>
      <c r="J632" s="73" t="n">
        <v>45900</v>
      </c>
      <c r="K632" s="74" t="inlineStr">
        <is>
          <t>1</t>
        </is>
      </c>
      <c r="L632" s="74" t="inlineStr">
        <is>
          <t>HHS0146</t>
        </is>
      </c>
      <c r="M632" s="64" t="inlineStr">
        <is>
          <t>HHS0146</t>
        </is>
      </c>
    </row>
    <row r="633" ht="29.1" customHeight="1">
      <c r="A633" s="74" t="inlineStr">
        <is>
          <t>HHS0336</t>
        </is>
      </c>
      <c r="B633" s="74" t="inlineStr">
        <is>
          <t>Sữa trái cây TH True Juice Milk Topkid hương cam 110ml/hộp</t>
        </is>
      </c>
      <c r="C633" s="74" t="inlineStr">
        <is>
          <t>NNCC00276</t>
        </is>
      </c>
      <c r="D633" s="74" t="inlineStr">
        <is>
          <t>Phù sa</t>
        </is>
      </c>
      <c r="E633" s="74" t="inlineStr"/>
      <c r="F633" s="74" t="n"/>
      <c r="G633" s="74" t="inlineStr">
        <is>
          <t>kg</t>
        </is>
      </c>
      <c r="H633" s="76" t="n">
        <v>4504</v>
      </c>
      <c r="I633" s="73" t="n">
        <v>45870</v>
      </c>
      <c r="J633" s="73" t="n">
        <v>45900</v>
      </c>
      <c r="K633" s="74" t="inlineStr">
        <is>
          <t>1</t>
        </is>
      </c>
      <c r="L633" s="74" t="inlineStr">
        <is>
          <t>HHS0336</t>
        </is>
      </c>
      <c r="M633" s="64" t="inlineStr">
        <is>
          <t>HHS0336</t>
        </is>
      </c>
    </row>
    <row r="634" ht="29.1" customHeight="1">
      <c r="A634" s="74" t="inlineStr">
        <is>
          <t>HHS0101</t>
        </is>
      </c>
      <c r="B634" s="74" t="inlineStr">
        <is>
          <t>Sữa chua elovi 95g *48 hộp/thùng</t>
        </is>
      </c>
      <c r="C634" s="74" t="inlineStr">
        <is>
          <t>NNCC00276</t>
        </is>
      </c>
      <c r="D634" s="74" t="inlineStr">
        <is>
          <t>Phù sa</t>
        </is>
      </c>
      <c r="E634" s="74" t="inlineStr"/>
      <c r="F634" s="74" t="n"/>
      <c r="G634" s="74" t="inlineStr">
        <is>
          <t>kg</t>
        </is>
      </c>
      <c r="H634" s="76" t="n">
        <v>3432</v>
      </c>
      <c r="I634" s="73" t="n">
        <v>45870</v>
      </c>
      <c r="J634" s="73" t="n">
        <v>45900</v>
      </c>
      <c r="K634" s="74" t="inlineStr">
        <is>
          <t>1</t>
        </is>
      </c>
      <c r="L634" s="74" t="inlineStr">
        <is>
          <t>HHS0101</t>
        </is>
      </c>
      <c r="M634" s="64" t="inlineStr">
        <is>
          <t>HHS0101</t>
        </is>
      </c>
    </row>
    <row r="635" ht="29.1" customHeight="1">
      <c r="A635" s="74" t="inlineStr">
        <is>
          <t>NLS0321</t>
        </is>
      </c>
      <c r="B635" s="74" t="inlineStr">
        <is>
          <t>tôm đồng</t>
        </is>
      </c>
      <c r="C635" s="74" t="inlineStr">
        <is>
          <t>NNCC00276</t>
        </is>
      </c>
      <c r="D635" s="74" t="inlineStr">
        <is>
          <t>Phù sa</t>
        </is>
      </c>
      <c r="E635" s="74" t="inlineStr"/>
      <c r="F635" s="74" t="n"/>
      <c r="G635" s="74" t="inlineStr">
        <is>
          <t>kg</t>
        </is>
      </c>
      <c r="H635" s="76" t="n">
        <v>170000</v>
      </c>
      <c r="I635" s="73" t="n">
        <v>45870</v>
      </c>
      <c r="J635" s="73" t="n">
        <v>45900</v>
      </c>
      <c r="K635" s="74" t="inlineStr">
        <is>
          <t>1</t>
        </is>
      </c>
      <c r="L635" s="74" t="inlineStr">
        <is>
          <t>NLS0321</t>
        </is>
      </c>
      <c r="M635" s="64" t="inlineStr">
        <is>
          <t>NLS0321</t>
        </is>
      </c>
    </row>
    <row r="636" ht="29.1" customHeight="1">
      <c r="A636" s="74" t="inlineStr">
        <is>
          <t>NLT0081</t>
        </is>
      </c>
      <c r="B636" s="74" t="inlineStr">
        <is>
          <t>Thịt nạc vai</t>
        </is>
      </c>
      <c r="C636" s="74" t="inlineStr">
        <is>
          <t>NNCC00276</t>
        </is>
      </c>
      <c r="D636" s="74" t="inlineStr">
        <is>
          <t>Phù sa</t>
        </is>
      </c>
      <c r="E636" s="74" t="inlineStr"/>
      <c r="F636" s="74" t="n"/>
      <c r="G636" s="74" t="inlineStr">
        <is>
          <t>kg</t>
        </is>
      </c>
      <c r="H636" s="76" t="n">
        <v>130000</v>
      </c>
      <c r="I636" s="73" t="n">
        <v>45870</v>
      </c>
      <c r="J636" s="73" t="n">
        <v>45900</v>
      </c>
      <c r="K636" s="74" t="inlineStr">
        <is>
          <t>1</t>
        </is>
      </c>
      <c r="L636" s="74" t="inlineStr">
        <is>
          <t>NLT0081</t>
        </is>
      </c>
      <c r="M636" s="393" t="inlineStr">
        <is>
          <t>NLT0081</t>
        </is>
      </c>
    </row>
    <row r="637" ht="29.1" customHeight="1">
      <c r="A637" s="74" t="inlineStr">
        <is>
          <t>NLQ0018</t>
        </is>
      </c>
      <c r="B637" s="74" t="inlineStr">
        <is>
          <t>Quả quýt</t>
        </is>
      </c>
      <c r="C637" s="74" t="inlineStr">
        <is>
          <t>NNCC00276</t>
        </is>
      </c>
      <c r="D637" s="74" t="inlineStr">
        <is>
          <t>Phù sa</t>
        </is>
      </c>
      <c r="E637" s="74" t="inlineStr"/>
      <c r="F637" s="74" t="n"/>
      <c r="G637" s="74" t="inlineStr">
        <is>
          <t>kg</t>
        </is>
      </c>
      <c r="H637" s="76" t="n">
        <v>30000</v>
      </c>
      <c r="I637" s="73" t="n">
        <v>45870</v>
      </c>
      <c r="J637" s="73" t="n">
        <v>45900</v>
      </c>
      <c r="K637" s="74" t="inlineStr">
        <is>
          <t>1</t>
        </is>
      </c>
      <c r="L637" s="74" t="inlineStr">
        <is>
          <t>NLQ0018</t>
        </is>
      </c>
      <c r="M637" s="64" t="inlineStr">
        <is>
          <t>NLQ0018</t>
        </is>
      </c>
    </row>
    <row r="638" ht="29.1" customHeight="1">
      <c r="A638" s="74" t="inlineStr">
        <is>
          <t>NLQ0009</t>
        </is>
      </c>
      <c r="B638" s="74" t="inlineStr">
        <is>
          <t>quả chôm chôm</t>
        </is>
      </c>
      <c r="C638" s="74" t="inlineStr">
        <is>
          <t>NNCC00276</t>
        </is>
      </c>
      <c r="D638" s="74" t="inlineStr">
        <is>
          <t>Phù sa</t>
        </is>
      </c>
      <c r="E638" s="74" t="inlineStr"/>
      <c r="F638" s="74" t="n"/>
      <c r="G638" s="74" t="inlineStr">
        <is>
          <t>kg</t>
        </is>
      </c>
      <c r="H638" s="76" t="n">
        <v>25000</v>
      </c>
      <c r="I638" s="73" t="n">
        <v>45870</v>
      </c>
      <c r="J638" s="73" t="n">
        <v>45900</v>
      </c>
      <c r="K638" s="74" t="inlineStr">
        <is>
          <t>1</t>
        </is>
      </c>
      <c r="L638" s="74" t="inlineStr">
        <is>
          <t>NLQ0009</t>
        </is>
      </c>
      <c r="M638" s="64" t="inlineStr">
        <is>
          <t>NLQ0009</t>
        </is>
      </c>
    </row>
    <row r="639" ht="29.1" customHeight="1">
      <c r="A639" s="74" t="inlineStr">
        <is>
          <t>NLT0559</t>
        </is>
      </c>
      <c r="B639" s="74" t="inlineStr">
        <is>
          <t>chim cút sơ chế</t>
        </is>
      </c>
      <c r="C639" s="74" t="inlineStr">
        <is>
          <t>NNCC00276</t>
        </is>
      </c>
      <c r="D639" s="74" t="inlineStr">
        <is>
          <t>Phù sa</t>
        </is>
      </c>
      <c r="E639" s="74" t="inlineStr"/>
      <c r="F639" s="74" t="n"/>
      <c r="G639" s="74" t="inlineStr">
        <is>
          <t>kg</t>
        </is>
      </c>
      <c r="H639" s="76" t="n">
        <v>17500</v>
      </c>
      <c r="I639" s="73" t="n">
        <v>45870</v>
      </c>
      <c r="J639" s="73" t="n">
        <v>45900</v>
      </c>
      <c r="K639" s="74" t="inlineStr">
        <is>
          <t>1</t>
        </is>
      </c>
      <c r="L639" s="74" t="inlineStr">
        <is>
          <t>NLT0559</t>
        </is>
      </c>
      <c r="M639" s="64" t="inlineStr">
        <is>
          <t>NLT0559</t>
        </is>
      </c>
    </row>
    <row r="640" ht="29.1" customHeight="1">
      <c r="A640" s="74" t="inlineStr">
        <is>
          <t>NLG0024</t>
        </is>
      </c>
      <c r="B640" s="74" t="inlineStr">
        <is>
          <t xml:space="preserve">Mỳ ý Spaghetti </t>
        </is>
      </c>
      <c r="C640" s="74" t="inlineStr">
        <is>
          <t>NNCC00276</t>
        </is>
      </c>
      <c r="D640" s="74" t="inlineStr">
        <is>
          <t>Phù sa</t>
        </is>
      </c>
      <c r="E640" s="74" t="inlineStr"/>
      <c r="F640" s="74" t="n"/>
      <c r="G640" s="74" t="inlineStr">
        <is>
          <t>kg</t>
        </is>
      </c>
      <c r="H640" s="76" t="n">
        <v>54000</v>
      </c>
      <c r="I640" s="73" t="n">
        <v>45870</v>
      </c>
      <c r="J640" s="73" t="n">
        <v>45900</v>
      </c>
      <c r="K640" s="74" t="inlineStr">
        <is>
          <t>1</t>
        </is>
      </c>
      <c r="L640" s="74" t="inlineStr">
        <is>
          <t>NLG0024</t>
        </is>
      </c>
      <c r="M640" s="64" t="inlineStr">
        <is>
          <t>NLG0024</t>
        </is>
      </c>
    </row>
    <row r="641" ht="29.1" customHeight="1">
      <c r="A641" s="74" t="inlineStr">
        <is>
          <t>NLT0090</t>
        </is>
      </c>
      <c r="B641" s="74" t="inlineStr">
        <is>
          <t>Thịt nạc thăn</t>
        </is>
      </c>
      <c r="C641" s="74" t="inlineStr">
        <is>
          <t>NNCC00276</t>
        </is>
      </c>
      <c r="D641" s="74" t="inlineStr">
        <is>
          <t>Phù sa</t>
        </is>
      </c>
      <c r="E641" s="74" t="inlineStr"/>
      <c r="F641" s="74" t="n"/>
      <c r="G641" s="74" t="inlineStr">
        <is>
          <t>kg</t>
        </is>
      </c>
      <c r="H641" s="76" t="n">
        <v>130000</v>
      </c>
      <c r="I641" s="73" t="n">
        <v>45870</v>
      </c>
      <c r="J641" s="73" t="n">
        <v>45900</v>
      </c>
      <c r="K641" s="74" t="inlineStr">
        <is>
          <t>1</t>
        </is>
      </c>
      <c r="L641" s="74" t="inlineStr">
        <is>
          <t>NLT0090</t>
        </is>
      </c>
      <c r="M641" s="64" t="inlineStr">
        <is>
          <t>NLT0090</t>
        </is>
      </c>
    </row>
    <row r="642" ht="29.1" customHeight="1">
      <c r="A642" s="74" t="inlineStr">
        <is>
          <t>HHN0153</t>
        </is>
      </c>
      <c r="B642" s="74" t="inlineStr">
        <is>
          <t>Sữa trái cây Lif Kun IDP 180ml, 48 hộp/thùng</t>
        </is>
      </c>
      <c r="C642" s="74" t="inlineStr">
        <is>
          <t>NNCC00276</t>
        </is>
      </c>
      <c r="D642" s="74" t="inlineStr">
        <is>
          <t>Phù sa</t>
        </is>
      </c>
      <c r="E642" s="74" t="inlineStr"/>
      <c r="F642" s="74" t="n"/>
      <c r="G642" s="74" t="inlineStr">
        <is>
          <t>kg</t>
        </is>
      </c>
      <c r="H642" s="76" t="n">
        <v>3168</v>
      </c>
      <c r="I642" s="73" t="n">
        <v>45870</v>
      </c>
      <c r="J642" s="73" t="n">
        <v>45900</v>
      </c>
      <c r="K642" s="74" t="inlineStr">
        <is>
          <t>1</t>
        </is>
      </c>
      <c r="L642" s="74" t="inlineStr">
        <is>
          <t>HHN0153</t>
        </is>
      </c>
      <c r="M642" s="64" t="inlineStr">
        <is>
          <t>HHN0153</t>
        </is>
      </c>
    </row>
    <row r="643" ht="29.1" customHeight="1">
      <c r="A643" s="74" t="inlineStr">
        <is>
          <t>NLT0100</t>
        </is>
      </c>
      <c r="B643" s="74" t="inlineStr">
        <is>
          <t>trứng cút bóc vỏ</t>
        </is>
      </c>
      <c r="C643" s="74" t="inlineStr">
        <is>
          <t>NNCC00276</t>
        </is>
      </c>
      <c r="D643" s="74" t="inlineStr">
        <is>
          <t>Phù sa</t>
        </is>
      </c>
      <c r="E643" s="74" t="inlineStr"/>
      <c r="F643" s="74" t="n"/>
      <c r="G643" s="74" t="inlineStr">
        <is>
          <t>kg</t>
        </is>
      </c>
      <c r="H643" s="76" t="n">
        <v>850</v>
      </c>
      <c r="I643" s="73" t="n">
        <v>45870</v>
      </c>
      <c r="J643" s="73" t="n">
        <v>45900</v>
      </c>
      <c r="K643" s="74" t="inlineStr">
        <is>
          <t>1</t>
        </is>
      </c>
      <c r="L643" s="74" t="inlineStr">
        <is>
          <t>NLT0100</t>
        </is>
      </c>
      <c r="M643" s="393" t="inlineStr">
        <is>
          <t>NLT0100</t>
        </is>
      </c>
    </row>
    <row r="644" ht="29.1" customHeight="1">
      <c r="A644" s="74" t="inlineStr">
        <is>
          <t>HHS0343</t>
        </is>
      </c>
      <c r="B644" s="74" t="inlineStr">
        <is>
          <t>Sữa TH True Milk  ít đường 110ml, 48 hộp/thùng</t>
        </is>
      </c>
      <c r="C644" s="74" t="inlineStr">
        <is>
          <t>NNCC00276</t>
        </is>
      </c>
      <c r="D644" s="74" t="inlineStr">
        <is>
          <t>Phù sa</t>
        </is>
      </c>
      <c r="E644" s="74" t="inlineStr"/>
      <c r="F644" s="74" t="n"/>
      <c r="G644" s="74" t="inlineStr">
        <is>
          <t>kg</t>
        </is>
      </c>
      <c r="H644" s="76" t="n">
        <v>5575</v>
      </c>
      <c r="I644" s="73" t="n">
        <v>45870</v>
      </c>
      <c r="J644" s="73" t="n">
        <v>45900</v>
      </c>
      <c r="K644" s="74" t="inlineStr">
        <is>
          <t>1</t>
        </is>
      </c>
      <c r="L644" s="74" t="inlineStr">
        <is>
          <t>HHS0343</t>
        </is>
      </c>
      <c r="M644" s="64" t="inlineStr">
        <is>
          <t>HHS0343</t>
        </is>
      </c>
    </row>
    <row r="645" ht="29.1" customHeight="1">
      <c r="A645" s="74" t="inlineStr">
        <is>
          <t>NLG0001</t>
        </is>
      </c>
      <c r="B645" s="74" t="inlineStr">
        <is>
          <t>Bún</t>
        </is>
      </c>
      <c r="C645" s="74" t="n"/>
      <c r="D645" s="74" t="inlineStr">
        <is>
          <t>Phù sa</t>
        </is>
      </c>
      <c r="E645" s="74" t="n"/>
      <c r="F645" s="74" t="n"/>
      <c r="G645" s="74" t="inlineStr">
        <is>
          <t>kg</t>
        </is>
      </c>
      <c r="H645" s="76" t="n">
        <v>12000</v>
      </c>
      <c r="I645" s="73" t="n"/>
      <c r="J645" s="73" t="n"/>
      <c r="K645" s="74" t="n"/>
      <c r="L645" s="74" t="inlineStr">
        <is>
          <t>NLG0001</t>
        </is>
      </c>
      <c r="M645" s="64" t="inlineStr">
        <is>
          <t>NLG0001</t>
        </is>
      </c>
    </row>
    <row r="646" ht="29.1" customHeight="1">
      <c r="A646" s="74" t="inlineStr">
        <is>
          <t>HHB0091</t>
        </is>
      </c>
      <c r="B646" s="74" t="inlineStr">
        <is>
          <t>bánh staff cốm sữa  40gr .60cais /thùng</t>
        </is>
      </c>
      <c r="C646" s="74" t="n"/>
      <c r="D646" s="74" t="inlineStr">
        <is>
          <t>Phù sa</t>
        </is>
      </c>
      <c r="E646" s="74" t="n"/>
      <c r="F646" s="74" t="n"/>
      <c r="G646" s="74" t="n"/>
      <c r="H646" s="76" t="n">
        <v>2366</v>
      </c>
      <c r="I646" s="73" t="n"/>
      <c r="J646" s="73" t="n"/>
      <c r="K646" s="74" t="n"/>
      <c r="L646" s="74" t="inlineStr">
        <is>
          <t>HHB0091</t>
        </is>
      </c>
      <c r="M646" s="64" t="inlineStr">
        <is>
          <t>HHB0091</t>
        </is>
      </c>
    </row>
    <row r="647" ht="29.1" customHeight="1">
      <c r="A647" s="74" t="inlineStr">
        <is>
          <t>NLG0099</t>
        </is>
      </c>
      <c r="B647" s="74" t="inlineStr">
        <is>
          <t xml:space="preserve">bánh giò </t>
        </is>
      </c>
      <c r="C647" s="74" t="n"/>
      <c r="D647" s="74" t="inlineStr">
        <is>
          <t>Phù sa</t>
        </is>
      </c>
      <c r="E647" s="74" t="n"/>
      <c r="F647" s="74" t="inlineStr">
        <is>
          <t>1</t>
        </is>
      </c>
      <c r="G647" s="74" t="n"/>
      <c r="H647" s="76" t="n">
        <v>9000</v>
      </c>
      <c r="I647" s="73" t="n"/>
      <c r="J647" s="73" t="n"/>
      <c r="K647" s="74" t="n"/>
      <c r="L647" s="74" t="inlineStr">
        <is>
          <t>NLG0099</t>
        </is>
      </c>
      <c r="M647" s="64" t="inlineStr">
        <is>
          <t>NLG0099</t>
        </is>
      </c>
    </row>
    <row r="648" ht="29.1" customHeight="1">
      <c r="A648" s="74" t="inlineStr">
        <is>
          <t>HHS0050</t>
        </is>
      </c>
      <c r="B648" s="74" t="inlineStr">
        <is>
          <t>Sữa fami bịch</t>
        </is>
      </c>
      <c r="C648" s="74" t="n"/>
      <c r="D648" s="74" t="inlineStr">
        <is>
          <t>Phù sa</t>
        </is>
      </c>
      <c r="E648" s="74" t="n"/>
      <c r="F648" s="74" t="n"/>
      <c r="G648" s="74" t="n"/>
      <c r="H648" s="76" t="n">
        <v>3120</v>
      </c>
      <c r="I648" s="73" t="n"/>
      <c r="J648" s="73" t="n"/>
      <c r="K648" s="74" t="n"/>
      <c r="L648" s="74" t="inlineStr">
        <is>
          <t>HHS0050</t>
        </is>
      </c>
      <c r="M648" s="64" t="inlineStr">
        <is>
          <t>HHS0050</t>
        </is>
      </c>
    </row>
    <row r="649" ht="29.1" customHeight="1">
      <c r="A649" s="74" t="inlineStr">
        <is>
          <t>HHS0060</t>
        </is>
      </c>
      <c r="B649" s="74" t="inlineStr">
        <is>
          <t>Sữa fami hộp</t>
        </is>
      </c>
      <c r="C649" s="74" t="n"/>
      <c r="D649" s="74" t="inlineStr">
        <is>
          <t>Phù sa</t>
        </is>
      </c>
      <c r="E649" s="74" t="n"/>
      <c r="F649" s="74" t="n"/>
      <c r="G649" s="74" t="n"/>
      <c r="H649" s="76" t="n">
        <v>2859</v>
      </c>
      <c r="I649" s="73" t="n"/>
      <c r="J649" s="73" t="n"/>
      <c r="K649" s="74" t="n"/>
      <c r="L649" s="74" t="inlineStr">
        <is>
          <t>HHS0060</t>
        </is>
      </c>
      <c r="M649" s="64" t="inlineStr">
        <is>
          <t>HHS0060</t>
        </is>
      </c>
    </row>
    <row r="650" ht="29.1" customHeight="1">
      <c r="A650" s="74" t="inlineStr">
        <is>
          <t>NPG1074</t>
        </is>
      </c>
      <c r="B650" s="74" t="inlineStr">
        <is>
          <t>bột phomai</t>
        </is>
      </c>
      <c r="C650" s="74" t="n"/>
      <c r="D650" s="74" t="inlineStr">
        <is>
          <t>Phù sa</t>
        </is>
      </c>
      <c r="E650" s="74" t="n"/>
      <c r="F650" s="74" t="n"/>
      <c r="G650" s="74" t="n"/>
      <c r="H650" s="76" t="n">
        <v>47000</v>
      </c>
      <c r="I650" s="73" t="n"/>
      <c r="J650" s="73" t="n"/>
      <c r="K650" s="74" t="n"/>
      <c r="L650" s="74" t="inlineStr">
        <is>
          <t>NPG1074</t>
        </is>
      </c>
      <c r="M650" s="64" t="inlineStr">
        <is>
          <t>NPG1074</t>
        </is>
      </c>
    </row>
    <row r="651" ht="29.1" customHeight="1">
      <c r="A651" s="74" t="n"/>
      <c r="B651" s="74" t="inlineStr">
        <is>
          <t>su hào</t>
        </is>
      </c>
      <c r="C651" s="74" t="n"/>
      <c r="D651" s="74" t="inlineStr">
        <is>
          <t>Phù sa</t>
        </is>
      </c>
      <c r="E651" s="74" t="n"/>
      <c r="F651" s="74" t="n"/>
      <c r="G651" s="74" t="inlineStr">
        <is>
          <t>kg</t>
        </is>
      </c>
      <c r="H651" s="76" t="n">
        <v>10000</v>
      </c>
      <c r="I651" s="73" t="n"/>
      <c r="J651" s="73" t="n"/>
      <c r="K651" s="74" t="n"/>
      <c r="L651" s="74" t="n"/>
      <c r="M651" s="393" t="n"/>
    </row>
    <row r="652" ht="29.1" customHeight="1">
      <c r="A652" s="74" t="inlineStr">
        <is>
          <t>NLT0046</t>
        </is>
      </c>
      <c r="B652" s="74" t="inlineStr">
        <is>
          <t>Thịt ba chỉ</t>
        </is>
      </c>
      <c r="C652" s="74" t="n"/>
      <c r="D652" s="74" t="inlineStr">
        <is>
          <t>Phù sa</t>
        </is>
      </c>
      <c r="E652" s="74" t="n"/>
      <c r="F652" s="74" t="n"/>
      <c r="G652" s="74" t="inlineStr">
        <is>
          <t>kg</t>
        </is>
      </c>
      <c r="H652" s="76" t="n">
        <v>140000</v>
      </c>
      <c r="I652" s="73" t="n"/>
      <c r="J652" s="73" t="n"/>
      <c r="K652" s="74" t="n"/>
      <c r="L652" s="74" t="inlineStr">
        <is>
          <t>NLT0046</t>
        </is>
      </c>
      <c r="M652" s="393" t="inlineStr">
        <is>
          <t>NLT0046</t>
        </is>
      </c>
    </row>
    <row r="653" ht="29.1" customHeight="1">
      <c r="A653" s="74" t="inlineStr">
        <is>
          <t>NLG0247</t>
        </is>
      </c>
      <c r="B653" s="74" t="inlineStr">
        <is>
          <t>Sủi Cảo nhân thịt Hacao (1kg/túi)</t>
        </is>
      </c>
      <c r="C653" s="74" t="n"/>
      <c r="D653" s="74" t="inlineStr">
        <is>
          <t>Phù sa</t>
        </is>
      </c>
      <c r="E653" s="74" t="n"/>
      <c r="F653" s="74" t="n"/>
      <c r="G653" s="74" t="inlineStr">
        <is>
          <t>kg</t>
        </is>
      </c>
      <c r="H653" s="76" t="n">
        <v>51000</v>
      </c>
      <c r="I653" s="73" t="n"/>
      <c r="J653" s="73" t="n"/>
      <c r="K653" s="74" t="n"/>
      <c r="L653" s="74" t="inlineStr">
        <is>
          <t>NLG0247</t>
        </is>
      </c>
      <c r="M653" s="393" t="inlineStr">
        <is>
          <t>NLG0247</t>
        </is>
      </c>
    </row>
    <row r="654" ht="29.1" customHeight="1">
      <c r="A654" s="74" t="inlineStr">
        <is>
          <t>NLS0002</t>
        </is>
      </c>
      <c r="B654" s="74" t="inlineStr">
        <is>
          <t>Cá ba sa sơ chế bỏ đầu 0.8-1.2kg/con, 10kg/thùng</t>
        </is>
      </c>
      <c r="C654" s="74" t="n"/>
      <c r="D654" s="74" t="inlineStr">
        <is>
          <t>Phù sa</t>
        </is>
      </c>
      <c r="E654" s="74" t="n"/>
      <c r="F654" s="74" t="n"/>
      <c r="G654" s="74" t="inlineStr">
        <is>
          <t>kg</t>
        </is>
      </c>
      <c r="H654" s="76" t="n">
        <v>46000</v>
      </c>
      <c r="I654" s="73" t="n"/>
      <c r="J654" s="73" t="n"/>
      <c r="K654" s="74" t="n"/>
      <c r="L654" s="74" t="inlineStr">
        <is>
          <t>NLS0002</t>
        </is>
      </c>
      <c r="M654" s="393" t="inlineStr">
        <is>
          <t>NLS0002</t>
        </is>
      </c>
    </row>
    <row r="655" ht="29.1" customHeight="1">
      <c r="A655" s="74" t="inlineStr">
        <is>
          <t>NLS0078</t>
        </is>
      </c>
      <c r="B655" s="74" t="inlineStr">
        <is>
          <t>Cua xay đông lạnh</t>
        </is>
      </c>
      <c r="C655" s="74" t="n"/>
      <c r="D655" s="74" t="inlineStr">
        <is>
          <t>Phù sa</t>
        </is>
      </c>
      <c r="E655" s="74" t="n"/>
      <c r="F655" s="74" t="n"/>
      <c r="G655" s="74" t="inlineStr">
        <is>
          <t>kg</t>
        </is>
      </c>
      <c r="H655" s="76" t="n">
        <v>64000</v>
      </c>
      <c r="I655" s="73" t="n"/>
      <c r="J655" s="73" t="n"/>
      <c r="K655" s="74" t="n"/>
      <c r="L655" s="74" t="inlineStr">
        <is>
          <t>NLS0078</t>
        </is>
      </c>
      <c r="M655" s="393" t="inlineStr">
        <is>
          <t>NLS0078</t>
        </is>
      </c>
    </row>
    <row r="656" ht="29.1" customHeight="1">
      <c r="A656" s="74" t="inlineStr">
        <is>
          <t>NLS0143</t>
        </is>
      </c>
      <c r="B656" s="74" t="inlineStr">
        <is>
          <t>Cá cơm ĐL 12kg/thùng</t>
        </is>
      </c>
      <c r="C656" s="74" t="n"/>
      <c r="D656" s="74" t="inlineStr">
        <is>
          <t>Phù sa</t>
        </is>
      </c>
      <c r="E656" s="74" t="n"/>
      <c r="F656" s="74" t="n"/>
      <c r="G656" s="74" t="inlineStr">
        <is>
          <t>kg</t>
        </is>
      </c>
      <c r="H656" s="76" t="n">
        <v>23000</v>
      </c>
      <c r="I656" s="73" t="n"/>
      <c r="J656" s="73" t="n"/>
      <c r="K656" s="74" t="n"/>
      <c r="L656" s="74" t="inlineStr">
        <is>
          <t>NLS0143</t>
        </is>
      </c>
      <c r="M656" s="393" t="inlineStr">
        <is>
          <t>NLS0143</t>
        </is>
      </c>
    </row>
    <row r="657" ht="29.1" customHeight="1">
      <c r="A657" s="74" t="inlineStr">
        <is>
          <t>NLS0177</t>
        </is>
      </c>
      <c r="B657" s="74" t="inlineStr">
        <is>
          <t>Cá bống biển đông lạnh 15-20con/kg, 10 kg/thùng</t>
        </is>
      </c>
      <c r="C657" s="74" t="n"/>
      <c r="D657" s="74" t="inlineStr">
        <is>
          <t>Phù sa</t>
        </is>
      </c>
      <c r="E657" s="74" t="n"/>
      <c r="F657" s="74" t="n"/>
      <c r="G657" s="74" t="inlineStr">
        <is>
          <t>kg</t>
        </is>
      </c>
      <c r="H657" s="76" t="n">
        <v>36500</v>
      </c>
      <c r="I657" s="73" t="n"/>
      <c r="J657" s="73" t="n"/>
      <c r="K657" s="74" t="n"/>
      <c r="L657" s="74" t="inlineStr">
        <is>
          <t>NLS0177</t>
        </is>
      </c>
      <c r="M657" s="64" t="inlineStr">
        <is>
          <t>NLS0177</t>
        </is>
      </c>
    </row>
    <row r="658" ht="29.1" customHeight="1">
      <c r="A658" s="74" t="inlineStr">
        <is>
          <t>NLS0184</t>
        </is>
      </c>
      <c r="B658" s="74" t="inlineStr">
        <is>
          <t>Cá bạc má làm sạch bỏ đầu 13-18 con/kg,10kg/T</t>
        </is>
      </c>
      <c r="C658" s="74" t="n"/>
      <c r="D658" s="74" t="inlineStr">
        <is>
          <t>Phù sa</t>
        </is>
      </c>
      <c r="E658" s="74" t="n"/>
      <c r="F658" s="74" t="n"/>
      <c r="G658" s="74" t="inlineStr">
        <is>
          <t>kg</t>
        </is>
      </c>
      <c r="H658" s="76" t="n">
        <v>32000</v>
      </c>
      <c r="I658" s="73" t="n"/>
      <c r="J658" s="73" t="n"/>
      <c r="K658" s="74" t="n"/>
      <c r="L658" s="74" t="inlineStr">
        <is>
          <t>NLS0184</t>
        </is>
      </c>
      <c r="M658" s="64" t="inlineStr">
        <is>
          <t>NLS0184</t>
        </is>
      </c>
    </row>
    <row r="659" ht="29.1" customHeight="1">
      <c r="A659" s="74" t="inlineStr">
        <is>
          <t>NLS0446</t>
        </is>
      </c>
      <c r="B659" s="74" t="inlineStr">
        <is>
          <t>Thịt vịt ĐL không đầu cổ chân, size 2-2,5kg/con, 13-15kg/thùng</t>
        </is>
      </c>
      <c r="C659" s="74" t="n"/>
      <c r="D659" s="74" t="inlineStr">
        <is>
          <t>Phù sa</t>
        </is>
      </c>
      <c r="E659" s="74" t="n"/>
      <c r="F659" s="74" t="n"/>
      <c r="G659" s="74" t="inlineStr">
        <is>
          <t>kg</t>
        </is>
      </c>
      <c r="H659" s="76" t="n">
        <v>72000</v>
      </c>
      <c r="I659" s="73" t="n"/>
      <c r="J659" s="73" t="n"/>
      <c r="K659" s="74" t="n"/>
      <c r="L659" s="74" t="inlineStr">
        <is>
          <t>NLS0446</t>
        </is>
      </c>
      <c r="M659" s="393" t="inlineStr">
        <is>
          <t>NLS0446</t>
        </is>
      </c>
    </row>
    <row r="660" ht="29.1" customHeight="1">
      <c r="A660" s="74" t="inlineStr">
        <is>
          <t>NLS0448</t>
        </is>
      </c>
      <c r="B660" s="74" t="inlineStr">
        <is>
          <t>Đùi chọi mái ĐL Hàn Quốc 15kg/thùng</t>
        </is>
      </c>
      <c r="C660" s="74" t="n"/>
      <c r="D660" s="74" t="inlineStr">
        <is>
          <t>Phù sa</t>
        </is>
      </c>
      <c r="E660" s="74" t="n"/>
      <c r="F660" s="74" t="n"/>
      <c r="G660" s="74" t="inlineStr">
        <is>
          <t>kg</t>
        </is>
      </c>
      <c r="H660" s="76" t="n">
        <v>58500</v>
      </c>
      <c r="I660" s="73" t="n"/>
      <c r="J660" s="73" t="n"/>
      <c r="K660" s="74" t="n"/>
      <c r="L660" s="74" t="inlineStr">
        <is>
          <t>NLS0448</t>
        </is>
      </c>
      <c r="M660" s="393" t="inlineStr">
        <is>
          <t>NLS0448</t>
        </is>
      </c>
    </row>
    <row r="661" ht="29.1" customHeight="1">
      <c r="A661" s="74" t="inlineStr">
        <is>
          <t>NLT0048</t>
        </is>
      </c>
      <c r="B661" s="74" t="inlineStr">
        <is>
          <t>Thịt ba chỉ ĐL Nga 5-12kg/ thùng</t>
        </is>
      </c>
      <c r="C661" s="74" t="n"/>
      <c r="D661" s="74" t="inlineStr">
        <is>
          <t>Phù sa</t>
        </is>
      </c>
      <c r="E661" s="74" t="n"/>
      <c r="F661" s="74" t="n"/>
      <c r="G661" s="74" t="inlineStr">
        <is>
          <t>kg</t>
        </is>
      </c>
      <c r="H661" s="76" t="n">
        <v>93000</v>
      </c>
      <c r="I661" s="73" t="n"/>
      <c r="J661" s="73" t="n"/>
      <c r="K661" s="74" t="n"/>
      <c r="L661" s="74" t="inlineStr">
        <is>
          <t>NLT0048</t>
        </is>
      </c>
      <c r="M661" s="64" t="inlineStr">
        <is>
          <t>NLT0048</t>
        </is>
      </c>
    </row>
    <row r="662" ht="29.1" customHeight="1">
      <c r="A662" s="74" t="inlineStr">
        <is>
          <t>NLT0067</t>
        </is>
      </c>
      <c r="B662" s="74" t="inlineStr">
        <is>
          <t>Gà góc 1/4 đông lạnh Mỹ 15kg/thùng</t>
        </is>
      </c>
      <c r="C662" s="74" t="n"/>
      <c r="D662" s="74" t="inlineStr">
        <is>
          <t>Phù sa</t>
        </is>
      </c>
      <c r="E662" s="74" t="n"/>
      <c r="F662" s="74" t="n"/>
      <c r="G662" s="74" t="inlineStr">
        <is>
          <t>kg</t>
        </is>
      </c>
      <c r="H662" s="76" t="n">
        <v>47000</v>
      </c>
      <c r="I662" s="73" t="n"/>
      <c r="J662" s="73" t="n"/>
      <c r="K662" s="74" t="n"/>
      <c r="L662" s="74" t="inlineStr">
        <is>
          <t>NLT0067</t>
        </is>
      </c>
      <c r="M662" s="393" t="inlineStr">
        <is>
          <t>NLT0067</t>
        </is>
      </c>
    </row>
    <row r="663" ht="29.1" customHeight="1">
      <c r="A663" s="74" t="inlineStr">
        <is>
          <t>NLT0112</t>
        </is>
      </c>
      <c r="B663" s="74" t="inlineStr">
        <is>
          <t>Xương ống</t>
        </is>
      </c>
      <c r="C663" s="74" t="n"/>
      <c r="D663" s="74" t="inlineStr">
        <is>
          <t>Phù sa</t>
        </is>
      </c>
      <c r="E663" s="74" t="n"/>
      <c r="F663" s="74" t="n"/>
      <c r="G663" s="74" t="inlineStr">
        <is>
          <t>kg</t>
        </is>
      </c>
      <c r="H663" s="76" t="n">
        <v>48000</v>
      </c>
      <c r="I663" s="73" t="n"/>
      <c r="J663" s="73" t="n"/>
      <c r="K663" s="74" t="n"/>
      <c r="L663" s="74" t="inlineStr">
        <is>
          <t>NLT0112</t>
        </is>
      </c>
      <c r="M663" s="393" t="inlineStr">
        <is>
          <t>NLT0112</t>
        </is>
      </c>
    </row>
    <row r="664" ht="29.1" customHeight="1">
      <c r="A664" s="74" t="inlineStr">
        <is>
          <t>NLT0144</t>
        </is>
      </c>
      <c r="B664" s="74" t="inlineStr">
        <is>
          <t>Thịt mông trâu ĐL ấn Độ (M45) 20kg/thùng</t>
        </is>
      </c>
      <c r="C664" s="74" t="n"/>
      <c r="D664" s="74" t="inlineStr">
        <is>
          <t>Phù sa</t>
        </is>
      </c>
      <c r="E664" s="74" t="n"/>
      <c r="F664" s="74" t="n"/>
      <c r="G664" s="74" t="inlineStr">
        <is>
          <t>kg</t>
        </is>
      </c>
      <c r="H664" s="76" t="n">
        <v>145000</v>
      </c>
      <c r="I664" s="73" t="n"/>
      <c r="J664" s="73" t="n"/>
      <c r="K664" s="74" t="n"/>
      <c r="L664" s="74" t="inlineStr">
        <is>
          <t>NLT0144</t>
        </is>
      </c>
      <c r="M664" s="64" t="inlineStr">
        <is>
          <t>NLT0144</t>
        </is>
      </c>
    </row>
    <row r="665" ht="29.1" customHeight="1">
      <c r="A665" s="74" t="inlineStr">
        <is>
          <t>NLT0149</t>
        </is>
      </c>
      <c r="B665" s="74" t="inlineStr">
        <is>
          <t>Cánh gà plukon Hà lan 9-12 cái 15kg/ thùng</t>
        </is>
      </c>
      <c r="C665" s="74" t="n"/>
      <c r="D665" s="74" t="inlineStr">
        <is>
          <t>Phù sa</t>
        </is>
      </c>
      <c r="E665" s="74" t="n"/>
      <c r="F665" s="74" t="n"/>
      <c r="G665" s="74" t="inlineStr">
        <is>
          <t>kg</t>
        </is>
      </c>
      <c r="H665" s="76" t="n">
        <v>57000</v>
      </c>
      <c r="I665" s="73" t="n"/>
      <c r="J665" s="73" t="n"/>
      <c r="K665" s="74" t="n"/>
      <c r="L665" s="74" t="inlineStr">
        <is>
          <t>NLT0149</t>
        </is>
      </c>
      <c r="M665" s="64" t="inlineStr">
        <is>
          <t>NLT0149</t>
        </is>
      </c>
    </row>
    <row r="666" ht="29.1" customHeight="1">
      <c r="A666" s="74" t="inlineStr">
        <is>
          <t>NLT0240</t>
        </is>
      </c>
      <c r="B666" s="74" t="inlineStr">
        <is>
          <t>Xương ức heo( Sườn sụn) ĐL Ba Lan 10kg/thùng</t>
        </is>
      </c>
      <c r="C666" s="74" t="n"/>
      <c r="D666" s="74" t="inlineStr">
        <is>
          <t>Phù sa</t>
        </is>
      </c>
      <c r="E666" s="74" t="n"/>
      <c r="F666" s="74" t="n"/>
      <c r="G666" s="74" t="inlineStr">
        <is>
          <t>kg</t>
        </is>
      </c>
      <c r="H666" s="76" t="n">
        <v>79000</v>
      </c>
      <c r="I666" s="73" t="n"/>
      <c r="J666" s="73" t="n"/>
      <c r="K666" s="74" t="n"/>
      <c r="L666" s="74" t="inlineStr">
        <is>
          <t>NLT0240</t>
        </is>
      </c>
      <c r="M666" s="64" t="inlineStr">
        <is>
          <t>NLT0240</t>
        </is>
      </c>
    </row>
    <row r="667" ht="29.1" customHeight="1">
      <c r="A667" s="74" t="inlineStr">
        <is>
          <t>NLT0252</t>
        </is>
      </c>
      <c r="B667" s="74" t="inlineStr">
        <is>
          <t>Thịt nạc vai ĐL Brazin ( 17-28)kg/thùng</t>
        </is>
      </c>
      <c r="C667" s="74" t="n"/>
      <c r="D667" s="74" t="inlineStr">
        <is>
          <t>Phù sa</t>
        </is>
      </c>
      <c r="E667" s="74" t="n"/>
      <c r="F667" s="74" t="n"/>
      <c r="G667" s="74" t="inlineStr">
        <is>
          <t>kg</t>
        </is>
      </c>
      <c r="H667" s="76" t="n">
        <v>86000</v>
      </c>
      <c r="I667" s="73" t="n"/>
      <c r="J667" s="73" t="n"/>
      <c r="K667" s="74" t="n"/>
      <c r="L667" s="74" t="inlineStr">
        <is>
          <t>NLT0252</t>
        </is>
      </c>
      <c r="M667" s="393" t="inlineStr">
        <is>
          <t>NLT0252</t>
        </is>
      </c>
    </row>
    <row r="668" ht="29.1" customHeight="1">
      <c r="A668" s="74" t="inlineStr">
        <is>
          <t>NLT0276</t>
        </is>
      </c>
      <c r="B668" s="74" t="inlineStr">
        <is>
          <t>Móng giò ĐL Nga 10kg/thùng</t>
        </is>
      </c>
      <c r="C668" s="74" t="n"/>
      <c r="D668" s="74" t="inlineStr">
        <is>
          <t>Phù sa</t>
        </is>
      </c>
      <c r="E668" s="74" t="n"/>
      <c r="F668" s="74" t="n"/>
      <c r="G668" s="74" t="inlineStr">
        <is>
          <t>kg</t>
        </is>
      </c>
      <c r="H668" s="76" t="n">
        <v>26000</v>
      </c>
      <c r="I668" s="73" t="n"/>
      <c r="J668" s="73" t="n"/>
      <c r="K668" s="74" t="n"/>
      <c r="L668" s="74" t="inlineStr">
        <is>
          <t>NLT0276</t>
        </is>
      </c>
      <c r="M668" s="393" t="inlineStr">
        <is>
          <t>NLT0276</t>
        </is>
      </c>
    </row>
    <row r="669" ht="29.1" customHeight="1">
      <c r="A669" s="74" t="inlineStr">
        <is>
          <t>NLT0418</t>
        </is>
      </c>
      <c r="B669" s="74" t="inlineStr">
        <is>
          <t>Tỏi gà ĐL Mỹ 4-6 cái/kg, 15 kg/thùng</t>
        </is>
      </c>
      <c r="C669" s="74" t="n"/>
      <c r="D669" s="74" t="inlineStr">
        <is>
          <t>Phù sa</t>
        </is>
      </c>
      <c r="E669" s="74" t="n"/>
      <c r="F669" s="74" t="n"/>
      <c r="G669" s="74" t="inlineStr">
        <is>
          <t>kg</t>
        </is>
      </c>
      <c r="H669" s="76" t="n">
        <v>45000</v>
      </c>
      <c r="I669" s="73" t="n"/>
      <c r="J669" s="73" t="n"/>
      <c r="K669" s="74" t="n"/>
      <c r="L669" s="74" t="inlineStr">
        <is>
          <t>NLT0418</t>
        </is>
      </c>
      <c r="M669" s="393" t="inlineStr">
        <is>
          <t>NLT0418</t>
        </is>
      </c>
    </row>
    <row r="670" ht="29.1" customHeight="1">
      <c r="A670" s="74" t="inlineStr">
        <is>
          <t>NLT0435</t>
        </is>
      </c>
      <c r="B670" s="74" t="inlineStr">
        <is>
          <t>Thịt dẻ sườn trâu 123</t>
        </is>
      </c>
      <c r="C670" s="74" t="n"/>
      <c r="D670" s="74" t="inlineStr">
        <is>
          <t>Phù sa</t>
        </is>
      </c>
      <c r="E670" s="74" t="n"/>
      <c r="F670" s="74" t="n"/>
      <c r="G670" s="74" t="inlineStr">
        <is>
          <t>kg</t>
        </is>
      </c>
      <c r="H670" s="76" t="n">
        <v>104000</v>
      </c>
      <c r="I670" s="73" t="n"/>
      <c r="J670" s="73" t="n"/>
      <c r="K670" s="74" t="n"/>
      <c r="L670" s="74" t="inlineStr">
        <is>
          <t>NLT0435</t>
        </is>
      </c>
      <c r="M670" s="393" t="inlineStr">
        <is>
          <t>NLT0435</t>
        </is>
      </c>
    </row>
    <row r="671" ht="29.1" customHeight="1">
      <c r="A671" s="74" t="inlineStr">
        <is>
          <t>NLT0445</t>
        </is>
      </c>
      <c r="B671" s="74" t="inlineStr">
        <is>
          <t>Sườn cánh buồm ĐL</t>
        </is>
      </c>
      <c r="C671" s="74" t="n"/>
      <c r="D671" s="74" t="inlineStr">
        <is>
          <t>Phù sa</t>
        </is>
      </c>
      <c r="E671" s="74" t="n"/>
      <c r="F671" s="74" t="n"/>
      <c r="G671" s="74" t="inlineStr">
        <is>
          <t>kg</t>
        </is>
      </c>
      <c r="H671" s="76" t="n">
        <v>83000</v>
      </c>
      <c r="I671" s="73" t="n"/>
      <c r="J671" s="73" t="n"/>
      <c r="K671" s="74" t="n"/>
      <c r="L671" s="74" t="inlineStr">
        <is>
          <t>NLT0445</t>
        </is>
      </c>
      <c r="M671" s="393" t="inlineStr">
        <is>
          <t>NLT0445</t>
        </is>
      </c>
    </row>
    <row r="672" ht="29.1" customHeight="1">
      <c r="A672" s="74" t="inlineStr">
        <is>
          <t>NLT0451</t>
        </is>
      </c>
      <c r="B672" s="74" t="inlineStr">
        <is>
          <t>Thịt vai trâu Ấn Độ M65 20kg/thùng</t>
        </is>
      </c>
      <c r="C672" s="74" t="n"/>
      <c r="D672" s="74" t="inlineStr">
        <is>
          <t>Phù sa</t>
        </is>
      </c>
      <c r="E672" s="74" t="n"/>
      <c r="F672" s="74" t="n"/>
      <c r="G672" s="74" t="inlineStr">
        <is>
          <t>kg</t>
        </is>
      </c>
      <c r="H672" s="76" t="n">
        <v>139000</v>
      </c>
      <c r="I672" s="73" t="n"/>
      <c r="J672" s="73" t="n"/>
      <c r="K672" s="74" t="n"/>
      <c r="L672" s="74" t="inlineStr">
        <is>
          <t>NLT0451</t>
        </is>
      </c>
      <c r="M672" s="393" t="inlineStr">
        <is>
          <t>NLT0451</t>
        </is>
      </c>
    </row>
    <row r="673" ht="29.1" customHeight="1">
      <c r="A673" s="74" t="inlineStr">
        <is>
          <t>NLT0463</t>
        </is>
      </c>
      <c r="B673" s="74" t="inlineStr">
        <is>
          <t>Tim heo đông lạnh</t>
        </is>
      </c>
      <c r="C673" s="74" t="n"/>
      <c r="D673" s="74" t="inlineStr">
        <is>
          <t>Phù sa</t>
        </is>
      </c>
      <c r="E673" s="74" t="n"/>
      <c r="F673" s="74" t="n"/>
      <c r="G673" s="74" t="inlineStr">
        <is>
          <t>kg</t>
        </is>
      </c>
      <c r="H673" s="76" t="n">
        <v>37000</v>
      </c>
      <c r="I673" s="73" t="n"/>
      <c r="J673" s="73" t="n"/>
      <c r="K673" s="74" t="n"/>
      <c r="L673" s="74" t="inlineStr">
        <is>
          <t>NLT0463</t>
        </is>
      </c>
      <c r="M673" s="393" t="inlineStr">
        <is>
          <t>NLT0463</t>
        </is>
      </c>
    </row>
    <row r="674" ht="29.1" customHeight="1">
      <c r="A674" s="74" t="inlineStr">
        <is>
          <t>NLT0468</t>
        </is>
      </c>
      <c r="B674" s="74" t="inlineStr">
        <is>
          <t>Sườn cốt-lết Brazil 17-19kg/thùng</t>
        </is>
      </c>
      <c r="C674" s="74" t="n"/>
      <c r="D674" s="74" t="inlineStr">
        <is>
          <t>Phù sa</t>
        </is>
      </c>
      <c r="E674" s="74" t="n"/>
      <c r="F674" s="74" t="n"/>
      <c r="G674" s="74" t="inlineStr">
        <is>
          <t>kg</t>
        </is>
      </c>
      <c r="H674" s="76" t="n">
        <v>72500</v>
      </c>
      <c r="I674" s="73" t="n"/>
      <c r="J674" s="73" t="n"/>
      <c r="K674" s="74" t="n"/>
      <c r="L674" s="74" t="inlineStr">
        <is>
          <t>NLT0468</t>
        </is>
      </c>
      <c r="M674" s="393" t="inlineStr">
        <is>
          <t>NLT0468</t>
        </is>
      </c>
    </row>
    <row r="675" ht="29.1" customHeight="1">
      <c r="A675" s="74" t="inlineStr">
        <is>
          <t>NLT0469</t>
        </is>
      </c>
      <c r="B675" s="74" t="inlineStr">
        <is>
          <t>Khoanh giò đông lạnh Tây Ban Nha, 10kg/thùng</t>
        </is>
      </c>
      <c r="C675" s="74" t="n"/>
      <c r="D675" s="74" t="inlineStr">
        <is>
          <t>Phù sa</t>
        </is>
      </c>
      <c r="E675" s="74" t="n"/>
      <c r="F675" s="74" t="n"/>
      <c r="G675" s="74" t="inlineStr">
        <is>
          <t>kg</t>
        </is>
      </c>
      <c r="H675" s="76" t="n">
        <v>58000</v>
      </c>
      <c r="I675" s="73" t="n"/>
      <c r="J675" s="73" t="n"/>
      <c r="K675" s="74" t="n"/>
      <c r="L675" s="74" t="inlineStr">
        <is>
          <t>NLT0469</t>
        </is>
      </c>
      <c r="M675" s="393" t="inlineStr">
        <is>
          <t>NLT0469</t>
        </is>
      </c>
    </row>
    <row r="676" ht="29.1" customHeight="1">
      <c r="A676" s="74" t="inlineStr">
        <is>
          <t>NLT0480</t>
        </is>
      </c>
      <c r="B676" s="74" t="inlineStr">
        <is>
          <t>Sườn vai ĐL Nga 15kg/thùng</t>
        </is>
      </c>
      <c r="C676" s="74" t="n"/>
      <c r="D676" s="74" t="inlineStr">
        <is>
          <t>Phù sa</t>
        </is>
      </c>
      <c r="E676" s="74" t="inlineStr">
        <is>
          <t>ải</t>
        </is>
      </c>
      <c r="F676" s="74" t="n"/>
      <c r="G676" s="74" t="inlineStr">
        <is>
          <t>kg</t>
        </is>
      </c>
      <c r="H676" s="76" t="n">
        <v>53000</v>
      </c>
      <c r="I676" s="73" t="n"/>
      <c r="J676" s="73" t="n"/>
      <c r="K676" s="74" t="n"/>
      <c r="L676" s="74" t="inlineStr">
        <is>
          <t>NLT0480</t>
        </is>
      </c>
      <c r="M676" s="393" t="inlineStr">
        <is>
          <t>NLT0480</t>
        </is>
      </c>
    </row>
    <row r="677" ht="29.1" customHeight="1">
      <c r="A677" s="74" t="inlineStr">
        <is>
          <t>NLT0501</t>
        </is>
      </c>
      <c r="B677" s="74" t="inlineStr">
        <is>
          <t>Cá nục gai sơ chế bỏ đầu 15 - 20 con/kg</t>
        </is>
      </c>
      <c r="C677" s="74" t="n"/>
      <c r="D677" s="74" t="inlineStr">
        <is>
          <t>Phù sa</t>
        </is>
      </c>
      <c r="E677" s="74" t="n"/>
      <c r="F677" s="74" t="n"/>
      <c r="G677" s="74" t="inlineStr">
        <is>
          <t>kg</t>
        </is>
      </c>
      <c r="H677" s="76" t="n">
        <v>45000</v>
      </c>
      <c r="I677" s="73" t="n"/>
      <c r="J677" s="73" t="n"/>
      <c r="K677" s="74" t="n"/>
      <c r="L677" s="74" t="inlineStr">
        <is>
          <t>NLT0501</t>
        </is>
      </c>
      <c r="M677" s="393" t="inlineStr">
        <is>
          <t>NLT0501</t>
        </is>
      </c>
    </row>
    <row r="678" ht="29.1" customHeight="1">
      <c r="A678" s="74" t="inlineStr">
        <is>
          <t>NLT0557</t>
        </is>
      </c>
      <c r="B678" s="74" t="inlineStr">
        <is>
          <t>Thịt trâu nạm ấn độ M19, 18kg/thùng</t>
        </is>
      </c>
      <c r="C678" s="74" t="n"/>
      <c r="D678" s="74" t="inlineStr">
        <is>
          <t>Phù sa</t>
        </is>
      </c>
      <c r="E678" s="74" t="n"/>
      <c r="F678" s="74" t="n"/>
      <c r="G678" s="74" t="inlineStr">
        <is>
          <t>kg</t>
        </is>
      </c>
      <c r="H678" s="76" t="n">
        <v>93000</v>
      </c>
      <c r="I678" s="73" t="n"/>
      <c r="J678" s="73" t="n"/>
      <c r="K678" s="74" t="n"/>
      <c r="L678" s="74" t="inlineStr">
        <is>
          <t>NLT0557</t>
        </is>
      </c>
      <c r="M678" s="393" t="inlineStr">
        <is>
          <t>NLT0557</t>
        </is>
      </c>
    </row>
    <row r="679" ht="29.1" customHeight="1">
      <c r="A679" s="74" t="inlineStr">
        <is>
          <t>NLT0570</t>
        </is>
      </c>
      <c r="B679" s="74" t="inlineStr">
        <is>
          <t>Thịt ba chỉ heo không xương, có da ĐL (Thanh)</t>
        </is>
      </c>
      <c r="C679" s="74" t="n"/>
      <c r="D679" s="74" t="inlineStr">
        <is>
          <t>Phù sa</t>
        </is>
      </c>
      <c r="E679" s="74" t="n"/>
      <c r="F679" s="74" t="n"/>
      <c r="G679" s="74" t="inlineStr">
        <is>
          <t>kg</t>
        </is>
      </c>
      <c r="H679" s="76" t="n">
        <v>65000</v>
      </c>
      <c r="I679" s="73" t="n"/>
      <c r="J679" s="73" t="n"/>
      <c r="K679" s="74" t="n"/>
      <c r="L679" s="74" t="inlineStr">
        <is>
          <t>NLT0570</t>
        </is>
      </c>
      <c r="M679" s="393" t="inlineStr">
        <is>
          <t>NLT0570</t>
        </is>
      </c>
    </row>
    <row r="680" ht="29.1" customHeight="1">
      <c r="A680" s="74" t="inlineStr">
        <is>
          <t>NLT0576</t>
        </is>
      </c>
      <c r="B680" s="74" t="inlineStr">
        <is>
          <t>Thịt Trâu ĐL Má Đào 20kg/thùng</t>
        </is>
      </c>
      <c r="C680" s="74" t="n"/>
      <c r="D680" s="74" t="inlineStr">
        <is>
          <t>Phù sa</t>
        </is>
      </c>
      <c r="E680" s="74" t="n"/>
      <c r="F680" s="74" t="n"/>
      <c r="G680" s="74" t="inlineStr">
        <is>
          <t>kg</t>
        </is>
      </c>
      <c r="H680" s="76" t="n">
        <v>104000</v>
      </c>
      <c r="I680" s="73" t="n"/>
      <c r="J680" s="73" t="n"/>
      <c r="K680" s="74" t="n"/>
      <c r="L680" s="74" t="inlineStr">
        <is>
          <t>NLT0576</t>
        </is>
      </c>
      <c r="M680" s="393" t="inlineStr">
        <is>
          <t>NLT0576</t>
        </is>
      </c>
    </row>
    <row r="681" ht="29.1" customHeight="1">
      <c r="A681" s="74" t="inlineStr">
        <is>
          <t>NLT0604</t>
        </is>
      </c>
      <c r="B681" s="74" t="inlineStr">
        <is>
          <t>Móng giò đông lạnh cắt khoanh</t>
        </is>
      </c>
      <c r="C681" s="74" t="n"/>
      <c r="D681" s="74" t="inlineStr">
        <is>
          <t>Phù sa</t>
        </is>
      </c>
      <c r="E681" s="74" t="n"/>
      <c r="F681" s="74" t="n"/>
      <c r="G681" s="74" t="inlineStr">
        <is>
          <t>kg</t>
        </is>
      </c>
      <c r="H681" s="76" t="n">
        <v>29500</v>
      </c>
      <c r="I681" s="73" t="n"/>
      <c r="J681" s="73" t="n"/>
      <c r="K681" s="74" t="n"/>
      <c r="L681" s="74" t="inlineStr">
        <is>
          <t>NLT0604</t>
        </is>
      </c>
      <c r="M681" s="393" t="inlineStr">
        <is>
          <t>NLT0604</t>
        </is>
      </c>
    </row>
    <row r="682" ht="29.1" customHeight="1">
      <c r="A682" s="74" t="inlineStr">
        <is>
          <t>NLT0622</t>
        </is>
      </c>
      <c r="B682" s="74" t="inlineStr">
        <is>
          <t>Gà dai nguyên con Hàn Quốc 1.1-1.3kg/con, 15-16kg /thùng</t>
        </is>
      </c>
      <c r="C682" s="74" t="n"/>
      <c r="D682" s="74" t="inlineStr">
        <is>
          <t>Phù sa</t>
        </is>
      </c>
      <c r="E682" s="74" t="n"/>
      <c r="F682" s="74" t="n"/>
      <c r="G682" s="74" t="inlineStr">
        <is>
          <t>kg</t>
        </is>
      </c>
      <c r="H682" s="76" t="n">
        <v>45000</v>
      </c>
      <c r="I682" s="73" t="n"/>
      <c r="J682" s="73" t="n"/>
      <c r="K682" s="74" t="n"/>
      <c r="L682" s="74" t="inlineStr">
        <is>
          <t>NLT0622</t>
        </is>
      </c>
      <c r="M682" s="393" t="inlineStr">
        <is>
          <t>NLT0622</t>
        </is>
      </c>
    </row>
    <row r="683" ht="29.1" customHeight="1">
      <c r="A683" s="74" t="inlineStr">
        <is>
          <t>NLT0623</t>
        </is>
      </c>
      <c r="B683" s="74" t="inlineStr">
        <is>
          <t>Gà dai nguyên con hàn Quốc 1.3-1.6kg/con, 14kg /thùng</t>
        </is>
      </c>
      <c r="C683" s="74" t="n"/>
      <c r="D683" s="74" t="inlineStr">
        <is>
          <t>Phù sa</t>
        </is>
      </c>
      <c r="E683" s="74" t="n"/>
      <c r="F683" s="74" t="n"/>
      <c r="G683" s="74" t="inlineStr">
        <is>
          <t>kg</t>
        </is>
      </c>
      <c r="H683" s="76" t="n">
        <v>47000</v>
      </c>
      <c r="I683" s="73" t="n"/>
      <c r="J683" s="73" t="n"/>
      <c r="K683" s="74" t="n"/>
      <c r="L683" s="74" t="inlineStr">
        <is>
          <t>NLT0623</t>
        </is>
      </c>
      <c r="M683" s="393" t="inlineStr">
        <is>
          <t>NLT0623</t>
        </is>
      </c>
    </row>
    <row r="684" ht="29.1" customHeight="1">
      <c r="A684" s="74" t="inlineStr">
        <is>
          <t>NLT0659</t>
        </is>
      </c>
      <c r="B684" s="74" t="inlineStr">
        <is>
          <t>Xúc xích ĐV Romas 0.5kg/gói</t>
        </is>
      </c>
      <c r="C684" s="74" t="n"/>
      <c r="D684" s="74" t="inlineStr">
        <is>
          <t>Phù sa</t>
        </is>
      </c>
      <c r="E684" s="74" t="n"/>
      <c r="F684" s="74" t="n"/>
      <c r="G684" s="74" t="inlineStr">
        <is>
          <t>kg</t>
        </is>
      </c>
      <c r="H684" s="76" t="n">
        <v>71000</v>
      </c>
      <c r="I684" s="73" t="n"/>
      <c r="J684" s="73" t="n"/>
      <c r="K684" s="74" t="n"/>
      <c r="L684" s="74" t="inlineStr">
        <is>
          <t>NLT0659</t>
        </is>
      </c>
      <c r="M684" s="393" t="inlineStr">
        <is>
          <t>NLT0659</t>
        </is>
      </c>
    </row>
    <row r="685" ht="29.1" customHeight="1">
      <c r="A685" s="74" t="inlineStr">
        <is>
          <t>NLT0658</t>
        </is>
      </c>
      <c r="B685" s="74" t="inlineStr">
        <is>
          <t>Xúc xích ĐV Chicago 0.5kg/gói</t>
        </is>
      </c>
      <c r="C685" s="74" t="n"/>
      <c r="D685" s="74" t="inlineStr">
        <is>
          <t>Phù sa</t>
        </is>
      </c>
      <c r="E685" s="74" t="n"/>
      <c r="F685" s="74" t="n"/>
      <c r="G685" s="74" t="inlineStr">
        <is>
          <t>kg</t>
        </is>
      </c>
      <c r="H685" s="76" t="n">
        <v>61000</v>
      </c>
      <c r="I685" s="73" t="n"/>
      <c r="J685" s="73" t="n"/>
      <c r="K685" s="74" t="n"/>
      <c r="L685" s="74" t="inlineStr">
        <is>
          <t>NLT0658</t>
        </is>
      </c>
      <c r="M685" s="64" t="inlineStr">
        <is>
          <t>NLT0658</t>
        </is>
      </c>
    </row>
    <row r="686" ht="29.1" customHeight="1">
      <c r="A686" s="74" t="inlineStr">
        <is>
          <t>NLT0107</t>
        </is>
      </c>
      <c r="B686" s="74" t="inlineStr">
        <is>
          <t>Ức gà không xương</t>
        </is>
      </c>
      <c r="C686" s="74" t="n"/>
      <c r="D686" s="74" t="inlineStr">
        <is>
          <t>Phù sa</t>
        </is>
      </c>
      <c r="E686" s="74" t="n"/>
      <c r="F686" s="74" t="n"/>
      <c r="G686" s="74" t="inlineStr">
        <is>
          <t>kg</t>
        </is>
      </c>
      <c r="H686" s="76" t="n">
        <v>75000</v>
      </c>
      <c r="I686" s="73" t="n"/>
      <c r="J686" s="73" t="n"/>
      <c r="K686" s="74" t="n"/>
      <c r="L686" s="74" t="inlineStr">
        <is>
          <t>NLT0107</t>
        </is>
      </c>
      <c r="M686" s="393" t="inlineStr">
        <is>
          <t>NLT0107</t>
        </is>
      </c>
    </row>
    <row r="687" ht="29.1" customHeight="1">
      <c r="A687" s="74" t="inlineStr">
        <is>
          <t>NLT0648</t>
        </is>
      </c>
      <c r="B687" s="74" t="inlineStr">
        <is>
          <t>Chả lụa đông lạnh Dabaco</t>
        </is>
      </c>
      <c r="C687" s="74" t="n"/>
      <c r="D687" s="74" t="inlineStr">
        <is>
          <t>Phù sa</t>
        </is>
      </c>
      <c r="E687" s="74" t="n"/>
      <c r="F687" s="74" t="n"/>
      <c r="G687" s="74" t="inlineStr">
        <is>
          <t>kg</t>
        </is>
      </c>
      <c r="H687" s="76" t="n">
        <v>71000</v>
      </c>
      <c r="I687" s="73" t="n"/>
      <c r="J687" s="73" t="n"/>
      <c r="K687" s="74" t="n"/>
      <c r="L687" s="74" t="inlineStr">
        <is>
          <t>NLT0648</t>
        </is>
      </c>
      <c r="M687" s="64" t="inlineStr">
        <is>
          <t>NLT0648</t>
        </is>
      </c>
    </row>
    <row r="688" ht="29.1" customHeight="1">
      <c r="A688" s="74" t="inlineStr">
        <is>
          <t>NLS0107</t>
        </is>
      </c>
      <c r="B688" s="74" t="inlineStr">
        <is>
          <t>Chả cá ba sa viên</t>
        </is>
      </c>
      <c r="C688" s="74" t="n"/>
      <c r="D688" s="74" t="inlineStr">
        <is>
          <t>Phù sa</t>
        </is>
      </c>
      <c r="E688" s="74" t="n"/>
      <c r="F688" s="74" t="n"/>
      <c r="G688" s="74" t="inlineStr">
        <is>
          <t>kg</t>
        </is>
      </c>
      <c r="H688" s="76" t="n">
        <v>51000</v>
      </c>
      <c r="I688" s="73" t="n"/>
      <c r="J688" s="73" t="n"/>
      <c r="K688" s="74" t="n"/>
      <c r="L688" s="74" t="inlineStr">
        <is>
          <t>NLS0107</t>
        </is>
      </c>
      <c r="M688" s="64" t="inlineStr">
        <is>
          <t>NLS0107</t>
        </is>
      </c>
    </row>
    <row r="689" ht="29.1" customHeight="1">
      <c r="A689" s="74" t="inlineStr">
        <is>
          <t>NLT0661</t>
        </is>
      </c>
      <c r="B689" s="74" t="inlineStr">
        <is>
          <t>Giò lụa đông lạnh Dabaco</t>
        </is>
      </c>
      <c r="C689" s="74" t="n"/>
      <c r="D689" s="74" t="inlineStr">
        <is>
          <t>Phù sa</t>
        </is>
      </c>
      <c r="E689" s="74" t="n"/>
      <c r="F689" s="74" t="n"/>
      <c r="G689" s="74" t="inlineStr">
        <is>
          <t>kg</t>
        </is>
      </c>
      <c r="H689" s="76" t="n">
        <v>75000</v>
      </c>
      <c r="I689" s="73" t="n"/>
      <c r="J689" s="73" t="n"/>
      <c r="K689" s="74" t="n"/>
      <c r="L689" s="74" t="inlineStr">
        <is>
          <t>NLT0661</t>
        </is>
      </c>
      <c r="M689" s="393" t="inlineStr">
        <is>
          <t>NLT0661</t>
        </is>
      </c>
    </row>
    <row r="690" ht="29.1" customHeight="1">
      <c r="A690" s="74" t="inlineStr">
        <is>
          <t>NLS0009</t>
        </is>
      </c>
      <c r="B690" s="74" t="inlineStr">
        <is>
          <t>Cá chi chi ngọt</t>
        </is>
      </c>
      <c r="C690" s="74" t="n"/>
      <c r="D690" s="74" t="inlineStr">
        <is>
          <t>Phù sa</t>
        </is>
      </c>
      <c r="E690" s="74" t="n"/>
      <c r="F690" s="74" t="n"/>
      <c r="G690" s="74" t="inlineStr">
        <is>
          <t>kg</t>
        </is>
      </c>
      <c r="H690" s="76" t="n">
        <v>139000</v>
      </c>
      <c r="I690" s="73" t="n"/>
      <c r="J690" s="73" t="n"/>
      <c r="K690" s="74" t="n"/>
      <c r="L690" s="74" t="inlineStr">
        <is>
          <t>NLS0009</t>
        </is>
      </c>
      <c r="M690" s="393" t="inlineStr">
        <is>
          <t>NLS0009</t>
        </is>
      </c>
    </row>
    <row r="691" ht="29.1" customHeight="1">
      <c r="A691" s="74" t="inlineStr">
        <is>
          <t>NLS0065</t>
        </is>
      </c>
      <c r="B691" s="74" t="inlineStr">
        <is>
          <t>Tép khô</t>
        </is>
      </c>
      <c r="C691" s="74" t="n"/>
      <c r="D691" s="74" t="inlineStr">
        <is>
          <t>Phù sa</t>
        </is>
      </c>
      <c r="E691" s="74" t="n"/>
      <c r="F691" s="74" t="n"/>
      <c r="G691" s="74" t="inlineStr">
        <is>
          <t>kg</t>
        </is>
      </c>
      <c r="H691" s="76" t="n">
        <v>100000</v>
      </c>
      <c r="I691" s="73" t="n"/>
      <c r="J691" s="73" t="n"/>
      <c r="K691" s="74" t="n"/>
      <c r="L691" s="74" t="inlineStr">
        <is>
          <t>NLS0065</t>
        </is>
      </c>
      <c r="M691" s="64" t="inlineStr">
        <is>
          <t>NLS0065</t>
        </is>
      </c>
    </row>
    <row r="692" ht="29.1" customHeight="1">
      <c r="A692" s="74" t="n"/>
      <c r="B692" s="74" t="inlineStr">
        <is>
          <t>cá chim sc bỏ đầu 1kg đến 1,2kg/con</t>
        </is>
      </c>
      <c r="C692" s="74" t="n"/>
      <c r="D692" s="74" t="inlineStr">
        <is>
          <t>Phù sa</t>
        </is>
      </c>
      <c r="E692" s="74" t="n"/>
      <c r="F692" s="74" t="n"/>
      <c r="G692" s="74" t="inlineStr">
        <is>
          <t>kg</t>
        </is>
      </c>
      <c r="H692" s="76" t="n">
        <v>50000</v>
      </c>
      <c r="I692" s="73" t="n"/>
      <c r="J692" s="73" t="n"/>
      <c r="K692" s="74" t="n"/>
      <c r="L692" s="74" t="n"/>
    </row>
    <row r="693" ht="29.1" customHeight="1">
      <c r="A693" s="74" t="n"/>
      <c r="B693" s="74" t="inlineStr">
        <is>
          <t>Xôi khúc</t>
        </is>
      </c>
      <c r="C693" s="74" t="n"/>
      <c r="D693" s="74" t="inlineStr">
        <is>
          <t>Phù sa</t>
        </is>
      </c>
      <c r="E693" s="74" t="n"/>
      <c r="F693" s="74" t="inlineStr">
        <is>
          <t>1</t>
        </is>
      </c>
      <c r="G693" s="74" t="inlineStr">
        <is>
          <t>cái</t>
        </is>
      </c>
      <c r="H693" s="76" t="n">
        <v>12500</v>
      </c>
      <c r="I693" s="73" t="n"/>
      <c r="J693" s="73" t="n"/>
      <c r="K693" s="74" t="n"/>
      <c r="L693" s="74" t="n"/>
    </row>
    <row r="694" ht="29.1" customHeight="1">
      <c r="A694" s="77" t="inlineStr">
        <is>
          <t>NLG0040</t>
        </is>
      </c>
      <c r="B694" s="74" t="inlineStr">
        <is>
          <t>Bánh bao thập cẩm nhân trứng cút 110g</t>
        </is>
      </c>
      <c r="C694" s="74" t="n"/>
      <c r="D694" s="74" t="inlineStr">
        <is>
          <t>Phù sa</t>
        </is>
      </c>
      <c r="E694" s="74" t="n"/>
      <c r="F694" s="74" t="inlineStr">
        <is>
          <t>1</t>
        </is>
      </c>
      <c r="G694" s="74" t="inlineStr">
        <is>
          <t>kg</t>
        </is>
      </c>
      <c r="H694" s="76" t="n">
        <v>10000</v>
      </c>
      <c r="I694" s="73" t="n"/>
      <c r="J694" s="73" t="n"/>
      <c r="K694" s="74" t="n"/>
      <c r="L694" s="77" t="inlineStr">
        <is>
          <t>NLG0040</t>
        </is>
      </c>
      <c r="M694" s="393" t="inlineStr">
        <is>
          <t>NLG0040</t>
        </is>
      </c>
    </row>
    <row r="695" ht="29.1" customHeight="1">
      <c r="A695" s="74" t="inlineStr">
        <is>
          <t xml:space="preserve">HHN0109         </t>
        </is>
      </c>
      <c r="B695" s="74" t="inlineStr">
        <is>
          <t>Sữa đậu nành Nuti nguyên chất 200ml/túi*36 gói</t>
        </is>
      </c>
      <c r="C695" s="74" t="n"/>
      <c r="D695" s="74" t="inlineStr">
        <is>
          <t>Phù sa</t>
        </is>
      </c>
      <c r="E695" s="74" t="n"/>
      <c r="F695" s="74" t="n"/>
      <c r="G695" s="74" t="inlineStr">
        <is>
          <t>kg</t>
        </is>
      </c>
      <c r="H695" s="76" t="n">
        <v>3298</v>
      </c>
      <c r="I695" s="73" t="n"/>
      <c r="J695" s="73" t="n"/>
      <c r="K695" s="74" t="n"/>
      <c r="L695" s="74" t="inlineStr">
        <is>
          <t xml:space="preserve">HHN0109         </t>
        </is>
      </c>
      <c r="M695" s="64" t="inlineStr">
        <is>
          <t xml:space="preserve">HHN0109         </t>
        </is>
      </c>
    </row>
    <row r="696" ht="29.1" customHeight="1">
      <c r="A696" s="74" t="n"/>
      <c r="B696" s="74" t="inlineStr">
        <is>
          <t>Bánh rán vừng</t>
        </is>
      </c>
      <c r="C696" s="74" t="n"/>
      <c r="D696" s="74" t="inlineStr">
        <is>
          <t>Phù sa</t>
        </is>
      </c>
      <c r="E696" s="74" t="n"/>
      <c r="F696" s="74" t="inlineStr">
        <is>
          <t>1</t>
        </is>
      </c>
      <c r="G696" s="74" t="inlineStr">
        <is>
          <t>kg</t>
        </is>
      </c>
      <c r="H696" s="76" t="n">
        <v>2500</v>
      </c>
      <c r="I696" s="73" t="n"/>
      <c r="J696" s="73" t="n"/>
      <c r="K696" s="74" t="n"/>
      <c r="L696" s="74" t="n"/>
    </row>
    <row r="697" ht="29.1" customHeight="1">
      <c r="A697" s="74" t="n"/>
      <c r="B697" s="74" t="inlineStr">
        <is>
          <t>chả cá thìa là</t>
        </is>
      </c>
      <c r="C697" s="74" t="n"/>
      <c r="D697" s="74" t="inlineStr">
        <is>
          <t>Phù sa</t>
        </is>
      </c>
      <c r="E697" s="74" t="n"/>
      <c r="F697" s="74" t="n"/>
      <c r="G697" s="74" t="inlineStr">
        <is>
          <t>kg</t>
        </is>
      </c>
      <c r="H697" s="76" t="n">
        <v>60000</v>
      </c>
      <c r="I697" s="73" t="n"/>
      <c r="J697" s="73" t="n"/>
      <c r="K697" s="74" t="n"/>
      <c r="L697" s="74" t="n"/>
    </row>
    <row r="698" ht="29.1" customHeight="1">
      <c r="A698" s="74" t="n"/>
      <c r="B698" s="74" t="inlineStr">
        <is>
          <t>củ cải sơ chế</t>
        </is>
      </c>
      <c r="C698" s="74" t="n"/>
      <c r="D698" s="74" t="n"/>
      <c r="E698" s="74" t="n"/>
      <c r="F698" s="74" t="n"/>
      <c r="G698" s="74" t="inlineStr">
        <is>
          <t>kg</t>
        </is>
      </c>
      <c r="H698" s="76" t="n">
        <v>13000</v>
      </c>
      <c r="I698" s="73" t="n"/>
      <c r="J698" s="73" t="n"/>
      <c r="K698" s="74" t="n"/>
      <c r="L698" s="74" t="n"/>
    </row>
    <row r="699" ht="29.1" customHeight="1">
      <c r="A699" s="74" t="n"/>
      <c r="B699" s="74" t="inlineStr">
        <is>
          <t>Khoai môn sơ chế</t>
        </is>
      </c>
      <c r="C699" s="74" t="n"/>
      <c r="D699" s="74" t="n"/>
      <c r="E699" s="74" t="n"/>
      <c r="F699" s="74" t="n"/>
      <c r="G699" s="74" t="inlineStr">
        <is>
          <t>kg</t>
        </is>
      </c>
      <c r="H699" s="76" t="n">
        <v>24000</v>
      </c>
      <c r="I699" s="73" t="n"/>
      <c r="J699" s="73" t="n"/>
      <c r="K699" s="74" t="n"/>
      <c r="L699" s="74" t="n"/>
    </row>
    <row r="700" ht="29.1" customHeight="1">
      <c r="A700" s="74" t="n"/>
      <c r="B700" s="74" t="inlineStr">
        <is>
          <t>cá trê sc bỏ đầu vây</t>
        </is>
      </c>
      <c r="C700" s="74" t="n"/>
      <c r="D700" s="74" t="n"/>
      <c r="E700" s="74" t="n"/>
      <c r="F700" s="74" t="n"/>
      <c r="G700" s="74" t="inlineStr">
        <is>
          <t>kg</t>
        </is>
      </c>
      <c r="H700" s="76" t="n">
        <v>46000</v>
      </c>
      <c r="I700" s="73" t="n"/>
      <c r="J700" s="73" t="n"/>
      <c r="K700" s="74" t="n"/>
      <c r="L700" s="74" t="n"/>
    </row>
    <row r="701" ht="29.1" customHeight="1">
      <c r="A701" s="74" t="n"/>
      <c r="B701" s="74" t="inlineStr">
        <is>
          <t>củ cải khô</t>
        </is>
      </c>
      <c r="C701" s="74" t="n"/>
      <c r="D701" s="74" t="n"/>
      <c r="E701" s="74" t="n"/>
      <c r="F701" s="74" t="n"/>
      <c r="G701" s="74" t="inlineStr">
        <is>
          <t>kg</t>
        </is>
      </c>
      <c r="H701" s="76" t="n">
        <v>100000</v>
      </c>
      <c r="I701" s="73" t="n"/>
      <c r="J701" s="73" t="n"/>
      <c r="K701" s="74" t="n"/>
      <c r="L701" s="74" t="n"/>
    </row>
    <row r="702" ht="29.1" customHeight="1">
      <c r="A702" s="74" t="n"/>
      <c r="B702" s="74" t="inlineStr">
        <is>
          <t>Tôm đồng ngất</t>
        </is>
      </c>
      <c r="C702" s="74" t="n"/>
      <c r="D702" s="74" t="n"/>
      <c r="E702" s="74" t="n"/>
      <c r="F702" s="74" t="n"/>
      <c r="G702" s="74" t="inlineStr">
        <is>
          <t>kg</t>
        </is>
      </c>
      <c r="H702" s="76" t="n">
        <v>140000</v>
      </c>
      <c r="I702" s="73" t="n"/>
      <c r="J702" s="73" t="n"/>
      <c r="K702" s="74" t="n"/>
      <c r="L702" s="74" t="n"/>
    </row>
    <row r="703" ht="29.1" customHeight="1">
      <c r="A703" s="74" t="inlineStr">
        <is>
          <t xml:space="preserve">HHB0192         </t>
        </is>
      </c>
      <c r="B703" s="74" t="inlineStr">
        <is>
          <t xml:space="preserve">Thạch rau câu cốc Kazoo 100g vị dừa                                                                                                                                               </t>
        </is>
      </c>
      <c r="C703" s="74" t="n"/>
      <c r="D703" s="74" t="inlineStr">
        <is>
          <t xml:space="preserve">Cốc       </t>
        </is>
      </c>
      <c r="E703" s="74" t="inlineStr">
        <is>
          <t>VND</t>
        </is>
      </c>
      <c r="F703" s="74" t="n">
        <v>1400</v>
      </c>
      <c r="G703" s="74" t="inlineStr">
        <is>
          <t xml:space="preserve">Cốc       </t>
        </is>
      </c>
      <c r="H703" s="74" t="n">
        <v>1400</v>
      </c>
      <c r="I703" s="73" t="n"/>
      <c r="J703" s="73" t="n"/>
      <c r="K703" s="74" t="n"/>
      <c r="L703" s="74" t="n"/>
      <c r="M703" s="64" t="inlineStr">
        <is>
          <t xml:space="preserve">HHB0192         </t>
        </is>
      </c>
    </row>
    <row r="704" ht="29.1" customHeight="1">
      <c r="A704" s="74" t="n"/>
      <c r="B704" s="74" t="inlineStr">
        <is>
          <t>Lá nồm</t>
        </is>
      </c>
      <c r="C704" s="74" t="n"/>
      <c r="D704" s="74" t="n"/>
      <c r="E704" s="74" t="n"/>
      <c r="F704" s="74" t="n"/>
      <c r="G704" s="74" t="inlineStr">
        <is>
          <t>kg</t>
        </is>
      </c>
      <c r="H704" s="76" t="n">
        <v>80000</v>
      </c>
      <c r="I704" s="73" t="n"/>
      <c r="J704" s="73" t="n"/>
      <c r="K704" s="74" t="n"/>
      <c r="L704" s="74" t="n"/>
    </row>
    <row r="705" ht="29.1" customHeight="1">
      <c r="A705" s="74" t="n"/>
      <c r="B705" s="74" t="inlineStr">
        <is>
          <t>Mỡ khổ</t>
        </is>
      </c>
      <c r="C705" s="74" t="n"/>
      <c r="D705" s="74" t="n"/>
      <c r="E705" s="74" t="n"/>
      <c r="F705" s="74" t="n"/>
      <c r="G705" s="74" t="inlineStr">
        <is>
          <t>kg</t>
        </is>
      </c>
      <c r="H705" s="76" t="n">
        <v>40000</v>
      </c>
      <c r="I705" s="73" t="n"/>
      <c r="J705" s="73" t="n"/>
      <c r="K705" s="74" t="n"/>
      <c r="L705" s="74" t="n"/>
    </row>
    <row r="706" ht="29.1" customHeight="1">
      <c r="A706" s="74" t="n"/>
      <c r="B706" s="74" t="inlineStr">
        <is>
          <t>cam sim</t>
        </is>
      </c>
      <c r="C706" s="74" t="n"/>
      <c r="D706" s="74" t="n"/>
      <c r="E706" s="74" t="n"/>
      <c r="F706" s="74" t="n"/>
      <c r="G706" s="74" t="inlineStr">
        <is>
          <t>kg</t>
        </is>
      </c>
      <c r="H706" s="76" t="n">
        <v>20000</v>
      </c>
      <c r="I706" s="73" t="n"/>
      <c r="J706" s="73" t="n"/>
      <c r="K706" s="74" t="n"/>
      <c r="L706" s="74" t="n"/>
    </row>
    <row r="707" ht="29.1" customHeight="1">
      <c r="A707" s="74" t="n"/>
      <c r="B707" s="74" t="inlineStr">
        <is>
          <t>Lưỡi lợn đl</t>
        </is>
      </c>
      <c r="C707" s="74" t="n"/>
      <c r="D707" s="74" t="n"/>
      <c r="E707" s="74" t="n"/>
      <c r="F707" s="74" t="n"/>
      <c r="G707" s="74" t="inlineStr">
        <is>
          <t>kg</t>
        </is>
      </c>
      <c r="H707" s="76" t="n">
        <v>75000</v>
      </c>
      <c r="I707" s="73" t="n"/>
      <c r="J707" s="73" t="n"/>
      <c r="K707" s="74" t="n"/>
      <c r="L707" s="74" t="n"/>
    </row>
    <row r="708" ht="29.1" customHeight="1">
      <c r="A708" s="74" t="n"/>
      <c r="B708" s="74" t="inlineStr">
        <is>
          <t>Sữa izzi Dinomilk HNmilk vị hoa quả 110ml* 48 hộp</t>
        </is>
      </c>
      <c r="C708" s="74" t="n"/>
      <c r="D708" s="74" t="n"/>
      <c r="E708" s="74" t="n"/>
      <c r="F708" s="74" t="n"/>
      <c r="G708" s="74" t="inlineStr">
        <is>
          <t>hộp</t>
        </is>
      </c>
      <c r="H708" s="76" t="n">
        <v>2488</v>
      </c>
      <c r="I708" s="73" t="n"/>
      <c r="J708" s="73" t="n"/>
      <c r="K708" s="74" t="n"/>
      <c r="L708" s="74" t="n"/>
    </row>
    <row r="709" ht="29.1" customHeight="1">
      <c r="A709" s="74" t="n"/>
      <c r="B709" s="74" t="inlineStr">
        <is>
          <t>Măng khô</t>
        </is>
      </c>
      <c r="C709" s="74" t="n"/>
      <c r="D709" s="74" t="n"/>
      <c r="E709" s="74" t="n"/>
      <c r="F709" s="74" t="n"/>
      <c r="G709" s="74" t="inlineStr">
        <is>
          <t>kg</t>
        </is>
      </c>
      <c r="H709" s="76" t="n">
        <v>150000</v>
      </c>
      <c r="I709" s="73" t="n"/>
      <c r="J709" s="73" t="n"/>
      <c r="K709" s="74" t="n"/>
      <c r="L709" s="74" t="n"/>
    </row>
    <row r="710" ht="29.1" customHeight="1">
      <c r="A710" s="74" t="n"/>
      <c r="B710" s="74" t="inlineStr">
        <is>
          <t>Bánh mì bibica 70g</t>
        </is>
      </c>
      <c r="C710" s="74" t="n"/>
      <c r="D710" s="74" t="n"/>
      <c r="E710" s="74" t="n"/>
      <c r="F710" s="74" t="n"/>
      <c r="G710" s="74" t="inlineStr">
        <is>
          <t>cái</t>
        </is>
      </c>
      <c r="H710" s="76" t="n">
        <v>6000</v>
      </c>
      <c r="I710" s="73" t="n"/>
      <c r="J710" s="73" t="n"/>
      <c r="K710" s="74" t="n"/>
      <c r="L710" s="74" t="n"/>
    </row>
    <row r="711" ht="29.1" customHeight="1">
      <c r="A711" s="74" t="inlineStr">
        <is>
          <t>HHB0027</t>
        </is>
      </c>
      <c r="B711" s="74" t="inlineStr">
        <is>
          <t>Thạch Long Hải 95g* 100 cốc/thùng</t>
        </is>
      </c>
      <c r="C711" s="74" t="n"/>
      <c r="D711" s="74" t="n"/>
      <c r="E711" s="74" t="n"/>
      <c r="F711" s="74" t="n"/>
      <c r="G711" s="74" t="inlineStr">
        <is>
          <t>Cốc</t>
        </is>
      </c>
      <c r="H711" s="76" t="n">
        <v>2400</v>
      </c>
      <c r="I711" s="73" t="n">
        <v>2400</v>
      </c>
      <c r="J711" s="73" t="n"/>
      <c r="K711" s="74" t="n"/>
      <c r="L711" s="74" t="n"/>
    </row>
    <row r="712" ht="29.1" customHeight="1">
      <c r="A712" s="74" t="inlineStr">
        <is>
          <t>HHN0025</t>
        </is>
      </c>
      <c r="B712" s="74" t="inlineStr">
        <is>
          <t>Nước Lavie 500ml* 24 chai</t>
        </is>
      </c>
      <c r="C712" s="74" t="n"/>
      <c r="D712" s="74" t="n"/>
      <c r="E712" s="74" t="n"/>
      <c r="F712" s="74" t="n"/>
      <c r="G712" s="74" t="inlineStr">
        <is>
          <t>Chai</t>
        </is>
      </c>
      <c r="H712" s="76" t="n">
        <v>4500</v>
      </c>
      <c r="I712" s="73" t="n">
        <v>4500</v>
      </c>
      <c r="J712" s="73" t="n"/>
      <c r="K712" s="74" t="n"/>
      <c r="L712" s="74" t="n"/>
    </row>
    <row r="713" ht="29.1" customHeight="1">
      <c r="A713" s="74" t="inlineStr">
        <is>
          <t>NLG0001</t>
        </is>
      </c>
      <c r="B713" s="74" t="inlineStr">
        <is>
          <t>Bún.</t>
        </is>
      </c>
      <c r="C713" s="74" t="n"/>
      <c r="D713" s="74" t="n"/>
      <c r="E713" s="74" t="n"/>
      <c r="F713" s="74" t="n"/>
      <c r="G713" s="74" t="inlineStr">
        <is>
          <t>kg</t>
        </is>
      </c>
      <c r="H713" s="76" t="n">
        <v>10000</v>
      </c>
      <c r="I713" s="73" t="n">
        <v>10000</v>
      </c>
      <c r="J713" s="73" t="n"/>
      <c r="K713" s="74" t="n"/>
      <c r="L713" s="74" t="n"/>
    </row>
    <row r="714" ht="29.1" customHeight="1">
      <c r="A714" s="74" t="inlineStr">
        <is>
          <t>NLG0006</t>
        </is>
      </c>
      <c r="B714" s="74" t="inlineStr">
        <is>
          <t>Gạo nếp</t>
        </is>
      </c>
      <c r="C714" s="74" t="n"/>
      <c r="D714" s="74" t="n"/>
      <c r="E714" s="74" t="n"/>
      <c r="F714" s="74" t="n"/>
      <c r="G714" s="74" t="inlineStr">
        <is>
          <t>kg</t>
        </is>
      </c>
      <c r="H714" s="76" t="n">
        <v>35000</v>
      </c>
      <c r="I714" s="73" t="n">
        <v>35000</v>
      </c>
      <c r="J714" s="73" t="n"/>
      <c r="K714" s="74" t="n"/>
      <c r="L714" s="74" t="n"/>
    </row>
    <row r="715" ht="29.1" customHeight="1">
      <c r="A715" s="74" t="inlineStr">
        <is>
          <t>NLG0017</t>
        </is>
      </c>
      <c r="B715" s="74" t="inlineStr">
        <is>
          <t>Miến dong Túi 0.5kg/ túi</t>
        </is>
      </c>
      <c r="C715" s="74" t="n"/>
      <c r="D715" s="74" t="n"/>
      <c r="E715" s="74" t="n"/>
      <c r="F715" s="74" t="n"/>
      <c r="G715" s="74" t="inlineStr">
        <is>
          <t>kg</t>
        </is>
      </c>
      <c r="H715" s="76" t="n">
        <v>65000</v>
      </c>
      <c r="I715" s="73" t="n">
        <v>65000</v>
      </c>
      <c r="J715" s="73" t="n"/>
      <c r="K715" s="74" t="n"/>
      <c r="L715" s="74" t="n"/>
    </row>
    <row r="716" ht="29.1" customHeight="1">
      <c r="A716" s="74" t="inlineStr">
        <is>
          <t>NLG0031</t>
        </is>
      </c>
      <c r="B716" s="74" t="inlineStr">
        <is>
          <t>Phở tươi</t>
        </is>
      </c>
      <c r="C716" s="74" t="n"/>
      <c r="D716" s="74" t="n"/>
      <c r="E716" s="74" t="n"/>
      <c r="F716" s="74" t="n"/>
      <c r="G716" s="74" t="inlineStr">
        <is>
          <t>kg</t>
        </is>
      </c>
      <c r="H716" s="76" t="n">
        <v>12000</v>
      </c>
      <c r="I716" s="73" t="n">
        <v>12000</v>
      </c>
      <c r="J716" s="73" t="n"/>
      <c r="K716" s="74" t="n"/>
      <c r="L716" s="74" t="n"/>
    </row>
    <row r="717" ht="29.1" customHeight="1">
      <c r="A717" s="74" t="inlineStr">
        <is>
          <t>NLG0043</t>
        </is>
      </c>
      <c r="B717" s="74" t="inlineStr">
        <is>
          <t>Bánh cuốn</t>
        </is>
      </c>
      <c r="C717" s="74" t="n"/>
      <c r="D717" s="74" t="n"/>
      <c r="E717" s="74" t="n"/>
      <c r="F717" s="74" t="n"/>
      <c r="G717" s="74" t="inlineStr">
        <is>
          <t>kg</t>
        </is>
      </c>
      <c r="H717" s="76" t="n">
        <v>16000</v>
      </c>
      <c r="I717" s="73" t="n">
        <v>16000</v>
      </c>
      <c r="J717" s="73" t="n"/>
      <c r="K717" s="74" t="n"/>
      <c r="L717" s="74" t="n"/>
    </row>
    <row r="718" ht="29.1" customHeight="1">
      <c r="A718" s="74" t="inlineStr">
        <is>
          <t>NLG0047</t>
        </is>
      </c>
      <c r="B718" s="74" t="inlineStr">
        <is>
          <t>Bánh đa trắng khô</t>
        </is>
      </c>
      <c r="C718" s="74" t="n"/>
      <c r="D718" s="74" t="n"/>
      <c r="E718" s="74" t="n"/>
      <c r="F718" s="74" t="n"/>
      <c r="G718" s="74" t="inlineStr">
        <is>
          <t>kg</t>
        </is>
      </c>
      <c r="H718" s="76" t="n">
        <v>18000</v>
      </c>
      <c r="I718" s="73" t="n">
        <v>18000</v>
      </c>
      <c r="J718" s="73" t="n"/>
      <c r="K718" s="74" t="n"/>
      <c r="L718" s="74" t="n"/>
    </row>
    <row r="719" ht="29.1" customHeight="1">
      <c r="A719" s="74" t="inlineStr">
        <is>
          <t>NLG0048</t>
        </is>
      </c>
      <c r="B719" s="74" t="inlineStr">
        <is>
          <t>Bánh đa trắng tươi</t>
        </is>
      </c>
      <c r="C719" s="74" t="n"/>
      <c r="D719" s="74" t="n"/>
      <c r="E719" s="74" t="n"/>
      <c r="F719" s="74" t="n"/>
      <c r="G719" s="74" t="inlineStr">
        <is>
          <t>kg</t>
        </is>
      </c>
      <c r="H719" s="76" t="n">
        <v>18000</v>
      </c>
      <c r="I719" s="73" t="n">
        <v>18000</v>
      </c>
      <c r="J719" s="73" t="n"/>
      <c r="K719" s="74" t="n"/>
      <c r="L719" s="74" t="n"/>
    </row>
    <row r="720" ht="29.1" customHeight="1">
      <c r="A720" s="74" t="inlineStr">
        <is>
          <t>NLG0079</t>
        </is>
      </c>
      <c r="B720" s="74" t="inlineStr">
        <is>
          <t>Bánh cuốn hành</t>
        </is>
      </c>
      <c r="C720" s="74" t="n"/>
      <c r="D720" s="74" t="n"/>
      <c r="E720" s="74" t="n"/>
      <c r="F720" s="74" t="n"/>
      <c r="G720" s="74" t="inlineStr">
        <is>
          <t>kg</t>
        </is>
      </c>
      <c r="H720" s="76" t="n">
        <v>17000</v>
      </c>
      <c r="I720" s="73" t="n">
        <v>17000</v>
      </c>
      <c r="J720" s="73" t="n"/>
      <c r="K720" s="74" t="n"/>
      <c r="L720" s="74" t="n"/>
    </row>
    <row r="721" ht="29.1" customHeight="1">
      <c r="A721" s="74" t="inlineStr">
        <is>
          <t>NLG0163</t>
        </is>
      </c>
      <c r="B721" s="74" t="inlineStr">
        <is>
          <t>Bún tươi sợi to</t>
        </is>
      </c>
      <c r="C721" s="74" t="n"/>
      <c r="D721" s="74" t="n"/>
      <c r="E721" s="74" t="n"/>
      <c r="F721" s="74" t="n"/>
      <c r="G721" s="74" t="inlineStr">
        <is>
          <t>kg</t>
        </is>
      </c>
      <c r="H721" s="76" t="n">
        <v>10000</v>
      </c>
      <c r="I721" s="73" t="n">
        <v>10000</v>
      </c>
      <c r="J721" s="73" t="n"/>
      <c r="K721" s="74" t="n"/>
      <c r="L721" s="74" t="n"/>
    </row>
    <row r="722" ht="29.1" customHeight="1">
      <c r="A722" s="74" t="inlineStr">
        <is>
          <t>NLG0210</t>
        </is>
      </c>
      <c r="B722" s="74" t="inlineStr">
        <is>
          <t>Mỳ chính Miwon 2kg/ gói</t>
        </is>
      </c>
      <c r="C722" s="74" t="n"/>
      <c r="D722" s="74" t="n"/>
      <c r="E722" s="74" t="n"/>
      <c r="F722" s="74" t="n"/>
      <c r="G722" s="74" t="inlineStr">
        <is>
          <t>kg</t>
        </is>
      </c>
      <c r="H722" s="76" t="n">
        <v>64000</v>
      </c>
      <c r="I722" s="73" t="n">
        <v>64000</v>
      </c>
      <c r="J722" s="73" t="n"/>
      <c r="K722" s="74" t="n"/>
      <c r="L722" s="74" t="n"/>
    </row>
    <row r="723" ht="29.1" customHeight="1">
      <c r="A723" s="74" t="inlineStr">
        <is>
          <t>NLQ0008</t>
        </is>
      </c>
      <c r="B723" s="74" t="inlineStr">
        <is>
          <t>Qủa chanh leo</t>
        </is>
      </c>
      <c r="C723" s="74" t="n"/>
      <c r="D723" s="74" t="n"/>
      <c r="E723" s="74" t="n"/>
      <c r="F723" s="74" t="n"/>
      <c r="G723" s="74" t="inlineStr">
        <is>
          <t>kg</t>
        </is>
      </c>
      <c r="H723" s="76" t="n">
        <v>25000</v>
      </c>
      <c r="I723" s="73" t="n">
        <v>25000</v>
      </c>
      <c r="J723" s="73" t="n"/>
      <c r="K723" s="74" t="n"/>
      <c r="L723" s="74" t="n"/>
    </row>
    <row r="724" ht="29.1" customHeight="1">
      <c r="A724" s="74" t="inlineStr">
        <is>
          <t>NLQ0010</t>
        </is>
      </c>
      <c r="B724" s="74" t="inlineStr">
        <is>
          <t>Quả Chuối tây 9-11 quả/kg</t>
        </is>
      </c>
      <c r="C724" s="74" t="n"/>
      <c r="D724" s="74" t="n"/>
      <c r="E724" s="74" t="n"/>
      <c r="F724" s="74" t="n"/>
      <c r="G724" s="74" t="inlineStr">
        <is>
          <t>quả</t>
        </is>
      </c>
      <c r="H724" s="76" t="n">
        <v>1500</v>
      </c>
      <c r="I724" s="73" t="n">
        <v>1500</v>
      </c>
      <c r="J724" s="73" t="n"/>
      <c r="K724" s="74" t="n"/>
      <c r="L724" s="74" t="n"/>
    </row>
    <row r="725" ht="29.1" customHeight="1">
      <c r="A725" s="74" t="inlineStr">
        <is>
          <t>NLQ0013</t>
        </is>
      </c>
      <c r="B725" s="74" t="inlineStr">
        <is>
          <t>Dưa hấu 1,8- 3kg/quả</t>
        </is>
      </c>
      <c r="C725" s="74" t="n"/>
      <c r="D725" s="74" t="n"/>
      <c r="E725" s="74" t="n"/>
      <c r="F725" s="74" t="n"/>
      <c r="G725" s="74" t="inlineStr">
        <is>
          <t>kg</t>
        </is>
      </c>
      <c r="H725" s="76" t="n">
        <v>13000</v>
      </c>
      <c r="I725" s="73" t="n">
        <v>13000</v>
      </c>
      <c r="J725" s="73" t="n"/>
      <c r="K725" s="74" t="n"/>
      <c r="L725" s="74" t="n"/>
    </row>
    <row r="726" ht="29.1" customHeight="1">
      <c r="A726" s="74" t="inlineStr">
        <is>
          <t>NLQ0016</t>
        </is>
      </c>
      <c r="B726" s="74" t="inlineStr">
        <is>
          <t>Quả ổi 3-5 quả/kg</t>
        </is>
      </c>
      <c r="C726" s="74" t="n"/>
      <c r="D726" s="74" t="n"/>
      <c r="E726" s="74" t="n"/>
      <c r="F726" s="74" t="n"/>
      <c r="G726" s="74" t="inlineStr">
        <is>
          <t>kg</t>
        </is>
      </c>
      <c r="H726" s="76" t="n">
        <v>7000</v>
      </c>
      <c r="I726" s="73" t="n">
        <v>7000</v>
      </c>
      <c r="J726" s="73" t="n"/>
      <c r="K726" s="74" t="n"/>
      <c r="L726" s="74" t="n"/>
    </row>
    <row r="727" ht="29.1" customHeight="1">
      <c r="A727" s="74" t="inlineStr">
        <is>
          <t>NLQ0017</t>
        </is>
      </c>
      <c r="B727" s="74" t="inlineStr">
        <is>
          <t>Quả quất</t>
        </is>
      </c>
      <c r="C727" s="74" t="n"/>
      <c r="D727" s="74" t="n"/>
      <c r="E727" s="74" t="n"/>
      <c r="F727" s="74" t="n"/>
      <c r="G727" s="74" t="inlineStr">
        <is>
          <t>kg</t>
        </is>
      </c>
      <c r="H727" s="76" t="n">
        <v>20000</v>
      </c>
      <c r="I727" s="73" t="n">
        <v>20000</v>
      </c>
      <c r="J727" s="73" t="n"/>
      <c r="K727" s="74" t="n"/>
      <c r="L727" s="74" t="n"/>
    </row>
    <row r="728" ht="29.1" customHeight="1">
      <c r="A728" s="74" t="inlineStr">
        <is>
          <t>NLQ0018</t>
        </is>
      </c>
      <c r="B728" s="74" t="inlineStr">
        <is>
          <t>Qủa Quýt</t>
        </is>
      </c>
      <c r="C728" s="74" t="n"/>
      <c r="D728" s="74" t="n"/>
      <c r="E728" s="74" t="n"/>
      <c r="F728" s="74" t="n"/>
      <c r="G728" s="74" t="inlineStr">
        <is>
          <t>kg</t>
        </is>
      </c>
      <c r="H728" s="76" t="n">
        <v>19000</v>
      </c>
      <c r="I728" s="73" t="n">
        <v>19000</v>
      </c>
      <c r="J728" s="73" t="n"/>
      <c r="K728" s="74" t="n"/>
      <c r="L728" s="74" t="n"/>
    </row>
    <row r="729" ht="29.1" customHeight="1">
      <c r="A729" s="74" t="inlineStr">
        <is>
          <t>NLQ0022</t>
        </is>
      </c>
      <c r="B729" s="74" t="inlineStr">
        <is>
          <t>Quả Thanh long</t>
        </is>
      </c>
      <c r="C729" s="74" t="n"/>
      <c r="D729" s="74" t="n"/>
      <c r="E729" s="74" t="n"/>
      <c r="F729" s="74" t="n"/>
      <c r="G729" s="74" t="inlineStr">
        <is>
          <t>kg</t>
        </is>
      </c>
      <c r="H729" s="76" t="n">
        <v>14000</v>
      </c>
      <c r="I729" s="73" t="n">
        <v>14000</v>
      </c>
      <c r="J729" s="73" t="n"/>
      <c r="K729" s="74" t="n"/>
      <c r="L729" s="74" t="n"/>
    </row>
    <row r="730" ht="29.1" customHeight="1">
      <c r="A730" s="74" t="inlineStr">
        <is>
          <t>NLQ0026</t>
        </is>
      </c>
      <c r="B730" s="74" t="inlineStr">
        <is>
          <t>Quả dưa Mỹ vàng</t>
        </is>
      </c>
      <c r="C730" s="74" t="n"/>
      <c r="D730" s="74" t="n"/>
      <c r="E730" s="74" t="n"/>
      <c r="F730" s="74" t="n"/>
      <c r="G730" s="74" t="inlineStr">
        <is>
          <t>kg</t>
        </is>
      </c>
      <c r="H730" s="76" t="n">
        <v>25000</v>
      </c>
      <c r="I730" s="73" t="n">
        <v>25000</v>
      </c>
      <c r="J730" s="73" t="n"/>
      <c r="K730" s="74" t="n"/>
      <c r="L730" s="74" t="n"/>
    </row>
    <row r="731" ht="29.1" customHeight="1">
      <c r="A731" s="74" t="inlineStr">
        <is>
          <t>NLQ0072</t>
        </is>
      </c>
      <c r="B731" s="74" t="inlineStr">
        <is>
          <t>Quả chuối tiêu chín 7-8 quả/kg</t>
        </is>
      </c>
      <c r="C731" s="74" t="n"/>
      <c r="D731" s="74" t="n"/>
      <c r="E731" s="74" t="n"/>
      <c r="F731" s="74" t="n"/>
      <c r="G731" s="74" t="inlineStr">
        <is>
          <t>Quả</t>
        </is>
      </c>
      <c r="H731" s="76" t="n">
        <v>1500</v>
      </c>
      <c r="I731" s="73" t="n">
        <v>1500</v>
      </c>
      <c r="J731" s="73" t="n"/>
      <c r="K731" s="74" t="n"/>
      <c r="L731" s="74" t="n"/>
    </row>
    <row r="732" ht="29.1" customHeight="1">
      <c r="A732" s="74" t="inlineStr">
        <is>
          <t>NLQ0036</t>
        </is>
      </c>
      <c r="B732" s="74" t="inlineStr">
        <is>
          <t>Xoài xanh 2-3 quả/kg</t>
        </is>
      </c>
      <c r="C732" s="74" t="n"/>
      <c r="D732" s="74" t="n"/>
      <c r="E732" s="74" t="n"/>
      <c r="F732" s="74" t="n"/>
      <c r="G732" s="74" t="inlineStr">
        <is>
          <t>kg</t>
        </is>
      </c>
      <c r="H732" s="76" t="n">
        <v>16000</v>
      </c>
      <c r="I732" s="73" t="n">
        <v>16000</v>
      </c>
      <c r="J732" s="73" t="n"/>
      <c r="K732" s="74" t="n"/>
      <c r="L732" s="74" t="n"/>
    </row>
    <row r="733" ht="29.1" customHeight="1">
      <c r="A733" s="74" t="inlineStr">
        <is>
          <t>NLR0001</t>
        </is>
      </c>
      <c r="B733" s="74" t="inlineStr">
        <is>
          <t>Bắp cải trắng</t>
        </is>
      </c>
      <c r="C733" s="74" t="n"/>
      <c r="D733" s="74" t="n"/>
      <c r="E733" s="74" t="n"/>
      <c r="F733" s="74" t="n"/>
      <c r="G733" s="74" t="inlineStr">
        <is>
          <t>kg</t>
        </is>
      </c>
      <c r="H733" s="76" t="n">
        <v>8500</v>
      </c>
      <c r="I733" s="73" t="n">
        <v>8500</v>
      </c>
      <c r="J733" s="73" t="n"/>
      <c r="K733" s="74" t="n"/>
      <c r="L733" s="74" t="n"/>
    </row>
    <row r="734" ht="29.1" customHeight="1">
      <c r="A734" s="74" t="inlineStr">
        <is>
          <t>NLR0009</t>
        </is>
      </c>
      <c r="B734" s="74" t="inlineStr">
        <is>
          <t>Bí ngô non</t>
        </is>
      </c>
      <c r="C734" s="74" t="n"/>
      <c r="D734" s="74" t="n"/>
      <c r="E734" s="74" t="n"/>
      <c r="F734" s="74" t="n"/>
      <c r="G734" s="74" t="inlineStr">
        <is>
          <t>kg</t>
        </is>
      </c>
      <c r="H734" s="76" t="n">
        <v>8500</v>
      </c>
      <c r="I734" s="73" t="n">
        <v>8500</v>
      </c>
      <c r="J734" s="73" t="n"/>
      <c r="K734" s="74" t="n"/>
      <c r="L734" s="74" t="n"/>
    </row>
    <row r="735" ht="29.1" customHeight="1">
      <c r="A735" s="74" t="inlineStr">
        <is>
          <t>NLR0018</t>
        </is>
      </c>
      <c r="B735" s="74" t="inlineStr">
        <is>
          <t>Cà rốt</t>
        </is>
      </c>
      <c r="C735" s="74" t="n"/>
      <c r="D735" s="74" t="n"/>
      <c r="E735" s="74" t="n"/>
      <c r="F735" s="74" t="n"/>
      <c r="G735" s="74" t="inlineStr">
        <is>
          <t>kg</t>
        </is>
      </c>
      <c r="H735" s="76" t="n">
        <v>8500</v>
      </c>
      <c r="I735" s="73" t="n">
        <v>8500</v>
      </c>
      <c r="J735" s="73" t="n"/>
      <c r="K735" s="74" t="n"/>
      <c r="L735" s="74" t="n"/>
    </row>
    <row r="736" ht="29.1" customHeight="1">
      <c r="A736" s="74" t="inlineStr">
        <is>
          <t>NLR0019</t>
        </is>
      </c>
      <c r="B736" s="74" t="inlineStr">
        <is>
          <t>Ngô ngọt tách hạt</t>
        </is>
      </c>
      <c r="C736" s="74" t="n"/>
      <c r="D736" s="74" t="n"/>
      <c r="E736" s="74" t="n"/>
      <c r="F736" s="74" t="n"/>
      <c r="G736" s="74" t="inlineStr">
        <is>
          <t>kg</t>
        </is>
      </c>
      <c r="H736" s="76" t="n">
        <v>38000</v>
      </c>
      <c r="I736" s="73" t="n">
        <v>38000</v>
      </c>
      <c r="J736" s="73" t="n"/>
      <c r="K736" s="74" t="n"/>
      <c r="L736" s="74" t="n"/>
    </row>
    <row r="737" ht="29.1" customHeight="1">
      <c r="A737" s="74" t="inlineStr">
        <is>
          <t>NLR0024</t>
        </is>
      </c>
      <c r="B737" s="74" t="inlineStr">
        <is>
          <t>Cà tím dài</t>
        </is>
      </c>
      <c r="C737" s="74" t="n"/>
      <c r="D737" s="74" t="n"/>
      <c r="E737" s="74" t="n"/>
      <c r="F737" s="74" t="n"/>
      <c r="G737" s="74" t="inlineStr">
        <is>
          <t>kg</t>
        </is>
      </c>
      <c r="H737" s="76" t="n">
        <v>8500</v>
      </c>
      <c r="I737" s="73" t="n">
        <v>8500</v>
      </c>
      <c r="J737" s="73" t="n"/>
      <c r="K737" s="74" t="n"/>
      <c r="L737" s="74" t="n"/>
    </row>
    <row r="738" ht="29.1" customHeight="1">
      <c r="A738" s="74" t="inlineStr">
        <is>
          <t>NLR0025</t>
        </is>
      </c>
      <c r="B738" s="74" t="inlineStr">
        <is>
          <t>Cải bẹ</t>
        </is>
      </c>
      <c r="C738" s="74" t="n"/>
      <c r="D738" s="74" t="n"/>
      <c r="E738" s="74" t="n"/>
      <c r="F738" s="74" t="n"/>
      <c r="G738" s="74" t="inlineStr">
        <is>
          <t>kg</t>
        </is>
      </c>
      <c r="H738" s="76" t="n">
        <v>8500</v>
      </c>
      <c r="I738" s="73" t="n">
        <v>8500</v>
      </c>
      <c r="J738" s="73" t="n"/>
      <c r="K738" s="74" t="n"/>
      <c r="L738" s="74" t="n"/>
    </row>
    <row r="739" ht="29.1" customHeight="1">
      <c r="A739" s="74" t="inlineStr">
        <is>
          <t>NLR0026</t>
        </is>
      </c>
      <c r="B739" s="74" t="inlineStr">
        <is>
          <t>Cải canh (kg)</t>
        </is>
      </c>
      <c r="C739" s="74" t="n"/>
      <c r="D739" s="74" t="n"/>
      <c r="E739" s="74" t="n"/>
      <c r="F739" s="74" t="n"/>
      <c r="G739" s="74" t="inlineStr">
        <is>
          <t>kg</t>
        </is>
      </c>
      <c r="H739" s="76" t="n">
        <v>12000</v>
      </c>
      <c r="I739" s="73" t="n">
        <v>12000</v>
      </c>
      <c r="J739" s="73" t="n"/>
      <c r="K739" s="74" t="n"/>
      <c r="L739" s="74" t="n"/>
    </row>
    <row r="740" ht="29.1" customHeight="1">
      <c r="A740" s="74" t="inlineStr">
        <is>
          <t>NLR0329</t>
        </is>
      </c>
      <c r="B740" s="74" t="inlineStr">
        <is>
          <t>Cải chíp VN</t>
        </is>
      </c>
      <c r="C740" s="74" t="n"/>
      <c r="D740" s="74" t="n"/>
      <c r="E740" s="74" t="n"/>
      <c r="F740" s="74" t="n"/>
      <c r="G740" s="74" t="inlineStr">
        <is>
          <t>kg</t>
        </is>
      </c>
      <c r="H740" s="76" t="n">
        <v>13000</v>
      </c>
      <c r="I740" s="73" t="n">
        <v>13000</v>
      </c>
      <c r="J740" s="73" t="n"/>
      <c r="K740" s="74" t="n"/>
      <c r="L740" s="74" t="n"/>
    </row>
    <row r="741" ht="29.1" customHeight="1">
      <c r="A741" s="74" t="inlineStr">
        <is>
          <t>NLR0029</t>
        </is>
      </c>
      <c r="B741" s="74" t="inlineStr">
        <is>
          <t>Cải chíp</t>
        </is>
      </c>
      <c r="C741" s="74" t="n"/>
      <c r="D741" s="74" t="n"/>
      <c r="E741" s="74" t="n"/>
      <c r="F741" s="74" t="n"/>
      <c r="G741" s="74" t="inlineStr">
        <is>
          <t>kg</t>
        </is>
      </c>
      <c r="H741" s="76" t="n">
        <v>13000</v>
      </c>
      <c r="I741" s="73" t="n">
        <v>13000</v>
      </c>
      <c r="J741" s="73" t="n"/>
      <c r="K741" s="74" t="n"/>
      <c r="L741" s="74" t="n"/>
    </row>
    <row r="742" ht="29.1" customHeight="1">
      <c r="A742" s="74" t="inlineStr">
        <is>
          <t>NLR0151</t>
        </is>
      </c>
      <c r="B742" s="74" t="inlineStr">
        <is>
          <t>Rau đay</t>
        </is>
      </c>
      <c r="C742" s="74" t="n"/>
      <c r="D742" s="74" t="n"/>
      <c r="E742" s="74" t="n"/>
      <c r="F742" s="74" t="n"/>
      <c r="G742" s="74" t="inlineStr">
        <is>
          <t>kg</t>
        </is>
      </c>
      <c r="H742" s="76" t="n">
        <v>8000</v>
      </c>
      <c r="I742" s="73" t="n">
        <v>8000</v>
      </c>
      <c r="J742" s="73" t="n"/>
      <c r="K742" s="74" t="n"/>
      <c r="L742" s="74" t="n"/>
    </row>
    <row r="743" ht="29.1" customHeight="1">
      <c r="A743" s="74" t="inlineStr">
        <is>
          <t>NLR0032</t>
        </is>
      </c>
      <c r="B743" s="74" t="inlineStr">
        <is>
          <t>Cải ngọt cắt gốc</t>
        </is>
      </c>
      <c r="C743" s="74" t="n"/>
      <c r="D743" s="74" t="n"/>
      <c r="E743" s="74" t="n"/>
      <c r="F743" s="74" t="n"/>
      <c r="G743" s="74" t="inlineStr">
        <is>
          <t>kg</t>
        </is>
      </c>
      <c r="H743" s="76" t="n">
        <v>12000</v>
      </c>
      <c r="I743" s="73" t="n">
        <v>12000</v>
      </c>
      <c r="J743" s="73" t="n"/>
      <c r="K743" s="74" t="n"/>
      <c r="L743" s="74" t="n"/>
    </row>
    <row r="744" ht="29.1" customHeight="1">
      <c r="A744" s="74" t="inlineStr">
        <is>
          <t>NLR0033</t>
        </is>
      </c>
      <c r="B744" s="74" t="inlineStr">
        <is>
          <t>Cải ngồng</t>
        </is>
      </c>
      <c r="C744" s="74" t="n"/>
      <c r="D744" s="74" t="n"/>
      <c r="E744" s="74" t="n"/>
      <c r="F744" s="74" t="n"/>
      <c r="G744" s="74" t="inlineStr">
        <is>
          <t>kg</t>
        </is>
      </c>
      <c r="H744" s="76" t="n">
        <v>12000</v>
      </c>
      <c r="I744" s="73" t="n">
        <v>12000</v>
      </c>
      <c r="J744" s="73" t="n"/>
      <c r="K744" s="74" t="n"/>
      <c r="L744" s="74" t="n"/>
    </row>
    <row r="745" ht="29.1" customHeight="1">
      <c r="A745" s="74" t="inlineStr">
        <is>
          <t>NLR0034</t>
        </is>
      </c>
      <c r="B745" s="74" t="inlineStr">
        <is>
          <t>Cải thảo</t>
        </is>
      </c>
      <c r="C745" s="74" t="n"/>
      <c r="D745" s="74" t="n"/>
      <c r="E745" s="74" t="n"/>
      <c r="F745" s="74" t="n"/>
      <c r="G745" s="74" t="inlineStr">
        <is>
          <t>kg</t>
        </is>
      </c>
      <c r="H745" s="76" t="n">
        <v>9500</v>
      </c>
      <c r="I745" s="73" t="n">
        <v>9500</v>
      </c>
      <c r="J745" s="73" t="n"/>
      <c r="K745" s="74" t="n"/>
      <c r="L745" s="74" t="n"/>
    </row>
    <row r="746" ht="29.1" customHeight="1">
      <c r="A746" s="74" t="inlineStr">
        <is>
          <t>NLR0038</t>
        </is>
      </c>
      <c r="B746" s="74" t="inlineStr">
        <is>
          <t>Giềng củ</t>
        </is>
      </c>
      <c r="C746" s="74" t="n"/>
      <c r="D746" s="74" t="n"/>
      <c r="E746" s="74" t="n"/>
      <c r="F746" s="74" t="n"/>
      <c r="G746" s="74" t="inlineStr">
        <is>
          <t>kg</t>
        </is>
      </c>
      <c r="H746" s="76" t="n">
        <v>11000</v>
      </c>
      <c r="I746" s="73" t="n">
        <v>11000</v>
      </c>
      <c r="J746" s="73" t="n"/>
      <c r="K746" s="74" t="n"/>
      <c r="L746" s="74" t="n"/>
    </row>
    <row r="747" ht="29.1" customHeight="1">
      <c r="A747" s="74" t="inlineStr">
        <is>
          <t>NLR0042</t>
        </is>
      </c>
      <c r="B747" s="74" t="inlineStr">
        <is>
          <t>Cần tây</t>
        </is>
      </c>
      <c r="C747" s="74" t="n"/>
      <c r="D747" s="74" t="n"/>
      <c r="E747" s="74" t="n"/>
      <c r="F747" s="74" t="n"/>
      <c r="G747" s="74" t="inlineStr">
        <is>
          <t>kg</t>
        </is>
      </c>
      <c r="H747" s="76" t="n">
        <v>40000</v>
      </c>
      <c r="I747" s="73" t="n">
        <v>40000</v>
      </c>
      <c r="J747" s="73" t="n"/>
      <c r="K747" s="74" t="n"/>
      <c r="L747" s="74" t="n"/>
    </row>
    <row r="748" ht="29.1" customHeight="1">
      <c r="A748" s="74" t="inlineStr">
        <is>
          <t>NLR0047</t>
        </is>
      </c>
      <c r="B748" s="74" t="inlineStr">
        <is>
          <t>Cùi dừa</t>
        </is>
      </c>
      <c r="C748" s="74" t="n"/>
      <c r="D748" s="74" t="n"/>
      <c r="E748" s="74" t="n"/>
      <c r="F748" s="74" t="n"/>
      <c r="G748" s="74" t="inlineStr">
        <is>
          <t>kg</t>
        </is>
      </c>
      <c r="H748" s="76" t="n">
        <v>63000</v>
      </c>
      <c r="I748" s="73" t="n">
        <v>63000</v>
      </c>
      <c r="J748" s="73" t="n"/>
      <c r="K748" s="74" t="n"/>
      <c r="L748" s="74" t="n"/>
    </row>
    <row r="749" ht="29.1" customHeight="1">
      <c r="A749" s="74" t="inlineStr">
        <is>
          <t>NLR0048</t>
        </is>
      </c>
      <c r="B749" s="74" t="inlineStr">
        <is>
          <t>Cùi dừa nạo sợi</t>
        </is>
      </c>
      <c r="C749" s="74" t="n"/>
      <c r="D749" s="74" t="n"/>
      <c r="E749" s="74" t="n"/>
      <c r="F749" s="74" t="n"/>
      <c r="G749" s="74" t="inlineStr">
        <is>
          <t>kg</t>
        </is>
      </c>
      <c r="H749" s="76" t="n">
        <v>65000</v>
      </c>
      <c r="I749" s="73" t="n">
        <v>65000</v>
      </c>
      <c r="J749" s="73" t="n"/>
      <c r="K749" s="74" t="n"/>
      <c r="L749" s="74" t="n"/>
    </row>
    <row r="750" ht="29.1" customHeight="1">
      <c r="A750" s="74" t="inlineStr">
        <is>
          <t>NLR0049</t>
        </is>
      </c>
      <c r="B750" s="74" t="inlineStr">
        <is>
          <t>Chanh quả</t>
        </is>
      </c>
      <c r="C750" s="74" t="n"/>
      <c r="D750" s="74" t="n"/>
      <c r="E750" s="74" t="n"/>
      <c r="F750" s="74" t="n"/>
      <c r="G750" s="74" t="inlineStr">
        <is>
          <t>kg</t>
        </is>
      </c>
      <c r="H750" s="76" t="n">
        <v>20000</v>
      </c>
      <c r="I750" s="73" t="n">
        <v>20000</v>
      </c>
      <c r="J750" s="73" t="n"/>
      <c r="K750" s="74" t="n"/>
      <c r="L750" s="74" t="n"/>
    </row>
    <row r="751" ht="29.1" customHeight="1">
      <c r="A751" s="74" t="inlineStr">
        <is>
          <t>NLR0051</t>
        </is>
      </c>
      <c r="B751" s="74" t="inlineStr">
        <is>
          <t>Chuối xanh</t>
        </is>
      </c>
      <c r="C751" s="74" t="n"/>
      <c r="D751" s="74" t="n"/>
      <c r="E751" s="74" t="n"/>
      <c r="F751" s="74" t="n"/>
      <c r="G751" s="74" t="inlineStr">
        <is>
          <t>kg</t>
        </is>
      </c>
      <c r="H751" s="76" t="n">
        <v>8000</v>
      </c>
      <c r="I751" s="73" t="n">
        <v>8000</v>
      </c>
      <c r="J751" s="73" t="n"/>
      <c r="K751" s="74" t="n"/>
      <c r="L751" s="74" t="n"/>
    </row>
    <row r="752" ht="29.1" customHeight="1">
      <c r="A752" s="74" t="inlineStr">
        <is>
          <t>NLR0053</t>
        </is>
      </c>
      <c r="B752" s="74" t="inlineStr">
        <is>
          <t>Dọc mồng</t>
        </is>
      </c>
      <c r="C752" s="74" t="n"/>
      <c r="D752" s="74" t="n"/>
      <c r="E752" s="74" t="n"/>
      <c r="F752" s="74" t="n"/>
      <c r="G752" s="74" t="inlineStr">
        <is>
          <t>kg</t>
        </is>
      </c>
      <c r="H752" s="76" t="n">
        <v>12000</v>
      </c>
      <c r="I752" s="73" t="n">
        <v>12000</v>
      </c>
      <c r="J752" s="73" t="n"/>
      <c r="K752" s="74" t="n"/>
      <c r="L752" s="74" t="n"/>
    </row>
    <row r="753" ht="29.1" customHeight="1">
      <c r="A753" s="74" t="inlineStr">
        <is>
          <t>NLR0058</t>
        </is>
      </c>
      <c r="B753" s="74" t="inlineStr">
        <is>
          <t>Dứa chín sơ chế (kg)</t>
        </is>
      </c>
      <c r="C753" s="74" t="n"/>
      <c r="D753" s="74" t="n"/>
      <c r="E753" s="74" t="n"/>
      <c r="F753" s="74" t="n"/>
      <c r="G753" s="74" t="inlineStr">
        <is>
          <t>kg</t>
        </is>
      </c>
      <c r="H753" s="76" t="n">
        <v>25000</v>
      </c>
      <c r="I753" s="73" t="n">
        <v>25000</v>
      </c>
      <c r="J753" s="73" t="n"/>
      <c r="K753" s="74" t="n"/>
      <c r="L753" s="74" t="n"/>
    </row>
    <row r="754" ht="29.1" customHeight="1">
      <c r="A754" s="74" t="inlineStr">
        <is>
          <t>NLR0060</t>
        </is>
      </c>
      <c r="B754" s="74" t="inlineStr">
        <is>
          <t>Dưa chuột</t>
        </is>
      </c>
      <c r="C754" s="74" t="n"/>
      <c r="D754" s="74" t="n"/>
      <c r="E754" s="74" t="n"/>
      <c r="F754" s="74" t="n"/>
      <c r="G754" s="74" t="inlineStr">
        <is>
          <t>kg</t>
        </is>
      </c>
      <c r="H754" s="76" t="n">
        <v>13000</v>
      </c>
      <c r="I754" s="73" t="n">
        <v>13000</v>
      </c>
      <c r="J754" s="73" t="n"/>
      <c r="K754" s="74" t="n"/>
      <c r="L754" s="74" t="n"/>
    </row>
    <row r="755" ht="29.1" customHeight="1">
      <c r="A755" s="74" t="inlineStr">
        <is>
          <t>NLR0065</t>
        </is>
      </c>
      <c r="B755" s="74" t="inlineStr">
        <is>
          <t>Dứa quả xanh (kg)</t>
        </is>
      </c>
      <c r="C755" s="74" t="n"/>
      <c r="D755" s="74" t="n"/>
      <c r="E755" s="74" t="n"/>
      <c r="F755" s="74" t="n"/>
      <c r="G755" s="74" t="inlineStr">
        <is>
          <t>kg</t>
        </is>
      </c>
      <c r="H755" s="76" t="n">
        <v>12000</v>
      </c>
      <c r="I755" s="73" t="n">
        <v>12000</v>
      </c>
      <c r="J755" s="73" t="n"/>
      <c r="K755" s="74" t="n"/>
      <c r="L755" s="74" t="n"/>
    </row>
    <row r="756" ht="29.1" customHeight="1">
      <c r="A756" s="74" t="inlineStr">
        <is>
          <t>NLR0066</t>
        </is>
      </c>
      <c r="B756" s="74" t="inlineStr">
        <is>
          <t>Dứa quả chín (kg)</t>
        </is>
      </c>
      <c r="C756" s="74" t="n"/>
      <c r="D756" s="74" t="n"/>
      <c r="E756" s="74" t="n"/>
      <c r="F756" s="74" t="n"/>
      <c r="G756" s="74" t="inlineStr">
        <is>
          <t>kg</t>
        </is>
      </c>
      <c r="H756" s="76" t="n">
        <v>12000</v>
      </c>
      <c r="I756" s="73" t="n">
        <v>12000</v>
      </c>
      <c r="J756" s="73" t="n"/>
      <c r="K756" s="74" t="n"/>
      <c r="L756" s="74" t="n"/>
    </row>
    <row r="757" ht="29.1" customHeight="1">
      <c r="A757" s="74" t="inlineStr">
        <is>
          <t>NLR0068</t>
        </is>
      </c>
      <c r="B757" s="74" t="inlineStr">
        <is>
          <t>Đậu cô ve</t>
        </is>
      </c>
      <c r="C757" s="74" t="n"/>
      <c r="D757" s="74" t="n"/>
      <c r="E757" s="74" t="n"/>
      <c r="F757" s="74" t="n"/>
      <c r="G757" s="74" t="inlineStr">
        <is>
          <t>kg</t>
        </is>
      </c>
      <c r="H757" s="76" t="n">
        <v>16000</v>
      </c>
      <c r="I757" s="73" t="n">
        <v>16000</v>
      </c>
      <c r="J757" s="73" t="n"/>
      <c r="K757" s="74" t="n"/>
      <c r="L757" s="74" t="n"/>
    </row>
    <row r="758" ht="29.1" customHeight="1">
      <c r="A758" s="74" t="inlineStr">
        <is>
          <t>NLR0071</t>
        </is>
      </c>
      <c r="B758" s="74" t="inlineStr">
        <is>
          <t>Đu đủ</t>
        </is>
      </c>
      <c r="C758" s="74" t="n"/>
      <c r="D758" s="74" t="n"/>
      <c r="E758" s="74" t="n"/>
      <c r="F758" s="74" t="n"/>
      <c r="G758" s="74" t="inlineStr">
        <is>
          <t>kg</t>
        </is>
      </c>
      <c r="H758" s="76" t="n">
        <v>9000</v>
      </c>
      <c r="I758" s="73" t="n">
        <v>9000</v>
      </c>
      <c r="J758" s="73" t="n"/>
      <c r="K758" s="74" t="n"/>
      <c r="L758" s="74" t="n"/>
    </row>
    <row r="759" ht="29.1" customHeight="1">
      <c r="A759" s="74" t="inlineStr">
        <is>
          <t>NLR0073</t>
        </is>
      </c>
      <c r="B759" s="74" t="inlineStr">
        <is>
          <t>Gừng củ</t>
        </is>
      </c>
      <c r="C759" s="74" t="n"/>
      <c r="D759" s="74" t="n"/>
      <c r="E759" s="74" t="n"/>
      <c r="F759" s="74" t="n"/>
      <c r="G759" s="74" t="inlineStr">
        <is>
          <t>kg</t>
        </is>
      </c>
      <c r="H759" s="76" t="n">
        <v>20000</v>
      </c>
      <c r="I759" s="73" t="n">
        <v>20000</v>
      </c>
      <c r="J759" s="73" t="n"/>
      <c r="K759" s="74" t="n"/>
      <c r="L759" s="74" t="n"/>
    </row>
    <row r="760" ht="29.1" customHeight="1">
      <c r="A760" s="74" t="inlineStr">
        <is>
          <t>NLR0076</t>
        </is>
      </c>
      <c r="B760" s="74" t="inlineStr">
        <is>
          <t>Giá đỗ</t>
        </is>
      </c>
      <c r="C760" s="74" t="n"/>
      <c r="D760" s="74" t="n"/>
      <c r="E760" s="74" t="n"/>
      <c r="F760" s="74" t="n"/>
      <c r="G760" s="74" t="inlineStr">
        <is>
          <t>kg</t>
        </is>
      </c>
      <c r="H760" s="76" t="n">
        <v>10000</v>
      </c>
      <c r="I760" s="73" t="n">
        <v>10000</v>
      </c>
      <c r="J760" s="73" t="n"/>
      <c r="K760" s="74" t="n"/>
      <c r="L760" s="74" t="n"/>
    </row>
    <row r="761" ht="29.1" customHeight="1">
      <c r="A761" s="74" t="inlineStr">
        <is>
          <t>NLR0077</t>
        </is>
      </c>
      <c r="B761" s="74" t="inlineStr">
        <is>
          <t>Giềng xay</t>
        </is>
      </c>
      <c r="C761" s="74" t="n"/>
      <c r="D761" s="74" t="n"/>
      <c r="E761" s="74" t="n"/>
      <c r="F761" s="74" t="n"/>
      <c r="G761" s="74" t="inlineStr">
        <is>
          <t>kg</t>
        </is>
      </c>
      <c r="H761" s="76" t="n">
        <v>15000</v>
      </c>
      <c r="I761" s="73" t="n">
        <v>15000</v>
      </c>
      <c r="J761" s="73" t="n"/>
      <c r="K761" s="74" t="n"/>
      <c r="L761" s="74" t="n"/>
    </row>
    <row r="762" ht="29.1" customHeight="1">
      <c r="A762" s="74" t="inlineStr">
        <is>
          <t>NLR0079</t>
        </is>
      </c>
      <c r="B762" s="74" t="inlineStr">
        <is>
          <t>Hành lá</t>
        </is>
      </c>
      <c r="C762" s="74" t="n"/>
      <c r="D762" s="74" t="n"/>
      <c r="E762" s="74" t="n"/>
      <c r="F762" s="74" t="n"/>
      <c r="G762" s="74" t="inlineStr">
        <is>
          <t>kg</t>
        </is>
      </c>
      <c r="H762" s="76" t="n">
        <v>18000</v>
      </c>
      <c r="I762" s="73" t="n">
        <v>18000</v>
      </c>
      <c r="J762" s="73" t="n"/>
      <c r="K762" s="74" t="n"/>
      <c r="L762" s="74" t="n"/>
    </row>
    <row r="763" ht="29.1" customHeight="1">
      <c r="A763" s="74" t="inlineStr">
        <is>
          <t>NLR0080</t>
        </is>
      </c>
      <c r="B763" s="74" t="inlineStr">
        <is>
          <t>Hành phi</t>
        </is>
      </c>
      <c r="C763" s="74" t="n"/>
      <c r="D763" s="74" t="n"/>
      <c r="E763" s="74" t="n"/>
      <c r="F763" s="74" t="n"/>
      <c r="G763" s="74" t="inlineStr">
        <is>
          <t>kg</t>
        </is>
      </c>
      <c r="H763" s="76" t="n">
        <v>75000</v>
      </c>
      <c r="I763" s="73" t="n">
        <v>75000</v>
      </c>
      <c r="J763" s="73" t="n"/>
      <c r="K763" s="74" t="n"/>
      <c r="L763" s="74" t="n"/>
    </row>
    <row r="764" ht="29.1" customHeight="1">
      <c r="A764" s="74" t="inlineStr">
        <is>
          <t>NLR0083</t>
        </is>
      </c>
      <c r="B764" s="74" t="inlineStr">
        <is>
          <t>Hành tây</t>
        </is>
      </c>
      <c r="C764" s="74" t="n"/>
      <c r="D764" s="74" t="n"/>
      <c r="E764" s="74" t="n"/>
      <c r="F764" s="74" t="n"/>
      <c r="G764" s="74" t="inlineStr">
        <is>
          <t>kg</t>
        </is>
      </c>
      <c r="H764" s="76" t="n">
        <v>10000</v>
      </c>
      <c r="I764" s="73" t="n">
        <v>10000</v>
      </c>
      <c r="J764" s="73" t="n"/>
      <c r="K764" s="74" t="n"/>
      <c r="L764" s="74" t="n"/>
    </row>
    <row r="765" ht="29.1" customHeight="1">
      <c r="A765" s="74" t="inlineStr">
        <is>
          <t>NLR0091</t>
        </is>
      </c>
      <c r="B765" s="74" t="inlineStr">
        <is>
          <t>Húng quế (rau)</t>
        </is>
      </c>
      <c r="C765" s="74" t="n"/>
      <c r="D765" s="74" t="n"/>
      <c r="E765" s="74" t="n"/>
      <c r="F765" s="74" t="n"/>
      <c r="G765" s="74" t="inlineStr">
        <is>
          <t>kg</t>
        </is>
      </c>
      <c r="H765" s="76" t="n">
        <v>20000</v>
      </c>
      <c r="I765" s="73" t="n">
        <v>20000</v>
      </c>
      <c r="J765" s="73" t="n"/>
      <c r="K765" s="74" t="n"/>
      <c r="L765" s="74" t="n"/>
    </row>
    <row r="766" ht="29.1" customHeight="1">
      <c r="A766" s="74" t="inlineStr">
        <is>
          <t>NLR0179</t>
        </is>
      </c>
      <c r="B766" s="74" t="inlineStr">
        <is>
          <t>Húng chó</t>
        </is>
      </c>
      <c r="C766" s="74" t="n"/>
      <c r="D766" s="74" t="n"/>
      <c r="E766" s="74" t="n"/>
      <c r="F766" s="74" t="n"/>
      <c r="G766" s="74" t="inlineStr">
        <is>
          <t>kg</t>
        </is>
      </c>
      <c r="H766" s="76" t="n">
        <v>25000</v>
      </c>
      <c r="I766" s="73" t="n">
        <v>25000</v>
      </c>
      <c r="J766" s="73" t="n"/>
      <c r="K766" s="74" t="n"/>
      <c r="L766" s="74" t="n"/>
    </row>
    <row r="767" ht="29.1" customHeight="1">
      <c r="A767" s="74" t="inlineStr">
        <is>
          <t>NLR0092</t>
        </is>
      </c>
      <c r="B767" s="74" t="inlineStr">
        <is>
          <t>Kinh giới (kg)</t>
        </is>
      </c>
      <c r="C767" s="74" t="n"/>
      <c r="D767" s="74" t="n"/>
      <c r="E767" s="74" t="n"/>
      <c r="F767" s="74" t="n"/>
      <c r="G767" s="74" t="inlineStr">
        <is>
          <t>kg</t>
        </is>
      </c>
      <c r="H767" s="76" t="n">
        <v>15000</v>
      </c>
      <c r="I767" s="73" t="n">
        <v>15000</v>
      </c>
      <c r="J767" s="73" t="n"/>
      <c r="K767" s="74" t="n"/>
      <c r="L767" s="74" t="n"/>
    </row>
    <row r="768" ht="29.1" customHeight="1">
      <c r="A768" s="74" t="inlineStr">
        <is>
          <t>NLR0100</t>
        </is>
      </c>
      <c r="B768" s="74" t="inlineStr">
        <is>
          <t>Khoai tây</t>
        </is>
      </c>
      <c r="C768" s="74" t="n"/>
      <c r="D768" s="74" t="n"/>
      <c r="E768" s="74" t="n"/>
      <c r="F768" s="74" t="n"/>
      <c r="G768" s="74" t="inlineStr">
        <is>
          <t>kg</t>
        </is>
      </c>
      <c r="H768" s="76" t="n">
        <v>11000</v>
      </c>
      <c r="I768" s="73" t="n">
        <v>11000</v>
      </c>
      <c r="J768" s="73" t="n"/>
      <c r="K768" s="74" t="n"/>
      <c r="L768" s="74" t="n"/>
    </row>
    <row r="769" ht="29.1" customHeight="1">
      <c r="A769" s="74" t="inlineStr">
        <is>
          <t>NLR0102</t>
        </is>
      </c>
      <c r="B769" s="74" t="inlineStr">
        <is>
          <t>Lá chanh (kg)</t>
        </is>
      </c>
      <c r="C769" s="74" t="n"/>
      <c r="D769" s="74" t="n"/>
      <c r="E769" s="74" t="n"/>
      <c r="F769" s="74" t="n"/>
      <c r="G769" s="74" t="inlineStr">
        <is>
          <t>kg</t>
        </is>
      </c>
      <c r="H769" s="76" t="n">
        <v>45000</v>
      </c>
      <c r="I769" s="73" t="n">
        <v>45000</v>
      </c>
      <c r="J769" s="73" t="n"/>
      <c r="K769" s="74" t="n"/>
      <c r="L769" s="74" t="n"/>
    </row>
    <row r="770" ht="29.1" customHeight="1">
      <c r="A770" s="74" t="inlineStr">
        <is>
          <t>NLR0103</t>
        </is>
      </c>
      <c r="B770" s="74" t="inlineStr">
        <is>
          <t>Lá hẹ</t>
        </is>
      </c>
      <c r="C770" s="74" t="n"/>
      <c r="D770" s="74" t="n"/>
      <c r="E770" s="74" t="n"/>
      <c r="F770" s="74" t="n"/>
      <c r="G770" s="74" t="inlineStr">
        <is>
          <t>kg</t>
        </is>
      </c>
      <c r="H770" s="76" t="n">
        <v>45000</v>
      </c>
      <c r="I770" s="73" t="n">
        <v>45000</v>
      </c>
      <c r="J770" s="73" t="n"/>
      <c r="K770" s="74" t="n"/>
      <c r="L770" s="74" t="n"/>
    </row>
    <row r="771" ht="29.1" customHeight="1">
      <c r="A771" s="74" t="inlineStr">
        <is>
          <t>NLR0105</t>
        </is>
      </c>
      <c r="B771" s="74" t="inlineStr">
        <is>
          <t>Lá mắc mật (kg)</t>
        </is>
      </c>
      <c r="C771" s="74" t="n"/>
      <c r="D771" s="74" t="n"/>
      <c r="E771" s="74" t="n"/>
      <c r="F771" s="74" t="n"/>
      <c r="G771" s="74" t="inlineStr">
        <is>
          <t>kg</t>
        </is>
      </c>
      <c r="H771" s="76" t="n">
        <v>25000</v>
      </c>
      <c r="I771" s="73" t="n">
        <v>25000</v>
      </c>
      <c r="J771" s="73" t="n"/>
      <c r="K771" s="74" t="n"/>
      <c r="L771" s="74" t="n"/>
    </row>
    <row r="772" ht="29.1" customHeight="1">
      <c r="A772" s="74" t="inlineStr">
        <is>
          <t>NLR0107</t>
        </is>
      </c>
      <c r="B772" s="74" t="inlineStr">
        <is>
          <t>Lá lốt (kg)</t>
        </is>
      </c>
      <c r="C772" s="74" t="n"/>
      <c r="D772" s="74" t="n"/>
      <c r="E772" s="74" t="n"/>
      <c r="F772" s="74" t="n"/>
      <c r="G772" s="74" t="inlineStr">
        <is>
          <t>kg</t>
        </is>
      </c>
      <c r="H772" s="76" t="n">
        <v>17000</v>
      </c>
      <c r="I772" s="73" t="n">
        <v>17000</v>
      </c>
      <c r="J772" s="73" t="n"/>
      <c r="K772" s="74" t="n"/>
      <c r="L772" s="74" t="n"/>
    </row>
    <row r="773" ht="29.1" customHeight="1">
      <c r="A773" s="74" t="inlineStr">
        <is>
          <t>NLR0109</t>
        </is>
      </c>
      <c r="B773" s="74" t="inlineStr">
        <is>
          <t>Măng củ</t>
        </is>
      </c>
      <c r="C773" s="74" t="n"/>
      <c r="D773" s="74" t="n"/>
      <c r="E773" s="74" t="n"/>
      <c r="F773" s="74" t="n"/>
      <c r="G773" s="74" t="inlineStr">
        <is>
          <t>kg</t>
        </is>
      </c>
      <c r="H773" s="76" t="n">
        <v>22000</v>
      </c>
      <c r="I773" s="73" t="n">
        <v>22000</v>
      </c>
      <c r="J773" s="73" t="n"/>
      <c r="K773" s="74" t="n"/>
      <c r="L773" s="74" t="n"/>
    </row>
    <row r="774" ht="29.1" customHeight="1">
      <c r="A774" s="74" t="inlineStr">
        <is>
          <t>NLR0116</t>
        </is>
      </c>
      <c r="B774" s="74" t="inlineStr">
        <is>
          <t>Mướp hương</t>
        </is>
      </c>
      <c r="C774" s="74" t="n"/>
      <c r="D774" s="74" t="n"/>
      <c r="E774" s="74" t="n"/>
      <c r="F774" s="74" t="n"/>
      <c r="G774" s="74" t="inlineStr">
        <is>
          <t>kg</t>
        </is>
      </c>
      <c r="H774" s="76" t="n">
        <v>9000</v>
      </c>
      <c r="I774" s="73" t="n">
        <v>9000</v>
      </c>
      <c r="J774" s="73" t="n"/>
      <c r="K774" s="74" t="n"/>
      <c r="L774" s="74" t="n"/>
    </row>
    <row r="775" ht="29.1" customHeight="1">
      <c r="A775" s="74" t="inlineStr">
        <is>
          <t>NLR0118</t>
        </is>
      </c>
      <c r="B775" s="74" t="inlineStr">
        <is>
          <t>Nấm hương</t>
        </is>
      </c>
      <c r="C775" s="74" t="n"/>
      <c r="D775" s="74" t="n"/>
      <c r="E775" s="74" t="n"/>
      <c r="F775" s="74" t="n"/>
      <c r="G775" s="74" t="inlineStr">
        <is>
          <t>kg</t>
        </is>
      </c>
      <c r="H775" s="76" t="n">
        <v>250000</v>
      </c>
      <c r="I775" s="73" t="n">
        <v>250000</v>
      </c>
      <c r="J775" s="73" t="n"/>
      <c r="K775" s="74" t="n"/>
      <c r="L775" s="74" t="n"/>
    </row>
    <row r="776" ht="29.1" customHeight="1">
      <c r="A776" s="74" t="inlineStr">
        <is>
          <t>NLR0120</t>
        </is>
      </c>
      <c r="B776" s="74" t="inlineStr">
        <is>
          <t>Nấm kim kg</t>
        </is>
      </c>
      <c r="C776" s="74" t="n"/>
      <c r="D776" s="74" t="n"/>
      <c r="E776" s="74" t="n"/>
      <c r="F776" s="74" t="n"/>
      <c r="G776" s="74" t="inlineStr">
        <is>
          <t>kg</t>
        </is>
      </c>
      <c r="H776" s="76" t="n">
        <v>7500</v>
      </c>
      <c r="I776" s="73" t="n">
        <v>7500</v>
      </c>
      <c r="J776" s="73" t="n"/>
      <c r="K776" s="74" t="n"/>
      <c r="L776" s="74" t="n"/>
    </row>
    <row r="777" ht="29.1" customHeight="1">
      <c r="A777" s="74" t="inlineStr">
        <is>
          <t>NLR0126</t>
        </is>
      </c>
      <c r="B777" s="74" t="inlineStr">
        <is>
          <t>Ngải cứu (kg)</t>
        </is>
      </c>
      <c r="C777" s="74" t="n"/>
      <c r="D777" s="74" t="n"/>
      <c r="E777" s="74" t="n"/>
      <c r="F777" s="74" t="n"/>
      <c r="G777" s="74" t="inlineStr">
        <is>
          <t>kg</t>
        </is>
      </c>
      <c r="H777" s="76" t="n">
        <v>13000</v>
      </c>
      <c r="I777" s="73" t="n">
        <v>13000</v>
      </c>
      <c r="J777" s="73" t="n"/>
      <c r="K777" s="74" t="n"/>
      <c r="L777" s="74" t="n"/>
    </row>
    <row r="778" ht="29.1" customHeight="1">
      <c r="A778" s="74" t="inlineStr">
        <is>
          <t>NLR0137</t>
        </is>
      </c>
      <c r="B778" s="74" t="inlineStr">
        <is>
          <t>Ớt cay</t>
        </is>
      </c>
      <c r="C778" s="74" t="n"/>
      <c r="D778" s="74" t="n"/>
      <c r="E778" s="74" t="n"/>
      <c r="F778" s="74" t="n"/>
      <c r="G778" s="74" t="inlineStr">
        <is>
          <t>kg</t>
        </is>
      </c>
      <c r="H778" s="76" t="n">
        <v>18000</v>
      </c>
      <c r="I778" s="73" t="n">
        <v>18000</v>
      </c>
      <c r="J778" s="73" t="n"/>
      <c r="K778" s="74" t="n"/>
      <c r="L778" s="74" t="n"/>
    </row>
    <row r="779" ht="29.1" customHeight="1">
      <c r="A779" s="74" t="inlineStr">
        <is>
          <t>NLR0139</t>
        </is>
      </c>
      <c r="B779" s="74" t="inlineStr">
        <is>
          <t>ớt sừng xanh</t>
        </is>
      </c>
      <c r="C779" s="74" t="n"/>
      <c r="D779" s="74" t="n"/>
      <c r="E779" s="74" t="n"/>
      <c r="F779" s="74" t="n"/>
      <c r="G779" s="74" t="inlineStr">
        <is>
          <t>kg</t>
        </is>
      </c>
      <c r="H779" s="76" t="n">
        <v>30000</v>
      </c>
      <c r="I779" s="73" t="n">
        <v>30000</v>
      </c>
      <c r="J779" s="73" t="n"/>
      <c r="K779" s="74" t="n"/>
      <c r="L779" s="74" t="n"/>
    </row>
    <row r="780" ht="29.1" customHeight="1">
      <c r="A780" s="74" t="inlineStr">
        <is>
          <t>NLR0152</t>
        </is>
      </c>
      <c r="B780" s="74" t="inlineStr">
        <is>
          <t>Rau mồng tơi</t>
        </is>
      </c>
      <c r="C780" s="74" t="n"/>
      <c r="D780" s="74" t="n"/>
      <c r="E780" s="74" t="n"/>
      <c r="F780" s="74" t="n"/>
      <c r="G780" s="74" t="inlineStr">
        <is>
          <t>kg</t>
        </is>
      </c>
      <c r="H780" s="76" t="n">
        <v>9000</v>
      </c>
      <c r="I780" s="73" t="n">
        <v>9000</v>
      </c>
      <c r="J780" s="73" t="n"/>
      <c r="K780" s="74" t="n"/>
      <c r="L780" s="74" t="n"/>
    </row>
    <row r="781" ht="29.1" customHeight="1">
      <c r="A781" s="74" t="inlineStr">
        <is>
          <t>NLR0153</t>
        </is>
      </c>
      <c r="B781" s="74" t="inlineStr">
        <is>
          <t>Rau mùi ta</t>
        </is>
      </c>
      <c r="C781" s="74" t="n"/>
      <c r="D781" s="74" t="n"/>
      <c r="E781" s="74" t="n"/>
      <c r="F781" s="74" t="n"/>
      <c r="G781" s="74" t="inlineStr">
        <is>
          <t>kg</t>
        </is>
      </c>
      <c r="H781" s="76" t="n">
        <v>30000</v>
      </c>
      <c r="I781" s="73" t="n">
        <v>30000</v>
      </c>
      <c r="J781" s="73" t="n"/>
      <c r="K781" s="74" t="n"/>
      <c r="L781" s="74" t="n"/>
    </row>
    <row r="782" ht="29.1" customHeight="1">
      <c r="A782" s="74" t="inlineStr">
        <is>
          <t>NLR0154</t>
        </is>
      </c>
      <c r="B782" s="74" t="inlineStr">
        <is>
          <t>Rau mùi tàu</t>
        </is>
      </c>
      <c r="C782" s="74" t="n"/>
      <c r="D782" s="74" t="n"/>
      <c r="E782" s="74" t="n"/>
      <c r="F782" s="74" t="n"/>
      <c r="G782" s="74" t="inlineStr">
        <is>
          <t>kg</t>
        </is>
      </c>
      <c r="H782" s="76" t="n">
        <v>25000</v>
      </c>
      <c r="I782" s="73" t="n">
        <v>25000</v>
      </c>
      <c r="J782" s="73" t="n"/>
      <c r="K782" s="74" t="n"/>
      <c r="L782" s="74" t="n"/>
    </row>
    <row r="783" ht="29.1" customHeight="1">
      <c r="A783" s="74" t="inlineStr">
        <is>
          <t>NLR0156</t>
        </is>
      </c>
      <c r="B783" s="74" t="inlineStr">
        <is>
          <t>Rau muống cắt gốc</t>
        </is>
      </c>
      <c r="C783" s="74" t="n"/>
      <c r="D783" s="74" t="n"/>
      <c r="E783" s="74" t="n"/>
      <c r="F783" s="74" t="n"/>
      <c r="G783" s="74" t="inlineStr">
        <is>
          <t>kg</t>
        </is>
      </c>
      <c r="H783" s="76" t="n">
        <v>8000</v>
      </c>
      <c r="I783" s="73" t="n">
        <v>8000</v>
      </c>
      <c r="J783" s="73" t="n"/>
      <c r="K783" s="74" t="n"/>
      <c r="L783" s="74" t="n"/>
    </row>
    <row r="784" ht="29.1" customHeight="1">
      <c r="A784" s="74" t="inlineStr">
        <is>
          <t>NLR0159</t>
        </is>
      </c>
      <c r="B784" s="74" t="inlineStr">
        <is>
          <t>Rau ngổ</t>
        </is>
      </c>
      <c r="C784" s="74" t="n"/>
      <c r="D784" s="74" t="n"/>
      <c r="E784" s="74" t="n"/>
      <c r="F784" s="74" t="n"/>
      <c r="G784" s="74" t="inlineStr">
        <is>
          <t>kg</t>
        </is>
      </c>
      <c r="H784" s="76" t="n">
        <v>15000</v>
      </c>
      <c r="I784" s="73" t="n">
        <v>15000</v>
      </c>
      <c r="J784" s="73" t="n"/>
      <c r="K784" s="74" t="n"/>
      <c r="L784" s="74" t="n"/>
    </row>
    <row r="785" ht="29.1" customHeight="1">
      <c r="A785" s="74" t="inlineStr">
        <is>
          <t>NLR0160</t>
        </is>
      </c>
      <c r="B785" s="74" t="inlineStr">
        <is>
          <t>Rau răm</t>
        </is>
      </c>
      <c r="C785" s="74" t="n"/>
      <c r="D785" s="74" t="n"/>
      <c r="E785" s="74" t="n"/>
      <c r="F785" s="74" t="n"/>
      <c r="G785" s="74" t="inlineStr">
        <is>
          <t>kg</t>
        </is>
      </c>
      <c r="H785" s="76" t="n">
        <v>18000</v>
      </c>
      <c r="I785" s="73" t="n">
        <v>18000</v>
      </c>
      <c r="J785" s="73" t="n"/>
      <c r="K785" s="74" t="n"/>
      <c r="L785" s="74" t="n"/>
    </row>
    <row r="786" ht="29.1" customHeight="1">
      <c r="A786" s="74" t="inlineStr">
        <is>
          <t>NLR0162</t>
        </is>
      </c>
      <c r="B786" s="74" t="inlineStr">
        <is>
          <t>Rau xà lách</t>
        </is>
      </c>
      <c r="C786" s="74" t="n"/>
      <c r="D786" s="74" t="n"/>
      <c r="E786" s="74" t="n"/>
      <c r="F786" s="74" t="n"/>
      <c r="G786" s="74" t="inlineStr">
        <is>
          <t>kg</t>
        </is>
      </c>
      <c r="H786" s="76" t="n">
        <v>16000</v>
      </c>
      <c r="I786" s="73" t="n">
        <v>16000</v>
      </c>
      <c r="J786" s="73" t="n"/>
      <c r="K786" s="74" t="n"/>
      <c r="L786" s="74" t="n"/>
    </row>
    <row r="787" ht="29.1" customHeight="1">
      <c r="A787" s="74" t="inlineStr">
        <is>
          <t>NLR0165</t>
        </is>
      </c>
      <c r="B787" s="74" t="inlineStr">
        <is>
          <t>Su su</t>
        </is>
      </c>
      <c r="C787" s="74" t="n"/>
      <c r="D787" s="74" t="n"/>
      <c r="E787" s="74" t="n"/>
      <c r="F787" s="74" t="n"/>
      <c r="G787" s="74" t="inlineStr">
        <is>
          <t>kg</t>
        </is>
      </c>
      <c r="H787" s="76" t="n">
        <v>8500</v>
      </c>
      <c r="I787" s="73" t="n">
        <v>8500</v>
      </c>
      <c r="J787" s="73" t="n"/>
      <c r="K787" s="74" t="n"/>
      <c r="L787" s="74" t="n"/>
    </row>
    <row r="788" ht="29.1" customHeight="1">
      <c r="A788" s="74" t="inlineStr">
        <is>
          <t>NLR0167</t>
        </is>
      </c>
      <c r="B788" s="74" t="inlineStr">
        <is>
          <t>Súp lơ trắng</t>
        </is>
      </c>
      <c r="C788" s="74" t="n"/>
      <c r="D788" s="74" t="n"/>
      <c r="E788" s="74" t="n"/>
      <c r="F788" s="74" t="n"/>
      <c r="G788" s="74" t="inlineStr">
        <is>
          <t>kg</t>
        </is>
      </c>
      <c r="H788" s="76" t="n">
        <v>30000</v>
      </c>
      <c r="I788" s="73" t="n">
        <v>30000</v>
      </c>
      <c r="J788" s="73" t="n"/>
      <c r="K788" s="74" t="n"/>
      <c r="L788" s="74" t="n"/>
    </row>
    <row r="789" ht="29.1" customHeight="1">
      <c r="A789" s="74" t="inlineStr">
        <is>
          <t>NLR0168</t>
        </is>
      </c>
      <c r="B789" s="74" t="inlineStr">
        <is>
          <t>Súp lơ xanh</t>
        </is>
      </c>
      <c r="C789" s="74" t="n"/>
      <c r="D789" s="74" t="n"/>
      <c r="E789" s="74" t="n"/>
      <c r="F789" s="74" t="n"/>
      <c r="G789" s="74" t="inlineStr">
        <is>
          <t>kg</t>
        </is>
      </c>
      <c r="H789" s="76" t="n">
        <v>33000</v>
      </c>
      <c r="I789" s="73" t="n">
        <v>33000</v>
      </c>
      <c r="J789" s="73" t="n"/>
      <c r="K789" s="74" t="n"/>
      <c r="L789" s="74" t="n"/>
    </row>
    <row r="790" ht="29.1" customHeight="1">
      <c r="A790" s="74" t="inlineStr">
        <is>
          <t>NLR0170</t>
        </is>
      </c>
      <c r="B790" s="74" t="inlineStr">
        <is>
          <t>Tía tô</t>
        </is>
      </c>
      <c r="C790" s="74" t="n"/>
      <c r="D790" s="74" t="n"/>
      <c r="E790" s="74" t="n"/>
      <c r="F790" s="74" t="n"/>
      <c r="G790" s="74" t="inlineStr">
        <is>
          <t>kg</t>
        </is>
      </c>
      <c r="H790" s="76" t="n">
        <v>15000</v>
      </c>
      <c r="I790" s="73" t="n">
        <v>15000</v>
      </c>
      <c r="J790" s="73" t="n"/>
      <c r="K790" s="74" t="n"/>
      <c r="L790" s="74" t="n"/>
    </row>
    <row r="791" ht="29.1" customHeight="1">
      <c r="A791" s="74" t="inlineStr">
        <is>
          <t>NLR0171</t>
        </is>
      </c>
      <c r="B791" s="74" t="inlineStr">
        <is>
          <t>Tỏi khô bóc</t>
        </is>
      </c>
      <c r="C791" s="74" t="n"/>
      <c r="D791" s="74" t="n"/>
      <c r="E791" s="74" t="n"/>
      <c r="F791" s="74" t="n"/>
      <c r="G791" s="74" t="inlineStr">
        <is>
          <t>kg</t>
        </is>
      </c>
      <c r="H791" s="76" t="n">
        <v>35000</v>
      </c>
      <c r="I791" s="73" t="n">
        <v>35000</v>
      </c>
      <c r="J791" s="73" t="n"/>
      <c r="K791" s="74" t="n"/>
      <c r="L791" s="74" t="n"/>
    </row>
    <row r="792" ht="29.1" customHeight="1">
      <c r="A792" s="74" t="inlineStr">
        <is>
          <t>NLR0172</t>
        </is>
      </c>
      <c r="B792" s="74" t="inlineStr">
        <is>
          <t>Tỏi khô</t>
        </is>
      </c>
      <c r="C792" s="74" t="n"/>
      <c r="D792" s="74" t="n"/>
      <c r="E792" s="74" t="n"/>
      <c r="F792" s="74" t="n"/>
      <c r="G792" s="74" t="inlineStr">
        <is>
          <t>kg</t>
        </is>
      </c>
      <c r="H792" s="76" t="n">
        <v>30000</v>
      </c>
      <c r="I792" s="73" t="n">
        <v>30000</v>
      </c>
      <c r="J792" s="73" t="n"/>
      <c r="K792" s="74" t="n"/>
      <c r="L792" s="74" t="n"/>
    </row>
    <row r="793" ht="29.1" customHeight="1">
      <c r="A793" s="74" t="inlineStr">
        <is>
          <t>NLR0173</t>
        </is>
      </c>
      <c r="B793" s="74" t="inlineStr">
        <is>
          <t>Tỏi tây</t>
        </is>
      </c>
      <c r="C793" s="74" t="n"/>
      <c r="D793" s="74" t="n"/>
      <c r="E793" s="74" t="n"/>
      <c r="F793" s="74" t="n"/>
      <c r="G793" s="74" t="inlineStr">
        <is>
          <t>kg</t>
        </is>
      </c>
      <c r="H793" s="76" t="n">
        <v>40000</v>
      </c>
      <c r="I793" s="73" t="n">
        <v>40000</v>
      </c>
      <c r="J793" s="73" t="n"/>
      <c r="K793" s="74" t="n"/>
      <c r="L793" s="74" t="n"/>
    </row>
    <row r="794" ht="29.1" customHeight="1">
      <c r="A794" s="74" t="inlineStr">
        <is>
          <t>NLR0174</t>
        </is>
      </c>
      <c r="B794" s="74" t="inlineStr">
        <is>
          <t>Thì là</t>
        </is>
      </c>
      <c r="C794" s="74" t="n"/>
      <c r="D794" s="74" t="n"/>
      <c r="E794" s="74" t="n"/>
      <c r="F794" s="74" t="n"/>
      <c r="G794" s="74" t="inlineStr">
        <is>
          <t>kg</t>
        </is>
      </c>
      <c r="H794" s="76" t="n">
        <v>40000</v>
      </c>
      <c r="I794" s="73" t="n">
        <v>40000</v>
      </c>
      <c r="J794" s="73" t="n"/>
      <c r="K794" s="74" t="n"/>
      <c r="L794" s="74" t="n"/>
    </row>
    <row r="795" ht="29.1" customHeight="1">
      <c r="A795" s="74" t="inlineStr">
        <is>
          <t>NLR0175</t>
        </is>
      </c>
      <c r="B795" s="74" t="inlineStr">
        <is>
          <t>Sả củ</t>
        </is>
      </c>
      <c r="C795" s="74" t="n"/>
      <c r="D795" s="74" t="n"/>
      <c r="E795" s="74" t="n"/>
      <c r="F795" s="74" t="n"/>
      <c r="G795" s="74" t="inlineStr">
        <is>
          <t>kg</t>
        </is>
      </c>
      <c r="H795" s="76" t="n">
        <v>14000</v>
      </c>
      <c r="I795" s="73" t="n">
        <v>14000</v>
      </c>
      <c r="J795" s="73" t="n"/>
      <c r="K795" s="74" t="n"/>
      <c r="L795" s="74" t="n"/>
    </row>
    <row r="796" ht="29.1" customHeight="1">
      <c r="A796" s="74" t="inlineStr">
        <is>
          <t>NLR0177</t>
        </is>
      </c>
      <c r="B796" s="74" t="inlineStr">
        <is>
          <t>Nấm đùi gà</t>
        </is>
      </c>
      <c r="C796" s="74" t="n"/>
      <c r="D796" s="74" t="n"/>
      <c r="E796" s="74" t="n"/>
      <c r="F796" s="74" t="n"/>
      <c r="G796" s="74" t="inlineStr">
        <is>
          <t>kg</t>
        </is>
      </c>
      <c r="H796" s="76" t="n">
        <v>37000</v>
      </c>
      <c r="I796" s="73" t="n">
        <v>37000</v>
      </c>
      <c r="J796" s="73" t="n"/>
      <c r="K796" s="74" t="n"/>
      <c r="L796" s="74" t="n"/>
    </row>
    <row r="797" ht="29.1" customHeight="1">
      <c r="A797" s="74" t="inlineStr">
        <is>
          <t>NLR0216</t>
        </is>
      </c>
      <c r="B797" s="74" t="inlineStr">
        <is>
          <t>Măng lá sơ chế</t>
        </is>
      </c>
      <c r="C797" s="74" t="n"/>
      <c r="D797" s="74" t="n"/>
      <c r="E797" s="74" t="n"/>
      <c r="F797" s="74" t="n"/>
      <c r="G797" s="74" t="inlineStr">
        <is>
          <t>kg</t>
        </is>
      </c>
      <c r="H797" s="76" t="n">
        <v>25000</v>
      </c>
      <c r="I797" s="73" t="n">
        <v>25000</v>
      </c>
      <c r="J797" s="73" t="n"/>
      <c r="K797" s="74" t="n"/>
      <c r="L797" s="74" t="n"/>
    </row>
    <row r="798" ht="29.1" customHeight="1">
      <c r="A798" s="74" t="inlineStr">
        <is>
          <t>NLR0227</t>
        </is>
      </c>
      <c r="B798" s="74" t="inlineStr">
        <is>
          <t>ớt sừng đỏ</t>
        </is>
      </c>
      <c r="C798" s="74" t="n"/>
      <c r="D798" s="74" t="n"/>
      <c r="E798" s="74" t="n"/>
      <c r="F798" s="74" t="n"/>
      <c r="G798" s="74" t="inlineStr">
        <is>
          <t>kg</t>
        </is>
      </c>
      <c r="H798" s="76" t="n">
        <v>30000</v>
      </c>
      <c r="I798" s="73" t="n">
        <v>30000</v>
      </c>
      <c r="J798" s="73" t="n"/>
      <c r="K798" s="74" t="n"/>
      <c r="L798" s="74" t="n"/>
    </row>
    <row r="799" ht="29.1" customHeight="1">
      <c r="A799" s="74" t="inlineStr">
        <is>
          <t>NLR0238</t>
        </is>
      </c>
      <c r="B799" s="74" t="inlineStr">
        <is>
          <t>Củ cải trắng</t>
        </is>
      </c>
      <c r="C799" s="74" t="n"/>
      <c r="D799" s="74" t="n"/>
      <c r="E799" s="74" t="n"/>
      <c r="F799" s="74" t="n"/>
      <c r="G799" s="74" t="inlineStr">
        <is>
          <t>kg</t>
        </is>
      </c>
      <c r="H799" s="76" t="n">
        <v>9000</v>
      </c>
      <c r="I799" s="73" t="n">
        <v>9000</v>
      </c>
      <c r="J799" s="73" t="n"/>
      <c r="K799" s="74" t="n"/>
      <c r="L799" s="74" t="n"/>
    </row>
    <row r="800" ht="29.1" customHeight="1">
      <c r="A800" s="74" t="inlineStr">
        <is>
          <t>NLR0266</t>
        </is>
      </c>
      <c r="B800" s="74" t="inlineStr">
        <is>
          <t>Bí xanh dài</t>
        </is>
      </c>
      <c r="C800" s="74" t="n"/>
      <c r="D800" s="74" t="n"/>
      <c r="E800" s="74" t="n"/>
      <c r="F800" s="74" t="n"/>
      <c r="G800" s="74" t="inlineStr">
        <is>
          <t>kg</t>
        </is>
      </c>
      <c r="H800" s="76" t="n">
        <v>8000</v>
      </c>
      <c r="I800" s="73" t="n">
        <v>8000</v>
      </c>
      <c r="J800" s="73" t="n"/>
      <c r="K800" s="74" t="n"/>
      <c r="L800" s="74" t="n"/>
    </row>
    <row r="801" ht="43.5" customHeight="1">
      <c r="A801" s="74" t="inlineStr">
        <is>
          <t>NLR0268</t>
        </is>
      </c>
      <c r="B801" s="74" t="inlineStr">
        <is>
          <t>Cà chua to</t>
        </is>
      </c>
      <c r="C801" s="74" t="n"/>
      <c r="D801" s="74" t="n"/>
      <c r="E801" s="74" t="n"/>
      <c r="F801" s="74" t="n"/>
      <c r="G801" s="74" t="inlineStr">
        <is>
          <t>kg</t>
        </is>
      </c>
      <c r="H801" s="76" t="n">
        <v>14000</v>
      </c>
      <c r="I801" s="73" t="n">
        <v>14000</v>
      </c>
      <c r="J801" s="73" t="n"/>
      <c r="K801" s="74" t="n"/>
      <c r="L801" s="74" t="n"/>
    </row>
    <row r="802" ht="43.5" customHeight="1">
      <c r="A802" s="74" t="inlineStr">
        <is>
          <t>NLR0271</t>
        </is>
      </c>
      <c r="B802" s="74" t="inlineStr">
        <is>
          <t>Củ đậu 3-5 củ/kg</t>
        </is>
      </c>
      <c r="C802" s="74" t="n"/>
      <c r="D802" s="74" t="n"/>
      <c r="E802" s="74" t="n"/>
      <c r="F802" s="74" t="n"/>
      <c r="G802" s="74" t="inlineStr">
        <is>
          <t>kg</t>
        </is>
      </c>
      <c r="H802" s="76" t="n">
        <v>10000</v>
      </c>
      <c r="I802" s="73" t="n">
        <v>10000</v>
      </c>
      <c r="J802" s="73" t="n"/>
      <c r="K802" s="74" t="n"/>
      <c r="L802" s="74" t="n"/>
    </row>
    <row r="803" ht="29.1" customHeight="1">
      <c r="A803" s="74" t="inlineStr">
        <is>
          <t>NLR0272</t>
        </is>
      </c>
      <c r="B803" s="74" t="inlineStr">
        <is>
          <t>Dưa cải bẹ muối</t>
        </is>
      </c>
      <c r="C803" s="74" t="n"/>
      <c r="D803" s="74" t="n"/>
      <c r="E803" s="74" t="n"/>
      <c r="F803" s="74" t="n"/>
      <c r="G803" s="74" t="inlineStr">
        <is>
          <t>kg</t>
        </is>
      </c>
      <c r="H803" s="76" t="n">
        <v>17000</v>
      </c>
      <c r="I803" s="73" t="n">
        <v>17000</v>
      </c>
      <c r="J803" s="73" t="n"/>
      <c r="K803" s="74" t="n"/>
      <c r="L803" s="74" t="n"/>
    </row>
    <row r="804" ht="29.1" customHeight="1">
      <c r="A804" s="74" t="inlineStr">
        <is>
          <t>NLR0311</t>
        </is>
      </c>
      <c r="B804" s="74" t="inlineStr">
        <is>
          <t>Ớt chuông đỏ</t>
        </is>
      </c>
      <c r="C804" s="74" t="n"/>
      <c r="D804" s="74" t="n"/>
      <c r="E804" s="74" t="n"/>
      <c r="F804" s="74" t="n"/>
      <c r="G804" s="74" t="inlineStr">
        <is>
          <t>kg</t>
        </is>
      </c>
      <c r="H804" s="76" t="n">
        <v>35000</v>
      </c>
      <c r="I804" s="73" t="n">
        <v>35000</v>
      </c>
      <c r="J804" s="73" t="n"/>
      <c r="K804" s="74" t="n"/>
      <c r="L804" s="74" t="n"/>
    </row>
    <row r="805" ht="29.1" customHeight="1">
      <c r="A805" s="74" t="inlineStr">
        <is>
          <t>NLS0045</t>
        </is>
      </c>
      <c r="B805" s="74" t="inlineStr">
        <is>
          <t>Cua xay đông lạnh 1kg/gói, 20 gói/thùng</t>
        </is>
      </c>
      <c r="C805" s="74" t="n"/>
      <c r="D805" s="74" t="n"/>
      <c r="E805" s="74" t="n"/>
      <c r="F805" s="74" t="n"/>
      <c r="G805" s="74" t="inlineStr">
        <is>
          <t>kg</t>
        </is>
      </c>
      <c r="H805" s="76" t="n">
        <v>65000</v>
      </c>
      <c r="I805" s="73" t="n">
        <v>65000</v>
      </c>
      <c r="J805" s="73" t="n"/>
      <c r="K805" s="74" t="n"/>
      <c r="L805" s="74" t="n"/>
    </row>
    <row r="806" ht="29.1" customHeight="1">
      <c r="A806" s="74" t="inlineStr">
        <is>
          <t>NLT0575</t>
        </is>
      </c>
      <c r="B806" s="74" t="inlineStr">
        <is>
          <t>Chả cá dẹt Hải phòng 90-100 miếng/kg</t>
        </is>
      </c>
      <c r="C806" s="74" t="n"/>
      <c r="D806" s="74" t="n"/>
      <c r="E806" s="74" t="n"/>
      <c r="F806" s="74" t="n"/>
      <c r="G806" s="74" t="inlineStr">
        <is>
          <t>kg</t>
        </is>
      </c>
      <c r="H806" s="76" t="n">
        <v>62000</v>
      </c>
      <c r="I806" s="73" t="n">
        <v>62000</v>
      </c>
      <c r="J806" s="73" t="n"/>
      <c r="K806" s="74" t="n"/>
      <c r="L806" s="74" t="n"/>
    </row>
    <row r="807" ht="29.1" customHeight="1">
      <c r="A807" s="74" t="inlineStr">
        <is>
          <t>NLS0410</t>
        </is>
      </c>
      <c r="B807" s="74" t="inlineStr">
        <is>
          <t>Chả cá thì là</t>
        </is>
      </c>
      <c r="C807" s="74" t="n"/>
      <c r="D807" s="74" t="n"/>
      <c r="E807" s="74" t="n"/>
      <c r="F807" s="74" t="n"/>
      <c r="G807" s="74" t="inlineStr">
        <is>
          <t>kg</t>
        </is>
      </c>
      <c r="H807" s="76" t="n">
        <v>70000</v>
      </c>
      <c r="I807" s="73" t="n">
        <v>70000</v>
      </c>
      <c r="J807" s="73" t="n"/>
      <c r="K807" s="74" t="n"/>
      <c r="L807" s="74" t="n"/>
    </row>
    <row r="808" ht="29.1" customHeight="1">
      <c r="A808" s="74" t="inlineStr">
        <is>
          <t>NLS0058</t>
        </is>
      </c>
      <c r="B808" s="74" t="inlineStr">
        <is>
          <t>Ngao</t>
        </is>
      </c>
      <c r="C808" s="74" t="n"/>
      <c r="D808" s="74" t="n"/>
      <c r="E808" s="74" t="n"/>
      <c r="F808" s="74" t="n"/>
      <c r="G808" s="74" t="inlineStr">
        <is>
          <t>kg</t>
        </is>
      </c>
      <c r="H808" s="76" t="n">
        <v>25000</v>
      </c>
      <c r="I808" s="73" t="n">
        <v>25000</v>
      </c>
      <c r="J808" s="73" t="n"/>
      <c r="K808" s="74" t="n"/>
      <c r="L808" s="74" t="n"/>
    </row>
    <row r="809" ht="29.1" customHeight="1">
      <c r="A809" s="74" t="inlineStr">
        <is>
          <t>NLS0059</t>
        </is>
      </c>
      <c r="B809" s="74" t="inlineStr">
        <is>
          <t>Nhân ốc bươu</t>
        </is>
      </c>
      <c r="C809" s="74" t="n"/>
      <c r="D809" s="74" t="n"/>
      <c r="E809" s="74" t="n"/>
      <c r="F809" s="74" t="n"/>
      <c r="G809" s="74" t="inlineStr">
        <is>
          <t>kg</t>
        </is>
      </c>
      <c r="H809" s="76" t="n">
        <v>60000</v>
      </c>
      <c r="I809" s="73" t="n">
        <v>60000</v>
      </c>
      <c r="J809" s="73" t="n"/>
      <c r="K809" s="74" t="n"/>
      <c r="L809" s="74" t="n"/>
    </row>
    <row r="810" ht="29.1" customHeight="1">
      <c r="A810" s="74" t="inlineStr">
        <is>
          <t>NLS0065</t>
        </is>
      </c>
      <c r="B810" s="74" t="inlineStr">
        <is>
          <t>Tép khô</t>
        </is>
      </c>
      <c r="C810" s="74" t="n"/>
      <c r="D810" s="74" t="n"/>
      <c r="E810" s="74" t="n"/>
      <c r="F810" s="74" t="n"/>
      <c r="G810" s="74" t="inlineStr">
        <is>
          <t>kg</t>
        </is>
      </c>
      <c r="H810" s="76" t="n">
        <v>135000</v>
      </c>
      <c r="I810" s="73" t="n">
        <v>135000</v>
      </c>
      <c r="J810" s="73" t="n"/>
      <c r="K810" s="74" t="n"/>
      <c r="L810" s="74" t="n"/>
    </row>
    <row r="811" ht="29.1" customHeight="1">
      <c r="A811" s="74" t="inlineStr">
        <is>
          <t>NLS0080</t>
        </is>
      </c>
      <c r="B811" s="74" t="inlineStr">
        <is>
          <t>Tôm dảo tươi 80-100 con/kg</t>
        </is>
      </c>
      <c r="C811" s="74" t="n"/>
      <c r="D811" s="74" t="n"/>
      <c r="E811" s="74" t="n"/>
      <c r="F811" s="74" t="n"/>
      <c r="G811" s="74" t="inlineStr">
        <is>
          <t>kg</t>
        </is>
      </c>
      <c r="H811" s="76" t="n">
        <v>160000</v>
      </c>
      <c r="I811" s="73" t="n">
        <v>160000</v>
      </c>
      <c r="J811" s="73" t="n"/>
      <c r="K811" s="74" t="n"/>
      <c r="L811" s="74" t="n"/>
    </row>
    <row r="812" ht="29.1" customHeight="1">
      <c r="A812" s="74" t="inlineStr">
        <is>
          <t>NLS0081</t>
        </is>
      </c>
      <c r="B812" s="74" t="inlineStr">
        <is>
          <t>Tôm dảo tươi 100-120 con/kg</t>
        </is>
      </c>
      <c r="C812" s="74" t="n"/>
      <c r="D812" s="74" t="n"/>
      <c r="E812" s="74" t="n"/>
      <c r="F812" s="74" t="n"/>
      <c r="G812" s="74" t="inlineStr">
        <is>
          <t>kg</t>
        </is>
      </c>
      <c r="H812" s="76" t="n">
        <v>155000</v>
      </c>
      <c r="I812" s="73" t="n">
        <v>155000</v>
      </c>
      <c r="J812" s="73" t="n"/>
      <c r="K812" s="74" t="n"/>
      <c r="L812" s="74" t="n"/>
    </row>
    <row r="813" ht="29.1" customHeight="1">
      <c r="A813" s="74" t="inlineStr">
        <is>
          <t>NLS0111</t>
        </is>
      </c>
      <c r="B813" s="74" t="inlineStr">
        <is>
          <t>Cá cơm khô</t>
        </is>
      </c>
      <c r="C813" s="74" t="n"/>
      <c r="D813" s="74" t="n"/>
      <c r="E813" s="74" t="n"/>
      <c r="F813" s="74" t="n"/>
      <c r="G813" s="74" t="inlineStr">
        <is>
          <t>kg</t>
        </is>
      </c>
      <c r="H813" s="76" t="n">
        <v>130000</v>
      </c>
      <c r="I813" s="73" t="n">
        <v>130000</v>
      </c>
      <c r="J813" s="73" t="n"/>
      <c r="K813" s="74" t="n"/>
      <c r="L813" s="74" t="n"/>
    </row>
    <row r="814" ht="29.1" customHeight="1">
      <c r="A814" s="74" t="inlineStr">
        <is>
          <t>NLS0128</t>
        </is>
      </c>
      <c r="B814" s="74" t="inlineStr">
        <is>
          <t>Cá diêu hồng sơ chế 0.8-1kg/con</t>
        </is>
      </c>
      <c r="C814" s="74" t="n"/>
      <c r="D814" s="74" t="n"/>
      <c r="E814" s="74" t="n"/>
      <c r="F814" s="74" t="n"/>
      <c r="G814" s="74" t="inlineStr">
        <is>
          <t>kg</t>
        </is>
      </c>
      <c r="H814" s="76" t="n">
        <v>83000</v>
      </c>
      <c r="I814" s="73" t="n">
        <v>83000</v>
      </c>
      <c r="J814" s="73" t="n"/>
      <c r="K814" s="74" t="n"/>
      <c r="L814" s="74" t="n"/>
    </row>
    <row r="815" ht="29.1" customHeight="1">
      <c r="A815" s="74" t="inlineStr">
        <is>
          <t>NLS0131</t>
        </is>
      </c>
      <c r="B815" s="74" t="inlineStr">
        <is>
          <t>Cá rô phi lọc 0.25- 0.4kg/miếng</t>
        </is>
      </c>
      <c r="C815" s="74" t="n"/>
      <c r="D815" s="74" t="n"/>
      <c r="E815" s="74" t="n"/>
      <c r="F815" s="74" t="n"/>
      <c r="G815" s="74" t="inlineStr">
        <is>
          <t>kg</t>
        </is>
      </c>
      <c r="H815" s="76" t="n">
        <v>60000</v>
      </c>
      <c r="I815" s="73" t="n">
        <v>60000</v>
      </c>
      <c r="J815" s="73" t="n"/>
      <c r="K815" s="74" t="n"/>
      <c r="L815" s="74" t="n"/>
    </row>
    <row r="816" ht="29.1" customHeight="1">
      <c r="A816" s="74" t="inlineStr">
        <is>
          <t>NLS0135</t>
        </is>
      </c>
      <c r="B816" s="74" t="inlineStr">
        <is>
          <t>Cá rô phi sơ chế bỏ đầu 0.8-1kg</t>
        </is>
      </c>
      <c r="C816" s="74" t="n"/>
      <c r="D816" s="74" t="n"/>
      <c r="E816" s="74" t="n"/>
      <c r="F816" s="74" t="n"/>
      <c r="G816" s="74" t="inlineStr">
        <is>
          <t>kg</t>
        </is>
      </c>
      <c r="H816" s="76" t="n">
        <v>58000</v>
      </c>
      <c r="I816" s="73" t="n">
        <v>58000</v>
      </c>
      <c r="J816" s="73" t="n"/>
      <c r="K816" s="74" t="n"/>
      <c r="L816" s="74" t="n"/>
    </row>
    <row r="817" ht="29.1" customHeight="1">
      <c r="A817" s="74" t="inlineStr">
        <is>
          <t>NLS0147</t>
        </is>
      </c>
      <c r="B817" s="74" t="inlineStr">
        <is>
          <t>Cá trắm sơ chế bỏ đầu 2-2.5kg</t>
        </is>
      </c>
      <c r="C817" s="74" t="n"/>
      <c r="D817" s="74" t="n"/>
      <c r="E817" s="74" t="n"/>
      <c r="F817" s="74" t="n"/>
      <c r="G817" s="74" t="inlineStr">
        <is>
          <t>kg</t>
        </is>
      </c>
      <c r="H817" s="76" t="n">
        <v>80000</v>
      </c>
      <c r="I817" s="73" t="n">
        <v>80000</v>
      </c>
      <c r="J817" s="73" t="n"/>
      <c r="K817" s="74" t="n"/>
      <c r="L817" s="74" t="n"/>
    </row>
    <row r="818" ht="29.1" customHeight="1">
      <c r="A818" s="74" t="inlineStr">
        <is>
          <t>NLS0167</t>
        </is>
      </c>
      <c r="B818" s="74" t="inlineStr">
        <is>
          <t>tôm dảo tươi 60-80c/kg</t>
        </is>
      </c>
      <c r="C818" s="74" t="n"/>
      <c r="D818" s="74" t="n"/>
      <c r="E818" s="74" t="n"/>
      <c r="F818" s="74" t="n"/>
      <c r="G818" s="74" t="inlineStr">
        <is>
          <t>kg</t>
        </is>
      </c>
      <c r="H818" s="76" t="n">
        <v>180000</v>
      </c>
      <c r="I818" s="73" t="n">
        <v>180000</v>
      </c>
      <c r="J818" s="73" t="n"/>
      <c r="K818" s="74" t="n"/>
      <c r="L818" s="74" t="n"/>
    </row>
    <row r="819" ht="29.1" customHeight="1">
      <c r="A819" s="74" t="inlineStr">
        <is>
          <t>NLS0168</t>
        </is>
      </c>
      <c r="B819" s="74" t="inlineStr">
        <is>
          <t>tôm dảo tươi 120-150c/kg</t>
        </is>
      </c>
      <c r="C819" s="74" t="n"/>
      <c r="D819" s="74" t="n"/>
      <c r="E819" s="74" t="n"/>
      <c r="F819" s="74" t="n"/>
      <c r="G819" s="74" t="inlineStr">
        <is>
          <t>kg</t>
        </is>
      </c>
      <c r="H819" s="76" t="n">
        <v>160000</v>
      </c>
      <c r="I819" s="73" t="n">
        <v>160000</v>
      </c>
      <c r="J819" s="73" t="n"/>
      <c r="K819" s="74" t="n"/>
      <c r="L819" s="74" t="n"/>
    </row>
    <row r="820" ht="29.1" customHeight="1">
      <c r="A820" s="74" t="inlineStr">
        <is>
          <t>NLT0001</t>
        </is>
      </c>
      <c r="B820" s="74" t="inlineStr">
        <is>
          <t>Cánh gà CN tươi 7-8 cái/kg</t>
        </is>
      </c>
      <c r="C820" s="74" t="n"/>
      <c r="D820" s="74" t="n"/>
      <c r="E820" s="74" t="n"/>
      <c r="F820" s="74" t="n"/>
      <c r="G820" s="74" t="inlineStr">
        <is>
          <t>kg</t>
        </is>
      </c>
      <c r="H820" s="76" t="n">
        <v>70000</v>
      </c>
      <c r="I820" s="73" t="n">
        <v>70000</v>
      </c>
      <c r="J820" s="73" t="n"/>
      <c r="K820" s="74" t="n"/>
      <c r="L820" s="74" t="n"/>
    </row>
    <row r="821" ht="29.1" customHeight="1">
      <c r="A821" s="74" t="inlineStr">
        <is>
          <t>NLT0003</t>
        </is>
      </c>
      <c r="B821" s="74" t="inlineStr">
        <is>
          <t>Chả lợn</t>
        </is>
      </c>
      <c r="C821" s="74" t="n"/>
      <c r="D821" s="74" t="n"/>
      <c r="E821" s="74" t="n"/>
      <c r="F821" s="74" t="n"/>
      <c r="G821" s="74" t="inlineStr">
        <is>
          <t>kg</t>
        </is>
      </c>
      <c r="H821" s="76" t="n">
        <v>85000</v>
      </c>
      <c r="I821" s="73" t="n">
        <v>85000</v>
      </c>
      <c r="J821" s="73" t="n"/>
      <c r="K821" s="74" t="n"/>
      <c r="L821" s="74" t="n"/>
    </row>
    <row r="822" ht="29.1" customHeight="1">
      <c r="A822" s="74" t="inlineStr">
        <is>
          <t>NLT0011</t>
        </is>
      </c>
      <c r="B822" s="74" t="inlineStr">
        <is>
          <t>Đậu phụ kg</t>
        </is>
      </c>
      <c r="C822" s="74" t="n"/>
      <c r="D822" s="74" t="n"/>
      <c r="E822" s="74" t="n"/>
      <c r="F822" s="74" t="n"/>
      <c r="G822" s="74" t="inlineStr">
        <is>
          <t>kg</t>
        </is>
      </c>
      <c r="H822" s="76" t="n">
        <v>17000</v>
      </c>
      <c r="I822" s="73" t="n">
        <v>17000</v>
      </c>
      <c r="J822" s="73" t="n"/>
      <c r="K822" s="74" t="n"/>
      <c r="L822" s="74" t="n"/>
    </row>
    <row r="823" ht="29.1" customHeight="1">
      <c r="A823" s="74" t="inlineStr">
        <is>
          <t>NLT0013</t>
        </is>
      </c>
      <c r="B823" s="74" t="inlineStr">
        <is>
          <t>Gan lợn</t>
        </is>
      </c>
      <c r="C823" s="74" t="n"/>
      <c r="D823" s="74" t="n"/>
      <c r="E823" s="74" t="n"/>
      <c r="F823" s="74" t="n"/>
      <c r="G823" s="74" t="inlineStr">
        <is>
          <t>kg</t>
        </is>
      </c>
      <c r="H823" s="76" t="n">
        <v>30000</v>
      </c>
      <c r="I823" s="73" t="n">
        <v>30000</v>
      </c>
      <c r="J823" s="73" t="n"/>
      <c r="K823" s="74" t="n"/>
      <c r="L823" s="74" t="n"/>
    </row>
    <row r="824" ht="29.1" customHeight="1">
      <c r="A824" s="74" t="inlineStr">
        <is>
          <t>NLT0016</t>
        </is>
      </c>
      <c r="B824" s="74" t="inlineStr">
        <is>
          <t>Giò xào</t>
        </is>
      </c>
      <c r="C824" s="74" t="n"/>
      <c r="D824" s="74" t="n"/>
      <c r="E824" s="74" t="n"/>
      <c r="F824" s="74" t="n"/>
      <c r="G824" s="74" t="inlineStr">
        <is>
          <t>kg</t>
        </is>
      </c>
      <c r="H824" s="76" t="n">
        <v>110000</v>
      </c>
      <c r="I824" s="73" t="n">
        <v>110000</v>
      </c>
      <c r="J824" s="73" t="n"/>
      <c r="K824" s="74" t="n"/>
      <c r="L824" s="74" t="n"/>
    </row>
    <row r="825" ht="29.1" customHeight="1">
      <c r="A825" s="74" t="inlineStr">
        <is>
          <t>NLT0017</t>
        </is>
      </c>
      <c r="B825" s="74" t="inlineStr">
        <is>
          <t>Giò lụa</t>
        </is>
      </c>
      <c r="C825" s="74" t="n"/>
      <c r="D825" s="74" t="n"/>
      <c r="E825" s="74" t="n"/>
      <c r="F825" s="74" t="n"/>
      <c r="G825" s="74" t="inlineStr">
        <is>
          <t>kg</t>
        </is>
      </c>
      <c r="H825" s="76" t="n">
        <v>85000</v>
      </c>
      <c r="I825" s="73" t="n">
        <v>85000</v>
      </c>
      <c r="J825" s="73" t="n"/>
      <c r="K825" s="74" t="n"/>
      <c r="L825" s="74" t="n"/>
    </row>
    <row r="826" ht="29.1" customHeight="1">
      <c r="A826" s="74" t="inlineStr">
        <is>
          <t>NLT0027</t>
        </is>
      </c>
      <c r="B826" s="74" t="inlineStr">
        <is>
          <t>Mọc viên</t>
        </is>
      </c>
      <c r="C826" s="74" t="n"/>
      <c r="D826" s="74" t="n"/>
      <c r="E826" s="74" t="n"/>
      <c r="F826" s="74" t="n"/>
      <c r="G826" s="74" t="inlineStr">
        <is>
          <t>kg</t>
        </is>
      </c>
      <c r="H826" s="76" t="n">
        <v>85000</v>
      </c>
      <c r="I826" s="73" t="n">
        <v>85000</v>
      </c>
      <c r="J826" s="73" t="n"/>
      <c r="K826" s="74" t="n"/>
      <c r="L826" s="74" t="n"/>
    </row>
    <row r="827" ht="29.1" customHeight="1">
      <c r="A827" s="74" t="inlineStr">
        <is>
          <t>NLT0018</t>
        </is>
      </c>
      <c r="B827" s="74" t="inlineStr">
        <is>
          <t>Giò sống</t>
        </is>
      </c>
      <c r="C827" s="74" t="n"/>
      <c r="D827" s="74" t="n"/>
      <c r="E827" s="74" t="n"/>
      <c r="F827" s="74" t="n"/>
      <c r="G827" s="74" t="inlineStr">
        <is>
          <t>kg</t>
        </is>
      </c>
      <c r="H827" s="76" t="n">
        <v>85000</v>
      </c>
      <c r="I827" s="73" t="n">
        <v>85000</v>
      </c>
      <c r="J827" s="73" t="n"/>
      <c r="K827" s="74" t="n"/>
      <c r="L827" s="74" t="n"/>
    </row>
    <row r="828" ht="29.1" customHeight="1">
      <c r="A828" s="74" t="inlineStr">
        <is>
          <t>NLT0020</t>
        </is>
      </c>
      <c r="B828" s="74" t="inlineStr">
        <is>
          <t>Lạc nhân</t>
        </is>
      </c>
      <c r="C828" s="74" t="n"/>
      <c r="D828" s="74" t="n"/>
      <c r="E828" s="74" t="n"/>
      <c r="F828" s="74" t="n"/>
      <c r="G828" s="74" t="inlineStr">
        <is>
          <t>kg</t>
        </is>
      </c>
      <c r="H828" s="76" t="n">
        <v>50000</v>
      </c>
      <c r="I828" s="73" t="n">
        <v>50000</v>
      </c>
      <c r="J828" s="73" t="n"/>
      <c r="K828" s="74" t="n"/>
      <c r="L828" s="74" t="n"/>
    </row>
    <row r="829" ht="29.1" customHeight="1">
      <c r="A829" s="74" t="inlineStr">
        <is>
          <t>NLT0033</t>
        </is>
      </c>
      <c r="B829" s="74" t="inlineStr">
        <is>
          <t>Sườn bỏ sống</t>
        </is>
      </c>
      <c r="C829" s="74" t="n"/>
      <c r="D829" s="74" t="n"/>
      <c r="E829" s="74" t="n"/>
      <c r="F829" s="74" t="n"/>
      <c r="G829" s="74" t="inlineStr">
        <is>
          <t>kg</t>
        </is>
      </c>
      <c r="H829" s="76" t="n">
        <v>128000</v>
      </c>
      <c r="I829" s="73" t="n">
        <v>128000</v>
      </c>
      <c r="J829" s="73" t="n"/>
      <c r="K829" s="74" t="n"/>
      <c r="L829" s="74" t="n"/>
    </row>
    <row r="830" ht="29.1" customHeight="1">
      <c r="A830" s="74" t="inlineStr">
        <is>
          <t>NLT0035</t>
        </is>
      </c>
      <c r="B830" s="74" t="inlineStr">
        <is>
          <t>Tai heo</t>
        </is>
      </c>
      <c r="C830" s="74" t="n"/>
      <c r="D830" s="74" t="n"/>
      <c r="E830" s="74" t="n"/>
      <c r="F830" s="74" t="n"/>
      <c r="G830" s="74" t="inlineStr">
        <is>
          <t>kg</t>
        </is>
      </c>
      <c r="H830" s="76" t="n">
        <v>143000</v>
      </c>
      <c r="I830" s="73" t="n">
        <v>143000</v>
      </c>
      <c r="J830" s="73" t="n"/>
      <c r="K830" s="74" t="n"/>
      <c r="L830" s="74" t="n"/>
    </row>
    <row r="831" ht="29.1" customHeight="1">
      <c r="A831" s="74" t="inlineStr">
        <is>
          <t>NLT0037</t>
        </is>
      </c>
      <c r="B831" s="74" t="inlineStr">
        <is>
          <t>Tiết lợn kg</t>
        </is>
      </c>
      <c r="C831" s="74" t="n"/>
      <c r="D831" s="74" t="n"/>
      <c r="E831" s="74" t="n"/>
      <c r="F831" s="74" t="n"/>
      <c r="G831" s="74" t="inlineStr">
        <is>
          <t>kg</t>
        </is>
      </c>
      <c r="H831" s="76" t="n">
        <v>15000</v>
      </c>
      <c r="I831" s="73" t="n">
        <v>15000</v>
      </c>
      <c r="J831" s="73" t="n"/>
      <c r="K831" s="74" t="n"/>
      <c r="L831" s="74" t="n"/>
    </row>
    <row r="832" ht="29.1" customHeight="1">
      <c r="A832" s="74" t="inlineStr">
        <is>
          <t>NLT0043</t>
        </is>
      </c>
      <c r="B832" s="74" t="inlineStr">
        <is>
          <t>Tỏi gà công nghiệp 5-6 cái/ kg</t>
        </is>
      </c>
      <c r="C832" s="74" t="n"/>
      <c r="D832" s="74" t="n"/>
      <c r="E832" s="74" t="n"/>
      <c r="F832" s="74" t="n"/>
      <c r="G832" s="74" t="inlineStr">
        <is>
          <t>kg</t>
        </is>
      </c>
      <c r="H832" s="76" t="n">
        <v>80000</v>
      </c>
      <c r="I832" s="73" t="n">
        <v>80000</v>
      </c>
      <c r="J832" s="73" t="n"/>
      <c r="K832" s="74" t="n"/>
      <c r="L832" s="74" t="n"/>
    </row>
    <row r="833" ht="29.1" customHeight="1">
      <c r="A833" s="74" t="inlineStr">
        <is>
          <t>NLT0046</t>
        </is>
      </c>
      <c r="B833" s="74" t="inlineStr">
        <is>
          <t>Thịt ba chỉ</t>
        </is>
      </c>
      <c r="C833" s="74" t="n"/>
      <c r="D833" s="74" t="n"/>
      <c r="E833" s="74" t="n"/>
      <c r="F833" s="74" t="n"/>
      <c r="G833" s="74" t="inlineStr">
        <is>
          <t>kg</t>
        </is>
      </c>
      <c r="H833" s="76" t="n">
        <v>135000</v>
      </c>
      <c r="I833" s="73" t="n">
        <v>135000</v>
      </c>
      <c r="J833" s="73" t="n"/>
      <c r="K833" s="74" t="n"/>
      <c r="L833" s="74" t="n"/>
    </row>
    <row r="834" ht="29.1" customHeight="1">
      <c r="A834" s="74" t="inlineStr">
        <is>
          <t>NLT0057</t>
        </is>
      </c>
      <c r="B834" s="74" t="inlineStr">
        <is>
          <t>Thịt chân giò rút xương</t>
        </is>
      </c>
      <c r="C834" s="74" t="n"/>
      <c r="D834" s="74" t="n"/>
      <c r="E834" s="74" t="n"/>
      <c r="F834" s="74" t="n"/>
      <c r="G834" s="74" t="inlineStr">
        <is>
          <t>kg</t>
        </is>
      </c>
      <c r="H834" s="76" t="n">
        <v>116000</v>
      </c>
      <c r="I834" s="73" t="n">
        <v>116000</v>
      </c>
      <c r="J834" s="73" t="n"/>
      <c r="K834" s="74" t="n"/>
      <c r="L834" s="74" t="n"/>
    </row>
    <row r="835" ht="29.1" customHeight="1">
      <c r="A835" s="74" t="inlineStr">
        <is>
          <t>NLT0063</t>
        </is>
      </c>
      <c r="B835" s="74" t="inlineStr">
        <is>
          <t>Thịt gà CN không đầu, cổ cánh &gt;1.8kg/con</t>
        </is>
      </c>
      <c r="C835" s="74" t="n"/>
      <c r="D835" s="74" t="n"/>
      <c r="E835" s="74" t="n"/>
      <c r="F835" s="74" t="n"/>
      <c r="G835" s="74" t="inlineStr">
        <is>
          <t>kg</t>
        </is>
      </c>
      <c r="H835" s="76" t="n">
        <v>58000</v>
      </c>
      <c r="I835" s="73" t="n">
        <v>58000</v>
      </c>
      <c r="J835" s="73" t="n"/>
      <c r="K835" s="74" t="n"/>
      <c r="L835" s="74" t="n"/>
    </row>
    <row r="836" ht="29.1" customHeight="1">
      <c r="A836" s="74" t="inlineStr">
        <is>
          <t>NLT0076</t>
        </is>
      </c>
      <c r="B836" s="74" t="inlineStr">
        <is>
          <t>Thịt lợn mông sấn</t>
        </is>
      </c>
      <c r="C836" s="74" t="n"/>
      <c r="D836" s="74" t="n"/>
      <c r="E836" s="74" t="n"/>
      <c r="F836" s="74" t="n"/>
      <c r="G836" s="74" t="inlineStr">
        <is>
          <t>kg</t>
        </is>
      </c>
      <c r="H836" s="76" t="n">
        <v>100000</v>
      </c>
      <c r="I836" s="73" t="n">
        <v>100000</v>
      </c>
      <c r="J836" s="73" t="n"/>
      <c r="K836" s="74" t="n"/>
      <c r="L836" s="74" t="n"/>
    </row>
    <row r="837" ht="29.1" customHeight="1">
      <c r="A837" s="74" t="inlineStr">
        <is>
          <t>NLT0078</t>
        </is>
      </c>
      <c r="B837" s="74" t="inlineStr">
        <is>
          <t>Thịt mỡ lợn</t>
        </is>
      </c>
      <c r="C837" s="74" t="n"/>
      <c r="D837" s="74" t="n"/>
      <c r="E837" s="74" t="n"/>
      <c r="F837" s="74" t="n"/>
      <c r="G837" s="74" t="inlineStr">
        <is>
          <t>kg</t>
        </is>
      </c>
      <c r="H837" s="76" t="n">
        <v>80000</v>
      </c>
      <c r="I837" s="73" t="n">
        <v>80000</v>
      </c>
      <c r="J837" s="73" t="n"/>
      <c r="K837" s="74" t="n"/>
      <c r="L837" s="74" t="n"/>
    </row>
    <row r="838" ht="29.1" customHeight="1">
      <c r="A838" s="74" t="inlineStr">
        <is>
          <t>NLT0081</t>
        </is>
      </c>
      <c r="B838" s="74" t="inlineStr">
        <is>
          <t>Thịt nạc vai</t>
        </is>
      </c>
      <c r="C838" s="74" t="n"/>
      <c r="D838" s="74" t="n"/>
      <c r="E838" s="74" t="n"/>
      <c r="F838" s="74" t="n"/>
      <c r="G838" s="74" t="inlineStr">
        <is>
          <t>kg</t>
        </is>
      </c>
      <c r="H838" s="76" t="n">
        <v>132000</v>
      </c>
      <c r="I838" s="73" t="n">
        <v>132000</v>
      </c>
      <c r="J838" s="73" t="n"/>
      <c r="K838" s="74" t="n"/>
      <c r="L838" s="74" t="n"/>
    </row>
    <row r="839" ht="29.1" customHeight="1">
      <c r="A839" s="74" t="inlineStr">
        <is>
          <t>NLT0084</t>
        </is>
      </c>
      <c r="B839" s="74" t="inlineStr">
        <is>
          <t>Thịt nách</t>
        </is>
      </c>
      <c r="C839" s="74" t="n"/>
      <c r="D839" s="74" t="n"/>
      <c r="E839" s="74" t="n"/>
      <c r="F839" s="74" t="n"/>
      <c r="G839" s="74" t="inlineStr">
        <is>
          <t>kg</t>
        </is>
      </c>
      <c r="H839" s="76" t="n">
        <v>100000</v>
      </c>
      <c r="I839" s="73" t="n">
        <v>100000</v>
      </c>
      <c r="J839" s="73" t="n"/>
      <c r="K839" s="74" t="n"/>
      <c r="L839" s="74" t="n"/>
    </row>
    <row r="840" ht="29.1" customHeight="1">
      <c r="A840" s="74" t="inlineStr">
        <is>
          <t>NLT0090</t>
        </is>
      </c>
      <c r="B840" s="74" t="inlineStr">
        <is>
          <t>Thịt nạc  thăn</t>
        </is>
      </c>
      <c r="C840" s="74" t="n"/>
      <c r="D840" s="74" t="n"/>
      <c r="E840" s="74" t="n"/>
      <c r="F840" s="74" t="n"/>
      <c r="G840" s="74" t="inlineStr">
        <is>
          <t>kg</t>
        </is>
      </c>
      <c r="H840" s="76" t="n">
        <v>120000</v>
      </c>
      <c r="I840" s="73" t="n">
        <v>120000</v>
      </c>
      <c r="J840" s="73" t="n"/>
      <c r="K840" s="74" t="n"/>
      <c r="L840" s="74" t="n"/>
    </row>
    <row r="841" ht="29.1" customHeight="1">
      <c r="A841" s="74" t="inlineStr">
        <is>
          <t>NLT0093</t>
        </is>
      </c>
      <c r="B841" s="74" t="inlineStr">
        <is>
          <t>Thịt lợn vai sấn</t>
        </is>
      </c>
      <c r="C841" s="74" t="n"/>
      <c r="D841" s="74" t="n"/>
      <c r="E841" s="74" t="n"/>
      <c r="F841" s="74" t="n"/>
      <c r="G841" s="74" t="inlineStr">
        <is>
          <t>kg</t>
        </is>
      </c>
      <c r="H841" s="76" t="n">
        <v>100000</v>
      </c>
      <c r="I841" s="73" t="n">
        <v>100000</v>
      </c>
      <c r="J841" s="73" t="n"/>
      <c r="K841" s="74" t="n"/>
      <c r="L841" s="74" t="n"/>
    </row>
    <row r="842" ht="29.1" customHeight="1">
      <c r="A842" s="74" t="inlineStr">
        <is>
          <t>NLT0094</t>
        </is>
      </c>
      <c r="B842" s="74" t="inlineStr">
        <is>
          <t>Thịt vịt sơ chế bỏ đầu, cổ cánh 2-2.5kg/con.</t>
        </is>
      </c>
      <c r="C842" s="74" t="n"/>
      <c r="D842" s="74" t="n"/>
      <c r="E842" s="74" t="n"/>
      <c r="F842" s="74" t="n"/>
      <c r="G842" s="74" t="inlineStr">
        <is>
          <t>kg</t>
        </is>
      </c>
      <c r="H842" s="76" t="n">
        <v>75000</v>
      </c>
      <c r="I842" s="73" t="n">
        <v>75000</v>
      </c>
      <c r="J842" s="73" t="n"/>
      <c r="K842" s="74" t="n"/>
      <c r="L842" s="74" t="n"/>
    </row>
    <row r="843" ht="29.1" customHeight="1">
      <c r="A843" s="74" t="inlineStr">
        <is>
          <t>NLT0098</t>
        </is>
      </c>
      <c r="B843" s="74" t="inlineStr">
        <is>
          <t>Thịt xay</t>
        </is>
      </c>
      <c r="C843" s="74" t="n"/>
      <c r="D843" s="74" t="n"/>
      <c r="E843" s="74" t="n"/>
      <c r="F843" s="74" t="n"/>
      <c r="G843" s="74" t="inlineStr">
        <is>
          <t>kg</t>
        </is>
      </c>
      <c r="H843" s="76" t="n">
        <v>85000</v>
      </c>
      <c r="I843" s="73" t="n">
        <v>85000</v>
      </c>
      <c r="J843" s="73" t="n"/>
      <c r="K843" s="74" t="n"/>
      <c r="L843" s="74" t="n"/>
    </row>
    <row r="844" ht="29.1" customHeight="1">
      <c r="A844" s="74" t="inlineStr">
        <is>
          <t>NLT0099</t>
        </is>
      </c>
      <c r="B844" s="74" t="inlineStr">
        <is>
          <t>Trứng cút</t>
        </is>
      </c>
      <c r="C844" s="74" t="n"/>
      <c r="D844" s="74" t="n"/>
      <c r="E844" s="74" t="n"/>
      <c r="F844" s="74" t="n"/>
      <c r="G844" s="74" t="inlineStr">
        <is>
          <t>quả</t>
        </is>
      </c>
      <c r="H844" s="76" t="n">
        <v>700</v>
      </c>
      <c r="I844" s="73" t="n">
        <v>700</v>
      </c>
      <c r="J844" s="73" t="n"/>
      <c r="K844" s="74" t="n"/>
      <c r="L844" s="74" t="n"/>
    </row>
    <row r="845" ht="29.1" customHeight="1">
      <c r="A845" s="74" t="inlineStr">
        <is>
          <t>NLT0100</t>
        </is>
      </c>
      <c r="B845" s="74" t="inlineStr">
        <is>
          <t>Trứng cút bóc vỏ</t>
        </is>
      </c>
      <c r="C845" s="74" t="n"/>
      <c r="D845" s="74" t="n"/>
      <c r="E845" s="74" t="n"/>
      <c r="F845" s="74" t="n"/>
      <c r="G845" s="74" t="inlineStr">
        <is>
          <t>quả</t>
        </is>
      </c>
      <c r="H845" s="76" t="n">
        <v>850</v>
      </c>
      <c r="I845" s="73" t="n">
        <v>850</v>
      </c>
      <c r="J845" s="73" t="n"/>
      <c r="K845" s="74" t="n"/>
      <c r="L845" s="74" t="n"/>
    </row>
    <row r="846" ht="29.1" customHeight="1">
      <c r="A846" s="74" t="inlineStr">
        <is>
          <t>NLT0105</t>
        </is>
      </c>
      <c r="B846" s="74" t="inlineStr">
        <is>
          <t>Trứng vịt lộn</t>
        </is>
      </c>
      <c r="C846" s="74" t="n"/>
      <c r="D846" s="74" t="n"/>
      <c r="E846" s="74" t="n"/>
      <c r="F846" s="74" t="n"/>
      <c r="G846" s="74" t="inlineStr">
        <is>
          <t>quả</t>
        </is>
      </c>
      <c r="H846" s="76" t="n">
        <v>4200</v>
      </c>
      <c r="I846" s="73" t="n">
        <v>4200</v>
      </c>
      <c r="J846" s="73" t="n"/>
      <c r="K846" s="74" t="n"/>
      <c r="L846" s="74" t="n"/>
    </row>
    <row r="847" ht="29.1" customHeight="1">
      <c r="A847" s="74" t="inlineStr">
        <is>
          <t>NLT0107</t>
        </is>
      </c>
      <c r="B847" s="74" t="inlineStr">
        <is>
          <t>Ức gà không xương</t>
        </is>
      </c>
      <c r="C847" s="74" t="n"/>
      <c r="D847" s="74" t="n"/>
      <c r="E847" s="74" t="n"/>
      <c r="F847" s="74" t="n"/>
      <c r="G847" s="74" t="inlineStr">
        <is>
          <t>kg</t>
        </is>
      </c>
      <c r="H847" s="76" t="n">
        <v>62000</v>
      </c>
      <c r="I847" s="73" t="n">
        <v>62000</v>
      </c>
      <c r="J847" s="73" t="n"/>
      <c r="K847" s="74" t="n"/>
      <c r="L847" s="74" t="n"/>
    </row>
    <row r="848" ht="29.1" customHeight="1">
      <c r="A848" s="74" t="inlineStr">
        <is>
          <t>NLT0108</t>
        </is>
      </c>
      <c r="B848" s="74" t="inlineStr">
        <is>
          <t>Xúc xích Đức Việt 500g/gói (1 gói 10 cái)</t>
        </is>
      </c>
      <c r="C848" s="74" t="n"/>
      <c r="D848" s="74" t="n"/>
      <c r="E848" s="74" t="n"/>
      <c r="F848" s="74" t="n"/>
      <c r="G848" s="74" t="inlineStr">
        <is>
          <t>kg</t>
        </is>
      </c>
      <c r="H848" s="76" t="n">
        <v>65000</v>
      </c>
      <c r="I848" s="73" t="n">
        <v>65000</v>
      </c>
      <c r="J848" s="73" t="n"/>
      <c r="K848" s="74" t="n"/>
      <c r="L848" s="74" t="n"/>
    </row>
    <row r="849" ht="29.1" customHeight="1">
      <c r="A849" s="74" t="inlineStr">
        <is>
          <t>NLT0112</t>
        </is>
      </c>
      <c r="B849" s="74" t="inlineStr">
        <is>
          <t>Xương ống</t>
        </is>
      </c>
      <c r="C849" s="74" t="n"/>
      <c r="D849" s="74" t="n"/>
      <c r="E849" s="74" t="n"/>
      <c r="F849" s="74" t="n"/>
      <c r="G849" s="74" t="inlineStr">
        <is>
          <t>kg</t>
        </is>
      </c>
      <c r="H849" s="76" t="n">
        <v>30000</v>
      </c>
      <c r="I849" s="73" t="n">
        <v>30000</v>
      </c>
      <c r="J849" s="73" t="n"/>
      <c r="K849" s="74" t="n"/>
      <c r="L849" s="74" t="n"/>
    </row>
    <row r="850" ht="29.1" customHeight="1">
      <c r="A850" s="74" t="inlineStr">
        <is>
          <t>NLT0116</t>
        </is>
      </c>
      <c r="B850" s="74" t="inlineStr">
        <is>
          <t>Xương sống</t>
        </is>
      </c>
      <c r="C850" s="74" t="n"/>
      <c r="D850" s="74" t="n"/>
      <c r="E850" s="74" t="n"/>
      <c r="F850" s="74" t="n"/>
      <c r="G850" s="74" t="inlineStr">
        <is>
          <t>kg</t>
        </is>
      </c>
      <c r="H850" s="76" t="n">
        <v>40000</v>
      </c>
      <c r="I850" s="73" t="n">
        <v>40000</v>
      </c>
      <c r="J850" s="73" t="n"/>
      <c r="K850" s="74" t="n"/>
      <c r="L850" s="74" t="n"/>
    </row>
    <row r="851" ht="29.1" customHeight="1">
      <c r="A851" s="74" t="inlineStr">
        <is>
          <t>NLT0137</t>
        </is>
      </c>
      <c r="B851" s="74" t="inlineStr">
        <is>
          <t>Thịt bò vai</t>
        </is>
      </c>
      <c r="C851" s="74" t="n"/>
      <c r="D851" s="74" t="n"/>
      <c r="E851" s="74" t="n"/>
      <c r="F851" s="74" t="n"/>
      <c r="G851" s="74" t="inlineStr">
        <is>
          <t>kg</t>
        </is>
      </c>
      <c r="H851" s="76" t="n">
        <v>185000</v>
      </c>
      <c r="I851" s="73" t="n">
        <v>185000</v>
      </c>
      <c r="J851" s="73" t="n"/>
      <c r="K851" s="74" t="n"/>
      <c r="L851" s="74" t="n"/>
    </row>
    <row r="852" ht="29.1" customHeight="1">
      <c r="A852" s="74" t="inlineStr">
        <is>
          <t>NLT0157</t>
        </is>
      </c>
      <c r="B852" s="74" t="inlineStr">
        <is>
          <t>Lạc nhân đỏ</t>
        </is>
      </c>
      <c r="C852" s="74" t="n"/>
      <c r="D852" s="74" t="n"/>
      <c r="E852" s="74" t="n"/>
      <c r="F852" s="74" t="n"/>
      <c r="G852" s="74" t="inlineStr">
        <is>
          <t>kg</t>
        </is>
      </c>
      <c r="H852" s="76" t="n">
        <v>58000</v>
      </c>
      <c r="I852" s="73" t="n">
        <v>58000</v>
      </c>
      <c r="J852" s="73" t="n"/>
      <c r="K852" s="74" t="n"/>
      <c r="L852" s="74" t="n"/>
    </row>
    <row r="853" ht="29.1" customHeight="1">
      <c r="A853" s="74" t="inlineStr">
        <is>
          <t>NLT0158</t>
        </is>
      </c>
      <c r="B853" s="74" t="inlineStr">
        <is>
          <t>Đùi gà 1/4 CN</t>
        </is>
      </c>
      <c r="C853" s="74" t="n"/>
      <c r="D853" s="74" t="n"/>
      <c r="E853" s="74" t="n"/>
      <c r="F853" s="74" t="n"/>
      <c r="G853" s="74" t="inlineStr">
        <is>
          <t>kg</t>
        </is>
      </c>
      <c r="H853" s="76" t="n">
        <v>60000</v>
      </c>
      <c r="I853" s="73" t="n">
        <v>60000</v>
      </c>
      <c r="J853" s="73" t="n"/>
      <c r="K853" s="74" t="n"/>
      <c r="L853" s="74" t="n"/>
    </row>
    <row r="854" ht="29.1" customHeight="1">
      <c r="A854" s="74" t="inlineStr">
        <is>
          <t>NLT0169</t>
        </is>
      </c>
      <c r="B854" s="74" t="inlineStr">
        <is>
          <t>Thịt ba chỉ cắt ngăn</t>
        </is>
      </c>
      <c r="C854" s="74" t="n"/>
      <c r="D854" s="74" t="n"/>
      <c r="E854" s="74" t="n"/>
      <c r="F854" s="74" t="n"/>
      <c r="G854" s="74" t="inlineStr">
        <is>
          <t>kg</t>
        </is>
      </c>
      <c r="H854" s="76" t="n">
        <v>128000</v>
      </c>
      <c r="I854" s="73" t="n">
        <v>128000</v>
      </c>
      <c r="J854" s="73" t="n"/>
      <c r="K854" s="74" t="n"/>
      <c r="L854" s="74" t="n"/>
    </row>
    <row r="855" ht="29.1" customHeight="1">
      <c r="A855" s="74" t="inlineStr">
        <is>
          <t>NLT0178</t>
        </is>
      </c>
      <c r="B855" s="74" t="inlineStr">
        <is>
          <t>Thịt gà xay</t>
        </is>
      </c>
      <c r="C855" s="74" t="n"/>
      <c r="D855" s="74" t="n"/>
      <c r="E855" s="74" t="n"/>
      <c r="F855" s="74" t="n"/>
      <c r="G855" s="74" t="inlineStr">
        <is>
          <t>kg</t>
        </is>
      </c>
      <c r="H855" s="76" t="n">
        <v>60000</v>
      </c>
      <c r="I855" s="73" t="n">
        <v>60000</v>
      </c>
      <c r="J855" s="73" t="n"/>
      <c r="K855" s="74" t="n"/>
      <c r="L855" s="74" t="n"/>
    </row>
    <row r="856" ht="29.1" customHeight="1">
      <c r="A856" s="74" t="inlineStr">
        <is>
          <t>NLT0307</t>
        </is>
      </c>
      <c r="B856" s="74" t="inlineStr">
        <is>
          <t>Trứng gà ta</t>
        </is>
      </c>
      <c r="C856" s="74" t="n"/>
      <c r="D856" s="74" t="n"/>
      <c r="E856" s="74" t="n"/>
      <c r="F856" s="74" t="n"/>
      <c r="G856" s="74" t="inlineStr">
        <is>
          <t>quả</t>
        </is>
      </c>
      <c r="H856" s="76" t="n">
        <v>2900</v>
      </c>
      <c r="I856" s="73" t="n">
        <v>2900</v>
      </c>
      <c r="J856" s="73" t="n"/>
      <c r="K856" s="74" t="n"/>
      <c r="L856" s="74" t="n"/>
    </row>
    <row r="857" ht="29.1" customHeight="1">
      <c r="A857" s="74" t="inlineStr">
        <is>
          <t>NLT0181</t>
        </is>
      </c>
      <c r="B857" s="74" t="inlineStr">
        <is>
          <t>Trứng gà CN 1,9-2.1kg/khay</t>
        </is>
      </c>
      <c r="C857" s="74" t="n"/>
      <c r="D857" s="74" t="n"/>
      <c r="E857" s="74" t="n"/>
      <c r="F857" s="74" t="n"/>
      <c r="G857" s="74" t="inlineStr">
        <is>
          <t>quả</t>
        </is>
      </c>
      <c r="H857" s="76" t="n">
        <v>2400</v>
      </c>
      <c r="I857" s="73" t="n">
        <v>2400</v>
      </c>
      <c r="J857" s="73" t="n"/>
      <c r="K857" s="74" t="n"/>
      <c r="L857" s="74" t="n"/>
    </row>
    <row r="858" ht="29.1" customHeight="1">
      <c r="A858" s="74" t="inlineStr">
        <is>
          <t>NLT0231</t>
        </is>
      </c>
      <c r="B858" s="74" t="inlineStr">
        <is>
          <t>Tỏi gà công nghiệp 7-8 cái/ kg</t>
        </is>
      </c>
      <c r="C858" s="74" t="n"/>
      <c r="D858" s="74" t="n"/>
      <c r="E858" s="74" t="n"/>
      <c r="F858" s="74" t="n"/>
      <c r="G858" s="74" t="inlineStr">
        <is>
          <t>kg</t>
        </is>
      </c>
      <c r="H858" s="76" t="n">
        <v>80000</v>
      </c>
      <c r="I858" s="73" t="n">
        <v>80000</v>
      </c>
      <c r="J858" s="73" t="n"/>
      <c r="K858" s="74" t="n"/>
      <c r="L858" s="74" t="n"/>
    </row>
    <row r="859" ht="29.1" customHeight="1">
      <c r="A859" s="74" t="inlineStr">
        <is>
          <t>NLT0249</t>
        </is>
      </c>
      <c r="B859" s="74" t="inlineStr">
        <is>
          <t>Gà ta sơ chế 2-2.5kg/con</t>
        </is>
      </c>
      <c r="C859" s="74" t="n"/>
      <c r="D859" s="74" t="n"/>
      <c r="E859" s="74" t="n"/>
      <c r="F859" s="74" t="n"/>
      <c r="G859" s="74" t="inlineStr">
        <is>
          <t>kg</t>
        </is>
      </c>
      <c r="H859" s="76" t="n">
        <v>90000</v>
      </c>
      <c r="I859" s="73" t="n">
        <v>90000</v>
      </c>
      <c r="J859" s="73" t="n"/>
      <c r="K859" s="74" t="n"/>
      <c r="L859" s="74" t="n"/>
    </row>
    <row r="860" ht="29.1" customHeight="1">
      <c r="A860" s="74" t="inlineStr">
        <is>
          <t>NLT0349</t>
        </is>
      </c>
      <c r="B860" s="74" t="inlineStr">
        <is>
          <t>Thịt mông bê</t>
        </is>
      </c>
      <c r="C860" s="74" t="n"/>
      <c r="D860" s="74" t="n"/>
      <c r="E860" s="74" t="n"/>
      <c r="F860" s="74" t="n"/>
      <c r="G860" s="74" t="inlineStr">
        <is>
          <t>kg</t>
        </is>
      </c>
      <c r="H860" s="76" t="n">
        <v>220000</v>
      </c>
      <c r="I860" s="73" t="n">
        <v>220000</v>
      </c>
      <c r="J860" s="73" t="n"/>
      <c r="K860" s="74" t="n"/>
      <c r="L860" s="74" t="n"/>
    </row>
    <row r="861" ht="29.1" customHeight="1">
      <c r="A861" s="74" t="inlineStr">
        <is>
          <t>NPG0030</t>
        </is>
      </c>
      <c r="B861" s="74" t="inlineStr">
        <is>
          <t>Bột mỳ Mezan 1kg/gói</t>
        </is>
      </c>
      <c r="C861" s="74" t="n"/>
      <c r="D861" s="74" t="n"/>
      <c r="E861" s="74" t="n"/>
      <c r="F861" s="74" t="n"/>
      <c r="G861" s="74" t="inlineStr">
        <is>
          <t>kg</t>
        </is>
      </c>
      <c r="H861" s="76" t="n">
        <v>22500</v>
      </c>
      <c r="I861" s="73" t="n">
        <v>22500</v>
      </c>
      <c r="J861" s="73" t="n"/>
      <c r="K861" s="74" t="n"/>
      <c r="L861" s="74" t="n"/>
    </row>
    <row r="862" ht="29.1" customHeight="1">
      <c r="A862" s="74" t="inlineStr">
        <is>
          <t>NPG0032</t>
        </is>
      </c>
      <c r="B862" s="74" t="inlineStr">
        <is>
          <t>Bột mỳ ngọc lan 1kg/gói</t>
        </is>
      </c>
      <c r="C862" s="74" t="n"/>
      <c r="D862" s="74" t="n"/>
      <c r="E862" s="74" t="n"/>
      <c r="F862" s="74" t="n"/>
      <c r="G862" s="74" t="inlineStr">
        <is>
          <t>kg</t>
        </is>
      </c>
      <c r="H862" s="76" t="n">
        <v>21000</v>
      </c>
      <c r="I862" s="73" t="n">
        <v>21000</v>
      </c>
      <c r="J862" s="73" t="n"/>
      <c r="K862" s="74" t="n"/>
      <c r="L862" s="74" t="n"/>
    </row>
    <row r="863" ht="29.1" customHeight="1">
      <c r="A863" s="74" t="inlineStr">
        <is>
          <t>NPG0035</t>
        </is>
      </c>
      <c r="B863" s="74" t="inlineStr">
        <is>
          <t>Bột nghệ</t>
        </is>
      </c>
      <c r="C863" s="74" t="n"/>
      <c r="D863" s="74" t="n"/>
      <c r="E863" s="74" t="n"/>
      <c r="F863" s="74" t="n"/>
      <c r="G863" s="74" t="inlineStr">
        <is>
          <t>kg</t>
        </is>
      </c>
      <c r="H863" s="76" t="n">
        <v>50000</v>
      </c>
      <c r="I863" s="73" t="n">
        <v>50000</v>
      </c>
      <c r="J863" s="73" t="n"/>
      <c r="K863" s="74" t="n"/>
      <c r="L863" s="74" t="n"/>
    </row>
    <row r="864" ht="29.1" customHeight="1">
      <c r="A864" s="74" t="inlineStr">
        <is>
          <t>NPG0040</t>
        </is>
      </c>
      <c r="B864" s="74" t="inlineStr">
        <is>
          <t>Bơ Tường an 200g</t>
        </is>
      </c>
      <c r="C864" s="74" t="n"/>
      <c r="D864" s="74" t="n"/>
      <c r="E864" s="74" t="n"/>
      <c r="F864" s="74" t="n"/>
      <c r="G864" s="74" t="inlineStr">
        <is>
          <t>Hộp</t>
        </is>
      </c>
      <c r="H864" s="76" t="n">
        <v>22000</v>
      </c>
      <c r="I864" s="73" t="n">
        <v>22000</v>
      </c>
      <c r="J864" s="73" t="n"/>
      <c r="K864" s="74" t="n"/>
      <c r="L864" s="74" t="n"/>
    </row>
    <row r="865" ht="29.1" customHeight="1">
      <c r="A865" s="74" t="inlineStr">
        <is>
          <t>NPG0049</t>
        </is>
      </c>
      <c r="B865" s="74" t="inlineStr">
        <is>
          <t>Dầu hào Maggi 820g/chai, 12 chai/thùng</t>
        </is>
      </c>
      <c r="C865" s="74" t="n"/>
      <c r="D865" s="74" t="n"/>
      <c r="E865" s="74" t="n"/>
      <c r="F865" s="74" t="n"/>
      <c r="G865" s="74" t="inlineStr">
        <is>
          <t>Chai</t>
        </is>
      </c>
      <c r="H865" s="76" t="n">
        <v>52000</v>
      </c>
      <c r="I865" s="73" t="n">
        <v>52000</v>
      </c>
      <c r="J865" s="73" t="n"/>
      <c r="K865" s="74" t="n"/>
      <c r="L865" s="74" t="n"/>
    </row>
    <row r="866" ht="29.1" customHeight="1">
      <c r="A866" s="74" t="inlineStr">
        <is>
          <t>NPG0066</t>
        </is>
      </c>
      <c r="B866" s="74" t="inlineStr">
        <is>
          <t>Hành khô</t>
        </is>
      </c>
      <c r="C866" s="74" t="n"/>
      <c r="D866" s="74" t="n"/>
      <c r="E866" s="74" t="n"/>
      <c r="F866" s="74" t="n"/>
      <c r="G866" s="74" t="inlineStr">
        <is>
          <t>kg</t>
        </is>
      </c>
      <c r="H866" s="76" t="n">
        <v>27000</v>
      </c>
      <c r="I866" s="73" t="n">
        <v>27000</v>
      </c>
      <c r="J866" s="73" t="n"/>
      <c r="K866" s="74" t="n"/>
      <c r="L866" s="74" t="n"/>
    </row>
    <row r="867" ht="29.1" customHeight="1">
      <c r="A867" s="74" t="inlineStr">
        <is>
          <t>NPG0073</t>
        </is>
      </c>
      <c r="B867" s="74" t="inlineStr">
        <is>
          <t>Tiêu xay</t>
        </is>
      </c>
      <c r="C867" s="74" t="n"/>
      <c r="D867" s="74" t="n"/>
      <c r="E867" s="74" t="n"/>
      <c r="F867" s="74" t="n"/>
      <c r="G867" s="74" t="inlineStr">
        <is>
          <t>kg</t>
        </is>
      </c>
      <c r="H867" s="76" t="n">
        <v>100000</v>
      </c>
      <c r="I867" s="73" t="n">
        <v>100000</v>
      </c>
      <c r="J867" s="73" t="n"/>
      <c r="K867" s="74" t="n"/>
      <c r="L867" s="74" t="n"/>
    </row>
    <row r="868" ht="29.1" customHeight="1">
      <c r="A868" s="74" t="inlineStr">
        <is>
          <t>NPG0084</t>
        </is>
      </c>
      <c r="B868" s="74" t="inlineStr">
        <is>
          <t>Mắm tôm Ba làng 500ml/chai, 24 chai/thùng</t>
        </is>
      </c>
      <c r="C868" s="74" t="n"/>
      <c r="D868" s="74" t="n"/>
      <c r="E868" s="74" t="n"/>
      <c r="F868" s="74" t="n"/>
      <c r="G868" s="74" t="inlineStr">
        <is>
          <t>Chai</t>
        </is>
      </c>
      <c r="H868" s="76" t="n">
        <v>19000</v>
      </c>
      <c r="I868" s="73" t="n">
        <v>19000</v>
      </c>
      <c r="J868" s="73" t="n"/>
      <c r="K868" s="74" t="n"/>
      <c r="L868" s="74" t="n"/>
    </row>
    <row r="869" ht="29.1" customHeight="1">
      <c r="A869" s="74" t="inlineStr">
        <is>
          <t>NPG0090</t>
        </is>
      </c>
      <c r="B869" s="74" t="inlineStr">
        <is>
          <t>Mẻ 0,5 lít/chai</t>
        </is>
      </c>
      <c r="C869" s="74" t="n"/>
      <c r="D869" s="74" t="n"/>
      <c r="E869" s="74" t="n"/>
      <c r="F869" s="74" t="n"/>
      <c r="G869" s="74" t="inlineStr">
        <is>
          <t>Chai</t>
        </is>
      </c>
      <c r="H869" s="76" t="n">
        <v>4500</v>
      </c>
      <c r="I869" s="73" t="n">
        <v>4500</v>
      </c>
      <c r="J869" s="73" t="n"/>
      <c r="K869" s="74" t="n"/>
      <c r="L869" s="74" t="n"/>
    </row>
    <row r="870" ht="29.1" customHeight="1">
      <c r="A870" s="74" t="inlineStr">
        <is>
          <t>NPG0093</t>
        </is>
      </c>
      <c r="B870" s="74" t="inlineStr">
        <is>
          <t>Me chua (kg)</t>
        </is>
      </c>
      <c r="C870" s="74" t="n"/>
      <c r="D870" s="74" t="n"/>
      <c r="E870" s="74" t="n"/>
      <c r="F870" s="74" t="n"/>
      <c r="G870" s="74" t="inlineStr">
        <is>
          <t>kg</t>
        </is>
      </c>
      <c r="H870" s="76" t="n">
        <v>30000</v>
      </c>
      <c r="I870" s="73" t="n">
        <v>30000</v>
      </c>
      <c r="J870" s="73" t="n"/>
      <c r="K870" s="74" t="n"/>
      <c r="L870" s="74" t="n"/>
    </row>
    <row r="871" ht="29.1" customHeight="1">
      <c r="A871" s="74" t="inlineStr">
        <is>
          <t>NPG0094</t>
        </is>
      </c>
      <c r="B871" s="74" t="inlineStr">
        <is>
          <t>Me khô</t>
        </is>
      </c>
      <c r="C871" s="74" t="n"/>
      <c r="D871" s="74" t="n"/>
      <c r="E871" s="74" t="n"/>
      <c r="F871" s="74" t="n"/>
      <c r="G871" s="74" t="inlineStr">
        <is>
          <t>kg</t>
        </is>
      </c>
      <c r="H871" s="76" t="n">
        <v>30000</v>
      </c>
      <c r="I871" s="73" t="n">
        <v>30000</v>
      </c>
      <c r="J871" s="73" t="n"/>
      <c r="K871" s="74" t="n"/>
      <c r="L871" s="74" t="n"/>
    </row>
    <row r="872" ht="29.1" customHeight="1">
      <c r="A872" s="74" t="inlineStr">
        <is>
          <t>NPG0096</t>
        </is>
      </c>
      <c r="B872" s="74" t="inlineStr">
        <is>
          <t>Mộc nhĩ không chân</t>
        </is>
      </c>
      <c r="C872" s="74" t="n"/>
      <c r="D872" s="74" t="n"/>
      <c r="E872" s="74" t="n"/>
      <c r="F872" s="74" t="n"/>
      <c r="G872" s="74" t="inlineStr">
        <is>
          <t>kg</t>
        </is>
      </c>
      <c r="H872" s="76" t="n">
        <v>125000</v>
      </c>
      <c r="I872" s="73" t="n">
        <v>125000</v>
      </c>
      <c r="J872" s="73" t="n"/>
      <c r="K872" s="74" t="n"/>
      <c r="L872" s="74" t="n"/>
    </row>
    <row r="873" ht="29.1" customHeight="1">
      <c r="A873" s="74" t="inlineStr">
        <is>
          <t>NPG0154</t>
        </is>
      </c>
      <c r="B873" s="74" t="inlineStr">
        <is>
          <t>Vừng trắng</t>
        </is>
      </c>
      <c r="C873" s="74" t="n"/>
      <c r="D873" s="74" t="n"/>
      <c r="E873" s="74" t="n"/>
      <c r="F873" s="74" t="n"/>
      <c r="G873" s="74" t="inlineStr">
        <is>
          <t>kg</t>
        </is>
      </c>
      <c r="H873" s="76" t="n">
        <v>70000</v>
      </c>
      <c r="I873" s="73" t="n">
        <v>70000</v>
      </c>
      <c r="J873" s="73" t="n"/>
      <c r="K873" s="74" t="n"/>
      <c r="L873" s="74" t="n"/>
    </row>
    <row r="874" ht="29.1" customHeight="1">
      <c r="A874" s="74" t="inlineStr">
        <is>
          <t>NPG0155</t>
        </is>
      </c>
      <c r="B874" s="74" t="inlineStr">
        <is>
          <t>Xì dầu Tam thái tử 500ml/chai, 24 chai/thùng</t>
        </is>
      </c>
      <c r="C874" s="74" t="n"/>
      <c r="D874" s="74" t="n"/>
      <c r="E874" s="74" t="n"/>
      <c r="F874" s="74" t="n"/>
      <c r="G874" s="74" t="inlineStr">
        <is>
          <t>Chai</t>
        </is>
      </c>
      <c r="H874" s="76" t="n">
        <v>8500</v>
      </c>
      <c r="I874" s="73" t="n">
        <v>8500</v>
      </c>
      <c r="J874" s="73" t="n"/>
      <c r="K874" s="74" t="n"/>
      <c r="L874" s="74" t="n"/>
    </row>
    <row r="875" ht="29.1" customHeight="1">
      <c r="A875" s="74" t="inlineStr">
        <is>
          <t>NPG0260</t>
        </is>
      </c>
      <c r="B875" s="74" t="inlineStr">
        <is>
          <t>Đỗ xanh xát vỏ</t>
        </is>
      </c>
      <c r="C875" s="74" t="n"/>
      <c r="D875" s="74" t="n"/>
      <c r="E875" s="74" t="n"/>
      <c r="F875" s="74" t="n"/>
      <c r="G875" s="74" t="inlineStr">
        <is>
          <t>kg</t>
        </is>
      </c>
      <c r="H875" s="76" t="n">
        <v>51000</v>
      </c>
      <c r="I875" s="73" t="n">
        <v>51000</v>
      </c>
      <c r="J875" s="73" t="n"/>
      <c r="K875" s="74" t="n"/>
      <c r="L875" s="74" t="n"/>
    </row>
    <row r="876" ht="29.1" customHeight="1">
      <c r="A876" s="74" t="inlineStr">
        <is>
          <t>NPG0272</t>
        </is>
      </c>
      <c r="B876" s="74" t="inlineStr">
        <is>
          <t>Đỗ đen xanh lòng</t>
        </is>
      </c>
      <c r="C876" s="74" t="n"/>
      <c r="D876" s="74" t="n"/>
      <c r="E876" s="74" t="n"/>
      <c r="F876" s="74" t="n"/>
      <c r="G876" s="74" t="inlineStr">
        <is>
          <t>kg</t>
        </is>
      </c>
      <c r="H876" s="76" t="n">
        <v>51000</v>
      </c>
      <c r="I876" s="73" t="n">
        <v>51000</v>
      </c>
      <c r="J876" s="73" t="n"/>
      <c r="K876" s="74" t="n"/>
      <c r="L876" s="74" t="n"/>
    </row>
    <row r="877" ht="29.1" customHeight="1">
      <c r="A877" s="74" t="inlineStr">
        <is>
          <t>NPG0321</t>
        </is>
      </c>
      <c r="B877" s="74" t="inlineStr">
        <is>
          <t>Bơ Tường an 800g</t>
        </is>
      </c>
      <c r="C877" s="74" t="n"/>
      <c r="D877" s="74" t="n"/>
      <c r="E877" s="74" t="n"/>
      <c r="F877" s="74" t="n"/>
      <c r="G877" s="74" t="inlineStr">
        <is>
          <t>Hộp</t>
        </is>
      </c>
      <c r="H877" s="76" t="n">
        <v>50000</v>
      </c>
      <c r="I877" s="73" t="n">
        <v>50000</v>
      </c>
      <c r="J877" s="73" t="n"/>
      <c r="K877" s="74" t="n"/>
      <c r="L877" s="74" t="n"/>
    </row>
    <row r="878" ht="29.1" customHeight="1">
      <c r="A878" s="74" t="inlineStr">
        <is>
          <t>NPG0422</t>
        </is>
      </c>
      <c r="B878" s="74" t="inlineStr">
        <is>
          <t>Muối hạt 1kg/gói</t>
        </is>
      </c>
      <c r="C878" s="74" t="n"/>
      <c r="D878" s="74" t="n"/>
      <c r="E878" s="74" t="n"/>
      <c r="F878" s="74" t="n"/>
      <c r="G878" s="74" t="inlineStr">
        <is>
          <t>kg</t>
        </is>
      </c>
      <c r="H878" s="76" t="n">
        <v>5000</v>
      </c>
      <c r="I878" s="73" t="n">
        <v>5000</v>
      </c>
      <c r="J878" s="73" t="n"/>
      <c r="K878" s="74" t="n"/>
      <c r="L878" s="74" t="n"/>
    </row>
    <row r="879" ht="29.1" customHeight="1">
      <c r="A879" s="74" t="inlineStr">
        <is>
          <t>NPG0423</t>
        </is>
      </c>
      <c r="B879" s="74" t="inlineStr">
        <is>
          <t>Đường trắng xuất khẩu 1kg/gói</t>
        </is>
      </c>
      <c r="C879" s="74" t="n"/>
      <c r="D879" s="74" t="n"/>
      <c r="E879" s="74" t="n"/>
      <c r="F879" s="74" t="n"/>
      <c r="G879" s="74" t="inlineStr">
        <is>
          <t>kg</t>
        </is>
      </c>
      <c r="H879" s="76" t="n">
        <v>22000</v>
      </c>
      <c r="I879" s="73" t="n">
        <v>22000</v>
      </c>
      <c r="J879" s="73" t="n"/>
      <c r="K879" s="74" t="n"/>
      <c r="L879" s="74" t="n"/>
    </row>
    <row r="880" ht="29.1" customHeight="1">
      <c r="A880" s="74" t="inlineStr">
        <is>
          <t>NPG0702</t>
        </is>
      </c>
      <c r="B880" s="74" t="inlineStr">
        <is>
          <t>Bột tiêu Tây Nguyên gói 500g</t>
        </is>
      </c>
      <c r="C880" s="74" t="n"/>
      <c r="D880" s="74" t="n"/>
      <c r="E880" s="74" t="n"/>
      <c r="F880" s="74" t="n"/>
      <c r="G880" s="74" t="inlineStr">
        <is>
          <t>Gói</t>
        </is>
      </c>
      <c r="H880" s="76" t="n">
        <v>50000</v>
      </c>
      <c r="I880" s="73" t="n">
        <v>50000</v>
      </c>
      <c r="J880" s="73" t="n"/>
      <c r="K880" s="74" t="n"/>
      <c r="L880" s="74" t="n"/>
    </row>
    <row r="881" ht="29.1" customHeight="1">
      <c r="A881" s="74" t="inlineStr">
        <is>
          <t>NPG0728</t>
        </is>
      </c>
      <c r="B881" s="74" t="inlineStr">
        <is>
          <t>Đường vàng xuất khẩu 1kg/gói</t>
        </is>
      </c>
      <c r="C881" s="74" t="n"/>
      <c r="D881" s="74" t="n"/>
      <c r="E881" s="74" t="n"/>
      <c r="F881" s="74" t="n"/>
      <c r="G881" s="74" t="inlineStr">
        <is>
          <t>kg</t>
        </is>
      </c>
      <c r="H881" s="76" t="n">
        <v>22000</v>
      </c>
      <c r="I881" s="73" t="n">
        <v>22000</v>
      </c>
      <c r="J881" s="73" t="n"/>
      <c r="K881" s="74" t="n"/>
      <c r="L881" s="74" t="n"/>
    </row>
    <row r="882" ht="29.1" customHeight="1">
      <c r="A882" s="74" t="inlineStr">
        <is>
          <t>NPG0808</t>
        </is>
      </c>
      <c r="B882" s="74" t="inlineStr">
        <is>
          <t>Hành khô ta</t>
        </is>
      </c>
      <c r="C882" s="74" t="n"/>
      <c r="D882" s="74" t="n"/>
      <c r="E882" s="74" t="n"/>
      <c r="F882" s="74" t="n"/>
      <c r="G882" s="74" t="inlineStr">
        <is>
          <t>kg</t>
        </is>
      </c>
      <c r="H882" s="76" t="n">
        <v>30000</v>
      </c>
      <c r="I882" s="73" t="n">
        <v>30000</v>
      </c>
      <c r="J882" s="73" t="n"/>
      <c r="K882" s="74" t="n"/>
      <c r="L882" s="74" t="n"/>
    </row>
    <row r="883" ht="29.1" customHeight="1">
      <c r="A883" s="74" t="inlineStr">
        <is>
          <t>NPG0930</t>
        </is>
      </c>
      <c r="B883" s="74" t="inlineStr">
        <is>
          <t>Bột canh Vifa 900g/gói</t>
        </is>
      </c>
      <c r="C883" s="74" t="n"/>
      <c r="D883" s="74" t="n"/>
      <c r="E883" s="74" t="n"/>
      <c r="F883" s="74" t="n"/>
      <c r="G883" s="74" t="inlineStr">
        <is>
          <t>Gói</t>
        </is>
      </c>
      <c r="H883" s="76" t="n">
        <v>18000</v>
      </c>
      <c r="I883" s="73" t="n">
        <v>18000</v>
      </c>
      <c r="J883" s="73" t="n"/>
      <c r="K883" s="74" t="n"/>
      <c r="L883" s="74" t="n"/>
    </row>
    <row r="884" ht="29.1" customHeight="1">
      <c r="A884" s="74" t="inlineStr">
        <is>
          <t>NPV0012</t>
        </is>
      </c>
      <c r="B884" s="74" t="inlineStr">
        <is>
          <t>Giấy ăn kg</t>
        </is>
      </c>
      <c r="C884" s="74" t="n"/>
      <c r="D884" s="74" t="n"/>
      <c r="E884" s="74" t="n"/>
      <c r="F884" s="74" t="n"/>
      <c r="G884" s="74" t="inlineStr">
        <is>
          <t>kg</t>
        </is>
      </c>
      <c r="H884" s="76" t="n">
        <v>30000</v>
      </c>
      <c r="I884" s="73" t="n">
        <v>30000</v>
      </c>
      <c r="J884" s="73" t="n"/>
      <c r="K884" s="74" t="n"/>
      <c r="L884" s="74" t="n"/>
    </row>
    <row r="885" ht="29.1" customHeight="1">
      <c r="A885" s="74" t="inlineStr">
        <is>
          <t>NPV0045</t>
        </is>
      </c>
      <c r="B885" s="74" t="inlineStr">
        <is>
          <t>Tăm kg</t>
        </is>
      </c>
      <c r="C885" s="74" t="n"/>
      <c r="D885" s="74" t="n"/>
      <c r="E885" s="74" t="n"/>
      <c r="F885" s="74" t="n"/>
      <c r="G885" s="74" t="inlineStr">
        <is>
          <t>kg</t>
        </is>
      </c>
      <c r="H885" s="76" t="n">
        <v>65000</v>
      </c>
      <c r="I885" s="73" t="n">
        <v>65000</v>
      </c>
      <c r="J885" s="73" t="n"/>
      <c r="K885" s="74" t="n"/>
      <c r="L885" s="74" t="n"/>
    </row>
    <row r="886" ht="29.1" customHeight="1">
      <c r="A886" s="74" t="inlineStr">
        <is>
          <t>NPV0067</t>
        </is>
      </c>
      <c r="B886" s="74" t="inlineStr">
        <is>
          <t>Găng tay y tế 100 đôi/hộp</t>
        </is>
      </c>
      <c r="C886" s="74" t="n"/>
      <c r="D886" s="74" t="n"/>
      <c r="E886" s="74" t="n"/>
      <c r="F886" s="74" t="n"/>
      <c r="G886" s="74" t="inlineStr">
        <is>
          <t>Hộp</t>
        </is>
      </c>
      <c r="H886" s="76" t="n">
        <v>100000</v>
      </c>
      <c r="I886" s="73" t="n">
        <v>100000</v>
      </c>
      <c r="J886" s="73" t="n"/>
      <c r="K886" s="74" t="n"/>
      <c r="L886" s="74" t="n"/>
    </row>
    <row r="887" ht="29.1" customHeight="1">
      <c r="A887" s="74" t="inlineStr">
        <is>
          <t>NLQ0014</t>
        </is>
      </c>
      <c r="B887" s="74" t="inlineStr">
        <is>
          <t>Quả lê</t>
        </is>
      </c>
      <c r="C887" s="74" t="n"/>
      <c r="D887" s="74" t="n"/>
      <c r="E887" s="74" t="n"/>
      <c r="F887" s="74" t="n"/>
      <c r="G887" s="74" t="inlineStr">
        <is>
          <t>kg</t>
        </is>
      </c>
      <c r="H887" s="76" t="n">
        <v>30000</v>
      </c>
      <c r="I887" s="73" t="n">
        <v>30000</v>
      </c>
      <c r="J887" s="73" t="n"/>
      <c r="K887" s="74" t="n"/>
      <c r="L887" s="74" t="n"/>
    </row>
    <row r="888" ht="29.1" customHeight="1">
      <c r="A888" s="74" t="inlineStr">
        <is>
          <t>NLQ0040</t>
        </is>
      </c>
      <c r="B888" s="74" t="inlineStr">
        <is>
          <t>Bưởi da xanh</t>
        </is>
      </c>
      <c r="C888" s="74" t="n"/>
      <c r="D888" s="74" t="n"/>
      <c r="E888" s="74" t="n"/>
      <c r="F888" s="74" t="n"/>
      <c r="G888" s="74" t="inlineStr">
        <is>
          <t>kg</t>
        </is>
      </c>
      <c r="H888" s="76" t="n">
        <v>40000</v>
      </c>
      <c r="I888" s="73" t="n">
        <v>40000</v>
      </c>
      <c r="J888" s="73" t="n"/>
      <c r="K888" s="74" t="n"/>
      <c r="L888" s="74" t="n"/>
    </row>
    <row r="889" ht="29.1" customHeight="1">
      <c r="A889" s="74" t="inlineStr">
        <is>
          <t>NLR0007</t>
        </is>
      </c>
      <c r="B889" s="74" t="inlineStr">
        <is>
          <t>Bí đỏ tròn</t>
        </is>
      </c>
      <c r="C889" s="74" t="n"/>
      <c r="D889" s="74" t="n"/>
      <c r="E889" s="74" t="n"/>
      <c r="F889" s="74" t="n"/>
      <c r="G889" s="74" t="inlineStr">
        <is>
          <t>kg</t>
        </is>
      </c>
      <c r="H889" s="76" t="n">
        <v>8000</v>
      </c>
      <c r="I889" s="73" t="n">
        <v>8000</v>
      </c>
      <c r="J889" s="73" t="n"/>
      <c r="K889" s="74" t="n"/>
      <c r="L889" s="74" t="n"/>
    </row>
    <row r="890" ht="29.1" customHeight="1">
      <c r="A890" s="74" t="inlineStr">
        <is>
          <t>NLR0008</t>
        </is>
      </c>
      <c r="B890" s="74" t="inlineStr">
        <is>
          <t>Bí đỏ dài</t>
        </is>
      </c>
      <c r="C890" s="74" t="n"/>
      <c r="D890" s="74" t="n"/>
      <c r="E890" s="74" t="n"/>
      <c r="F890" s="74" t="n"/>
      <c r="G890" s="74" t="inlineStr">
        <is>
          <t>kg</t>
        </is>
      </c>
      <c r="H890" s="76" t="n">
        <v>8000</v>
      </c>
      <c r="I890" s="73" t="n">
        <v>8000</v>
      </c>
      <c r="J890" s="73" t="n"/>
      <c r="K890" s="74" t="n"/>
      <c r="L890" s="74" t="n"/>
    </row>
    <row r="891" ht="29.1" customHeight="1">
      <c r="A891" s="74" t="inlineStr">
        <is>
          <t>NLR0046</t>
        </is>
      </c>
      <c r="B891" s="74" t="inlineStr">
        <is>
          <t>Củ dền đỏ</t>
        </is>
      </c>
      <c r="C891" s="74" t="n"/>
      <c r="D891" s="74" t="n"/>
      <c r="E891" s="74" t="n"/>
      <c r="F891" s="74" t="n"/>
      <c r="G891" s="74" t="inlineStr">
        <is>
          <t>kg</t>
        </is>
      </c>
      <c r="H891" s="76" t="n">
        <v>27500</v>
      </c>
      <c r="I891" s="73" t="n">
        <v>27500</v>
      </c>
      <c r="J891" s="73" t="n"/>
      <c r="K891" s="74" t="n"/>
      <c r="L891" s="74" t="n"/>
    </row>
    <row r="892" ht="29.1" customHeight="1">
      <c r="A892" s="74" t="inlineStr">
        <is>
          <t>NLR0057</t>
        </is>
      </c>
      <c r="B892" s="74" t="inlineStr">
        <is>
          <t>Dứa xanh sơ chế (kg)</t>
        </is>
      </c>
      <c r="C892" s="74" t="n"/>
      <c r="D892" s="74" t="n"/>
      <c r="E892" s="74" t="n"/>
      <c r="F892" s="74" t="n"/>
      <c r="G892" s="74" t="inlineStr">
        <is>
          <t>kg</t>
        </is>
      </c>
      <c r="H892" s="76" t="n">
        <v>26000</v>
      </c>
      <c r="I892" s="73" t="n">
        <v>26000</v>
      </c>
      <c r="J892" s="73" t="n"/>
      <c r="K892" s="74" t="n"/>
      <c r="L892" s="74" t="n"/>
    </row>
    <row r="893" ht="29.1" customHeight="1">
      <c r="A893" s="74" t="inlineStr">
        <is>
          <t>NLR0087</t>
        </is>
      </c>
      <c r="B893" s="74" t="inlineStr">
        <is>
          <t>Hoa chuối</t>
        </is>
      </c>
      <c r="C893" s="74" t="n"/>
      <c r="D893" s="74" t="n"/>
      <c r="E893" s="74" t="n"/>
      <c r="F893" s="74" t="n"/>
      <c r="G893" s="74" t="inlineStr">
        <is>
          <t>kg</t>
        </is>
      </c>
      <c r="H893" s="76" t="n">
        <v>20000</v>
      </c>
      <c r="I893" s="73" t="n">
        <v>20000</v>
      </c>
      <c r="J893" s="73" t="n"/>
      <c r="K893" s="74" t="n"/>
      <c r="L893" s="74" t="n"/>
    </row>
    <row r="894" ht="29.1" customHeight="1">
      <c r="A894" s="74" t="inlineStr">
        <is>
          <t>NLR0088</t>
        </is>
      </c>
      <c r="B894" s="74" t="inlineStr">
        <is>
          <t>Hoa chuối thái sợi</t>
        </is>
      </c>
      <c r="C894" s="74" t="n"/>
      <c r="D894" s="74" t="n"/>
      <c r="E894" s="74" t="n"/>
      <c r="F894" s="74" t="n"/>
      <c r="G894" s="74" t="inlineStr">
        <is>
          <t>kg</t>
        </is>
      </c>
      <c r="H894" s="76" t="n">
        <v>30000</v>
      </c>
      <c r="I894" s="73" t="n">
        <v>30000</v>
      </c>
      <c r="J894" s="73" t="n"/>
      <c r="K894" s="74" t="n"/>
      <c r="L894" s="74" t="n"/>
    </row>
    <row r="895" ht="29.1" customHeight="1">
      <c r="A895" s="74" t="inlineStr">
        <is>
          <t>NLR0095</t>
        </is>
      </c>
      <c r="B895" s="74" t="inlineStr">
        <is>
          <t>Khoai lang ruột vàng</t>
        </is>
      </c>
      <c r="C895" s="74" t="n"/>
      <c r="D895" s="74" t="n"/>
      <c r="E895" s="74" t="n"/>
      <c r="F895" s="74" t="n"/>
      <c r="G895" s="74" t="inlineStr">
        <is>
          <t>kg</t>
        </is>
      </c>
      <c r="H895" s="76" t="n">
        <v>17000</v>
      </c>
      <c r="I895" s="73" t="n">
        <v>17000</v>
      </c>
      <c r="J895" s="73" t="n"/>
      <c r="K895" s="74" t="n"/>
      <c r="L895" s="74" t="n"/>
    </row>
    <row r="896" ht="29.1" customHeight="1">
      <c r="A896" s="74" t="inlineStr">
        <is>
          <t>NLR0098</t>
        </is>
      </c>
      <c r="B896" s="74" t="inlineStr">
        <is>
          <t>Khoai sọ</t>
        </is>
      </c>
      <c r="C896" s="74" t="n"/>
      <c r="D896" s="74" t="n"/>
      <c r="E896" s="74" t="n"/>
      <c r="F896" s="74" t="n"/>
      <c r="G896" s="74" t="inlineStr">
        <is>
          <t>kg</t>
        </is>
      </c>
      <c r="H896" s="76" t="n">
        <v>20000</v>
      </c>
      <c r="I896" s="73" t="n">
        <v>20000</v>
      </c>
      <c r="J896" s="73" t="n"/>
      <c r="K896" s="74" t="n"/>
      <c r="L896" s="74" t="n"/>
    </row>
    <row r="897" ht="29.1" customHeight="1">
      <c r="A897" s="74" t="inlineStr">
        <is>
          <t>NLR0104</t>
        </is>
      </c>
      <c r="B897" s="74" t="inlineStr">
        <is>
          <t>Lá lốt không cành kg</t>
        </is>
      </c>
      <c r="C897" s="74" t="n"/>
      <c r="D897" s="74" t="n"/>
      <c r="E897" s="74" t="n"/>
      <c r="F897" s="74" t="n"/>
      <c r="G897" s="74" t="inlineStr">
        <is>
          <t>kg</t>
        </is>
      </c>
      <c r="H897" s="76" t="n">
        <v>20000</v>
      </c>
      <c r="I897" s="73" t="n">
        <v>20000</v>
      </c>
      <c r="J897" s="73" t="n"/>
      <c r="K897" s="74" t="n"/>
      <c r="L897" s="74" t="n"/>
    </row>
    <row r="898" ht="29.1" customHeight="1">
      <c r="A898" s="74" t="inlineStr">
        <is>
          <t>NLR0117</t>
        </is>
      </c>
      <c r="B898" s="74" t="inlineStr">
        <is>
          <t>Mướp đắng</t>
        </is>
      </c>
      <c r="C898" s="74" t="n"/>
      <c r="D898" s="74" t="n"/>
      <c r="E898" s="74" t="n"/>
      <c r="F898" s="74" t="n"/>
      <c r="G898" s="74" t="inlineStr">
        <is>
          <t>kg</t>
        </is>
      </c>
      <c r="H898" s="76" t="n">
        <v>15000</v>
      </c>
      <c r="I898" s="73" t="n">
        <v>15000</v>
      </c>
      <c r="J898" s="73" t="n"/>
      <c r="K898" s="74" t="n"/>
      <c r="L898" s="74" t="n"/>
    </row>
    <row r="899" ht="29.1" customHeight="1">
      <c r="A899" s="74" t="inlineStr">
        <is>
          <t>NLR0127</t>
        </is>
      </c>
      <c r="B899" s="74" t="inlineStr">
        <is>
          <t>Nghệ củ</t>
        </is>
      </c>
      <c r="C899" s="74" t="n"/>
      <c r="D899" s="74" t="n"/>
      <c r="E899" s="74" t="n"/>
      <c r="F899" s="74" t="n"/>
      <c r="G899" s="74" t="inlineStr">
        <is>
          <t>kg</t>
        </is>
      </c>
      <c r="H899" s="76" t="n">
        <v>30000</v>
      </c>
      <c r="I899" s="73" t="n">
        <v>30000</v>
      </c>
      <c r="J899" s="73" t="n"/>
      <c r="K899" s="74" t="n"/>
      <c r="L899" s="74" t="n"/>
    </row>
    <row r="900" ht="29.1" customHeight="1">
      <c r="A900" s="74" t="inlineStr">
        <is>
          <t>NLR0133</t>
        </is>
      </c>
      <c r="B900" s="74" t="inlineStr">
        <is>
          <t>Ngô nếp bắp</t>
        </is>
      </c>
      <c r="C900" s="74" t="n"/>
      <c r="D900" s="74" t="n"/>
      <c r="E900" s="74" t="n"/>
      <c r="F900" s="74" t="n"/>
      <c r="G900" s="74" t="inlineStr">
        <is>
          <t>Bắp</t>
        </is>
      </c>
      <c r="H900" s="76" t="n">
        <v>11000</v>
      </c>
      <c r="I900" s="73" t="n">
        <v>11000</v>
      </c>
      <c r="J900" s="73" t="n"/>
      <c r="K900" s="74" t="n"/>
      <c r="L900" s="74" t="n"/>
    </row>
    <row r="901" ht="29.1" customHeight="1">
      <c r="A901" s="74" t="inlineStr">
        <is>
          <t>NLR0136</t>
        </is>
      </c>
      <c r="B901" s="74" t="inlineStr">
        <is>
          <t>Ngô ngọt (bắp)</t>
        </is>
      </c>
      <c r="C901" s="74" t="n"/>
      <c r="D901" s="74" t="n"/>
      <c r="E901" s="74" t="n"/>
      <c r="F901" s="74" t="n"/>
      <c r="G901" s="74" t="inlineStr">
        <is>
          <t>Bắp</t>
        </is>
      </c>
      <c r="H901" s="76" t="n">
        <v>11000</v>
      </c>
      <c r="I901" s="73" t="n">
        <v>11000</v>
      </c>
      <c r="J901" s="73" t="n"/>
      <c r="K901" s="74" t="n"/>
      <c r="L901" s="74" t="n"/>
    </row>
    <row r="902" ht="29.1" customHeight="1">
      <c r="A902" s="74" t="inlineStr">
        <is>
          <t>NLR0532</t>
        </is>
      </c>
      <c r="B902" s="74" t="inlineStr">
        <is>
          <t>Ngô ngọt kg</t>
        </is>
      </c>
      <c r="C902" s="74" t="n"/>
      <c r="D902" s="74" t="n"/>
      <c r="E902" s="74" t="n"/>
      <c r="F902" s="74" t="n"/>
      <c r="G902" s="74" t="inlineStr">
        <is>
          <t>kg</t>
        </is>
      </c>
      <c r="H902" s="76" t="n">
        <v>24000</v>
      </c>
      <c r="I902" s="73" t="n">
        <v>24000</v>
      </c>
      <c r="J902" s="73" t="n"/>
      <c r="K902" s="74" t="n"/>
      <c r="L902" s="74" t="n"/>
    </row>
    <row r="903" ht="29.1" customHeight="1">
      <c r="A903" s="74" t="inlineStr">
        <is>
          <t>NLR0144</t>
        </is>
      </c>
      <c r="B903" s="74" t="inlineStr">
        <is>
          <t>Húng bạc hà</t>
        </is>
      </c>
      <c r="C903" s="74" t="n"/>
      <c r="D903" s="74" t="n"/>
      <c r="E903" s="74" t="n"/>
      <c r="F903" s="74" t="n"/>
      <c r="G903" s="74" t="inlineStr">
        <is>
          <t>kg</t>
        </is>
      </c>
      <c r="H903" s="76" t="n">
        <v>25000</v>
      </c>
      <c r="I903" s="73" t="n">
        <v>25000</v>
      </c>
      <c r="J903" s="73" t="n"/>
      <c r="K903" s="74" t="n"/>
      <c r="L903" s="74" t="n"/>
    </row>
    <row r="904" ht="29.1" customHeight="1">
      <c r="A904" s="74" t="inlineStr">
        <is>
          <t>NLR0157</t>
        </is>
      </c>
      <c r="B904" s="74" t="inlineStr">
        <is>
          <t>Rau ngót</t>
        </is>
      </c>
      <c r="C904" s="74" t="n"/>
      <c r="D904" s="74" t="n"/>
      <c r="E904" s="74" t="n"/>
      <c r="F904" s="74" t="n"/>
      <c r="G904" s="74" t="inlineStr">
        <is>
          <t>kg</t>
        </is>
      </c>
      <c r="H904" s="76" t="n">
        <v>14000</v>
      </c>
      <c r="I904" s="73" t="n">
        <v>14000</v>
      </c>
      <c r="J904" s="73" t="n"/>
      <c r="K904" s="74" t="n"/>
      <c r="L904" s="74" t="n"/>
    </row>
    <row r="905" ht="29.1" customHeight="1">
      <c r="A905" s="74" t="inlineStr">
        <is>
          <t>NLR0181</t>
        </is>
      </c>
      <c r="B905" s="74" t="inlineStr">
        <is>
          <t>Rau xà lách xoăn</t>
        </is>
      </c>
      <c r="C905" s="74" t="n"/>
      <c r="D905" s="74" t="n"/>
      <c r="E905" s="74" t="n"/>
      <c r="F905" s="74" t="n"/>
      <c r="G905" s="74" t="inlineStr">
        <is>
          <t>kg</t>
        </is>
      </c>
      <c r="H905" s="76" t="n">
        <v>20000</v>
      </c>
      <c r="I905" s="73" t="n">
        <v>20000</v>
      </c>
      <c r="J905" s="73" t="n"/>
      <c r="K905" s="74" t="n"/>
      <c r="L905" s="74" t="n"/>
    </row>
    <row r="906" ht="29.1" customHeight="1">
      <c r="A906" s="74" t="inlineStr">
        <is>
          <t>NLR0186</t>
        </is>
      </c>
      <c r="B906" s="74" t="inlineStr">
        <is>
          <t>Lá chè tươi</t>
        </is>
      </c>
      <c r="C906" s="74" t="n"/>
      <c r="D906" s="74" t="n"/>
      <c r="E906" s="74" t="n"/>
      <c r="F906" s="74" t="n"/>
      <c r="G906" s="74" t="inlineStr">
        <is>
          <t>kg</t>
        </is>
      </c>
      <c r="H906" s="76" t="n">
        <v>20000</v>
      </c>
      <c r="I906" s="73" t="n">
        <v>20000</v>
      </c>
      <c r="J906" s="73" t="n"/>
      <c r="K906" s="74" t="n"/>
      <c r="L906" s="74" t="n"/>
    </row>
    <row r="907" ht="29.1" customHeight="1">
      <c r="A907" s="74" t="inlineStr">
        <is>
          <t>NLR0014</t>
        </is>
      </c>
      <c r="B907" s="74" t="inlineStr">
        <is>
          <t>Cà chua bi</t>
        </is>
      </c>
      <c r="C907" s="74" t="n"/>
      <c r="D907" s="74" t="n"/>
      <c r="E907" s="74" t="n"/>
      <c r="F907" s="74" t="n"/>
      <c r="G907" s="74" t="inlineStr">
        <is>
          <t>kg</t>
        </is>
      </c>
      <c r="H907" s="76" t="n">
        <v>30000</v>
      </c>
      <c r="I907" s="73" t="n">
        <v>30000</v>
      </c>
      <c r="J907" s="73" t="n"/>
      <c r="K907" s="74" t="n"/>
      <c r="L907" s="74" t="n"/>
    </row>
    <row r="908" ht="29.1" customHeight="1">
      <c r="A908" s="74" t="inlineStr">
        <is>
          <t>NLR0015</t>
        </is>
      </c>
      <c r="B908" s="74" t="inlineStr">
        <is>
          <t>Cà pháo</t>
        </is>
      </c>
      <c r="C908" s="74" t="n"/>
      <c r="D908" s="74" t="n"/>
      <c r="E908" s="74" t="n"/>
      <c r="F908" s="74" t="n"/>
      <c r="G908" s="74" t="inlineStr">
        <is>
          <t>kg</t>
        </is>
      </c>
      <c r="H908" s="76" t="n">
        <v>14000</v>
      </c>
      <c r="I908" s="73" t="n">
        <v>14000</v>
      </c>
      <c r="J908" s="73" t="n"/>
      <c r="K908" s="74" t="n"/>
      <c r="L908" s="74" t="n"/>
    </row>
    <row r="909" ht="29.1" customHeight="1">
      <c r="A909" s="74" t="inlineStr">
        <is>
          <t>NLR0185</t>
        </is>
      </c>
      <c r="B909" s="74" t="inlineStr">
        <is>
          <t>Húng rũi</t>
        </is>
      </c>
      <c r="C909" s="74" t="n"/>
      <c r="D909" s="74" t="n"/>
      <c r="E909" s="74" t="n"/>
      <c r="F909" s="74" t="n"/>
      <c r="G909" s="74" t="inlineStr">
        <is>
          <t>kg</t>
        </is>
      </c>
      <c r="H909" s="76" t="n">
        <v>30000</v>
      </c>
      <c r="I909" s="73" t="n">
        <v>30000</v>
      </c>
      <c r="J909" s="73" t="n"/>
      <c r="K909" s="74" t="n"/>
      <c r="L909" s="74" t="n"/>
    </row>
    <row r="910" ht="29.1" customHeight="1">
      <c r="A910" s="74" t="inlineStr">
        <is>
          <t>NLS0007</t>
        </is>
      </c>
      <c r="B910" s="74" t="inlineStr">
        <is>
          <t>Cá chép sơ chế bỏ đầu 0.8-1kg</t>
        </is>
      </c>
      <c r="C910" s="74" t="n"/>
      <c r="D910" s="74" t="n"/>
      <c r="E910" s="74" t="n"/>
      <c r="F910" s="74" t="n"/>
      <c r="G910" s="74" t="inlineStr">
        <is>
          <t>kg</t>
        </is>
      </c>
      <c r="H910" s="76" t="n">
        <v>65000</v>
      </c>
      <c r="I910" s="73" t="n">
        <v>65000</v>
      </c>
      <c r="J910" s="73" t="n"/>
      <c r="K910" s="74" t="n"/>
      <c r="L910" s="74" t="n"/>
    </row>
    <row r="911" ht="29.1" customHeight="1">
      <c r="A911" s="74" t="inlineStr">
        <is>
          <t>NLS0013</t>
        </is>
      </c>
      <c r="B911" s="74" t="inlineStr">
        <is>
          <t>Cá chim sơ chế bỏ đầu 0,8-1kg/con</t>
        </is>
      </c>
      <c r="C911" s="74" t="n"/>
      <c r="D911" s="74" t="n"/>
      <c r="E911" s="74" t="n"/>
      <c r="F911" s="74" t="n"/>
      <c r="G911" s="74" t="inlineStr">
        <is>
          <t>kg</t>
        </is>
      </c>
      <c r="H911" s="76" t="n">
        <v>46000</v>
      </c>
      <c r="I911" s="73" t="n">
        <v>46000</v>
      </c>
      <c r="J911" s="73" t="n"/>
      <c r="K911" s="74" t="n"/>
      <c r="L911" s="74" t="n"/>
    </row>
    <row r="912" ht="29.1" customHeight="1">
      <c r="A912" s="74" t="inlineStr">
        <is>
          <t>NLS0134</t>
        </is>
      </c>
      <c r="B912" s="74" t="inlineStr">
        <is>
          <t>Cá rô phi sơ chế còn đầu 0.8-1kg</t>
        </is>
      </c>
      <c r="C912" s="74" t="n"/>
      <c r="D912" s="74" t="n"/>
      <c r="E912" s="74" t="n"/>
      <c r="F912" s="74" t="n"/>
      <c r="G912" s="74" t="inlineStr">
        <is>
          <t>kg</t>
        </is>
      </c>
      <c r="H912" s="76" t="n">
        <v>45000</v>
      </c>
      <c r="I912" s="73" t="n">
        <v>45000</v>
      </c>
      <c r="J912" s="73" t="n"/>
      <c r="K912" s="74" t="n"/>
      <c r="L912" s="74" t="n"/>
    </row>
    <row r="913" ht="29.1" customHeight="1">
      <c r="A913" s="74" t="inlineStr">
        <is>
          <t>NLT0041</t>
        </is>
      </c>
      <c r="B913" s="74" t="inlineStr">
        <is>
          <t>Tim lợn</t>
        </is>
      </c>
      <c r="C913" s="74" t="n"/>
      <c r="D913" s="74" t="n"/>
      <c r="E913" s="74" t="n"/>
      <c r="F913" s="74" t="n"/>
      <c r="G913" s="74" t="inlineStr">
        <is>
          <t>kg</t>
        </is>
      </c>
      <c r="H913" s="76" t="n">
        <v>245000</v>
      </c>
      <c r="I913" s="73" t="n">
        <v>245000</v>
      </c>
      <c r="J913" s="73" t="n"/>
      <c r="K913" s="74" t="n"/>
      <c r="L913" s="74" t="n"/>
    </row>
    <row r="914" ht="29.1" customHeight="1">
      <c r="A914" s="74" t="inlineStr">
        <is>
          <t>NLT0049</t>
        </is>
      </c>
      <c r="B914" s="74" t="inlineStr">
        <is>
          <t>Thịt bê</t>
        </is>
      </c>
      <c r="C914" s="74" t="n"/>
      <c r="D914" s="74" t="n"/>
      <c r="E914" s="74" t="n"/>
      <c r="F914" s="74" t="n"/>
      <c r="G914" s="74" t="inlineStr">
        <is>
          <t>kg</t>
        </is>
      </c>
      <c r="H914" s="76" t="n">
        <v>230000</v>
      </c>
      <c r="I914" s="73" t="n">
        <v>230000</v>
      </c>
      <c r="J914" s="73" t="n"/>
      <c r="K914" s="74" t="n"/>
      <c r="L914" s="74" t="n"/>
    </row>
    <row r="915" ht="29.1" customHeight="1">
      <c r="A915" s="74" t="inlineStr">
        <is>
          <t>NLT0055</t>
        </is>
      </c>
      <c r="B915" s="74" t="inlineStr">
        <is>
          <t>Thịt bò mông</t>
        </is>
      </c>
      <c r="C915" s="74" t="n"/>
      <c r="D915" s="74" t="n"/>
      <c r="E915" s="74" t="n"/>
      <c r="F915" s="74" t="n"/>
      <c r="G915" s="74" t="inlineStr">
        <is>
          <t>kg</t>
        </is>
      </c>
      <c r="H915" s="76" t="n">
        <v>285000</v>
      </c>
      <c r="I915" s="73" t="n">
        <v>285000</v>
      </c>
      <c r="J915" s="73" t="n"/>
      <c r="K915" s="74" t="n"/>
      <c r="L915" s="74" t="n"/>
    </row>
    <row r="916" ht="29.1" customHeight="1">
      <c r="A916" s="74" t="inlineStr">
        <is>
          <t>NLT0080</t>
        </is>
      </c>
      <c r="B916" s="74" t="inlineStr">
        <is>
          <t>Thịt nạc mông</t>
        </is>
      </c>
      <c r="C916" s="74" t="n"/>
      <c r="D916" s="74" t="n"/>
      <c r="E916" s="74" t="n"/>
      <c r="F916" s="74" t="n"/>
      <c r="G916" s="74" t="inlineStr">
        <is>
          <t>kg</t>
        </is>
      </c>
      <c r="H916" s="76" t="n">
        <v>113000</v>
      </c>
      <c r="I916" s="73" t="n">
        <v>113000</v>
      </c>
      <c r="J916" s="73" t="n"/>
      <c r="K916" s="74" t="n"/>
      <c r="L916" s="74" t="n"/>
    </row>
    <row r="917" ht="29.1" customHeight="1">
      <c r="A917" s="74" t="inlineStr">
        <is>
          <t>NLT0083</t>
        </is>
      </c>
      <c r="B917" s="74" t="inlineStr">
        <is>
          <t>Thịt nạc xay</t>
        </is>
      </c>
      <c r="C917" s="74" t="n"/>
      <c r="D917" s="74" t="n"/>
      <c r="E917" s="74" t="n"/>
      <c r="F917" s="74" t="n"/>
      <c r="G917" s="74" t="inlineStr">
        <is>
          <t>kg</t>
        </is>
      </c>
      <c r="H917" s="76" t="n">
        <v>100000</v>
      </c>
      <c r="I917" s="73" t="n">
        <v>100000</v>
      </c>
      <c r="J917" s="73" t="n"/>
      <c r="K917" s="74" t="n"/>
      <c r="L917" s="74" t="n"/>
    </row>
    <row r="918" ht="29.1" customHeight="1">
      <c r="A918" s="74" t="inlineStr">
        <is>
          <t>NLT0095</t>
        </is>
      </c>
      <c r="B918" s="74" t="inlineStr">
        <is>
          <t>Thịt vịt làm sạch nguyên con 2.2 - 2.8 kg/con</t>
        </is>
      </c>
      <c r="C918" s="74" t="n"/>
      <c r="D918" s="74" t="n"/>
      <c r="E918" s="74" t="n"/>
      <c r="F918" s="74" t="n"/>
      <c r="G918" s="74" t="inlineStr">
        <is>
          <t>kg</t>
        </is>
      </c>
      <c r="H918" s="76" t="n">
        <v>72000</v>
      </c>
      <c r="I918" s="73" t="n">
        <v>72000</v>
      </c>
      <c r="J918" s="73" t="n"/>
      <c r="K918" s="74" t="n"/>
      <c r="L918" s="74" t="n"/>
    </row>
    <row r="919" ht="29.1" customHeight="1">
      <c r="A919" s="74" t="inlineStr">
        <is>
          <t>NLT0106</t>
        </is>
      </c>
      <c r="B919" s="74" t="inlineStr">
        <is>
          <t>Ức gà</t>
        </is>
      </c>
      <c r="C919" s="74" t="n"/>
      <c r="D919" s="74" t="n"/>
      <c r="E919" s="74" t="n"/>
      <c r="F919" s="74" t="n"/>
      <c r="G919" s="74" t="inlineStr">
        <is>
          <t>kg</t>
        </is>
      </c>
      <c r="H919" s="76" t="n">
        <v>49000</v>
      </c>
      <c r="I919" s="73" t="n">
        <v>49000</v>
      </c>
      <c r="J919" s="73" t="n"/>
      <c r="K919" s="74" t="n"/>
      <c r="L919" s="74" t="n"/>
    </row>
    <row r="920" ht="29.1" customHeight="1">
      <c r="A920" s="74" t="inlineStr">
        <is>
          <t>NLT0114</t>
        </is>
      </c>
      <c r="B920" s="74" t="inlineStr">
        <is>
          <t>Xương ống bò</t>
        </is>
      </c>
      <c r="C920" s="74" t="n"/>
      <c r="D920" s="74" t="n"/>
      <c r="E920" s="74" t="n"/>
      <c r="F920" s="74" t="n"/>
      <c r="G920" s="74" t="inlineStr">
        <is>
          <t>kg</t>
        </is>
      </c>
      <c r="H920" s="76" t="n">
        <v>30000</v>
      </c>
      <c r="I920" s="73" t="n">
        <v>30000</v>
      </c>
      <c r="J920" s="73" t="n"/>
      <c r="K920" s="74" t="n"/>
      <c r="L920" s="74" t="n"/>
    </row>
    <row r="921" ht="29.1" customHeight="1">
      <c r="A921" s="74" t="inlineStr">
        <is>
          <t>NLT0117</t>
        </is>
      </c>
      <c r="B921" s="74" t="inlineStr">
        <is>
          <t>Mề gà</t>
        </is>
      </c>
      <c r="C921" s="74" t="n"/>
      <c r="D921" s="74" t="n"/>
      <c r="E921" s="74" t="n"/>
      <c r="F921" s="74" t="n"/>
      <c r="G921" s="74" t="inlineStr">
        <is>
          <t>kg</t>
        </is>
      </c>
      <c r="H921" s="76" t="n">
        <v>55000</v>
      </c>
      <c r="I921" s="73" t="n">
        <v>55000</v>
      </c>
      <c r="J921" s="73" t="n"/>
      <c r="K921" s="74" t="n"/>
      <c r="L921" s="74" t="n"/>
    </row>
    <row r="922" ht="29.1" customHeight="1">
      <c r="A922" s="74" t="inlineStr">
        <is>
          <t>NLT0130</t>
        </is>
      </c>
      <c r="B922" s="74" t="inlineStr">
        <is>
          <t>Thăn bò tươi</t>
        </is>
      </c>
      <c r="C922" s="74" t="n"/>
      <c r="D922" s="74" t="n"/>
      <c r="E922" s="74" t="n"/>
      <c r="F922" s="74" t="n"/>
      <c r="G922" s="74" t="inlineStr">
        <is>
          <t>kg</t>
        </is>
      </c>
      <c r="H922" s="76" t="n">
        <v>250000</v>
      </c>
      <c r="I922" s="73" t="n">
        <v>250000</v>
      </c>
      <c r="J922" s="73" t="n"/>
      <c r="K922" s="74" t="n"/>
      <c r="L922" s="74" t="n"/>
    </row>
    <row r="923" ht="29.1" customHeight="1">
      <c r="A923" s="74" t="inlineStr">
        <is>
          <t>NLT0164</t>
        </is>
      </c>
      <c r="B923" s="74" t="inlineStr">
        <is>
          <t>Chả Quế</t>
        </is>
      </c>
      <c r="C923" s="74" t="n"/>
      <c r="D923" s="74" t="n"/>
      <c r="E923" s="74" t="n"/>
      <c r="F923" s="74" t="n"/>
      <c r="G923" s="74" t="inlineStr">
        <is>
          <t>kg</t>
        </is>
      </c>
      <c r="H923" s="76" t="n">
        <v>90000</v>
      </c>
      <c r="I923" s="73" t="n">
        <v>90000</v>
      </c>
      <c r="J923" s="73" t="n"/>
      <c r="K923" s="74" t="n"/>
      <c r="L923" s="74" t="n"/>
    </row>
    <row r="924" ht="29.1" customHeight="1">
      <c r="A924" s="74" t="inlineStr">
        <is>
          <t>NLT0585</t>
        </is>
      </c>
      <c r="B924" s="74" t="inlineStr">
        <is>
          <t>Giò lụa Loại 1</t>
        </is>
      </c>
      <c r="C924" s="74" t="n"/>
      <c r="D924" s="74" t="n"/>
      <c r="E924" s="74" t="n"/>
      <c r="F924" s="74" t="n"/>
      <c r="G924" s="74" t="inlineStr">
        <is>
          <t>kg</t>
        </is>
      </c>
      <c r="H924" s="76" t="n">
        <v>95000</v>
      </c>
      <c r="I924" s="73" t="n">
        <v>95000</v>
      </c>
      <c r="J924" s="73" t="n"/>
      <c r="K924" s="74" t="n"/>
      <c r="L924" s="74" t="n"/>
    </row>
    <row r="925" ht="29.1" customHeight="1">
      <c r="A925" s="74" t="inlineStr">
        <is>
          <t>NPG0067</t>
        </is>
      </c>
      <c r="B925" s="74" t="inlineStr">
        <is>
          <t>Hành khô  bóc vỏ</t>
        </is>
      </c>
      <c r="C925" s="74" t="n"/>
      <c r="D925" s="74" t="n"/>
      <c r="E925" s="74" t="n"/>
      <c r="F925" s="74" t="n"/>
      <c r="G925" s="74" t="inlineStr">
        <is>
          <t>kg</t>
        </is>
      </c>
      <c r="H925" s="76" t="n">
        <v>28000</v>
      </c>
      <c r="I925" s="73" t="n">
        <v>28000</v>
      </c>
      <c r="J925" s="73" t="n"/>
      <c r="K925" s="74" t="n"/>
      <c r="L925" s="74" t="n"/>
    </row>
    <row r="926" ht="29.1" customHeight="1">
      <c r="A926" s="74" t="inlineStr">
        <is>
          <t>NPG0361</t>
        </is>
      </c>
      <c r="B926" s="74" t="inlineStr">
        <is>
          <t>Quẩy</t>
        </is>
      </c>
      <c r="C926" s="74" t="n"/>
      <c r="D926" s="74" t="n"/>
      <c r="E926" s="74" t="n"/>
      <c r="F926" s="74" t="n"/>
      <c r="G926" s="74" t="inlineStr">
        <is>
          <t>Cái</t>
        </is>
      </c>
      <c r="H926" s="76" t="n">
        <v>1200</v>
      </c>
      <c r="I926" s="73" t="n">
        <v>1200</v>
      </c>
      <c r="J926" s="73" t="n"/>
      <c r="K926" s="74" t="n"/>
      <c r="L926" s="74" t="n"/>
    </row>
    <row r="927" ht="29.1" customHeight="1">
      <c r="A927" s="74" t="inlineStr">
        <is>
          <t>NPG0046</t>
        </is>
      </c>
      <c r="B927" s="74" t="inlineStr">
        <is>
          <t>Dấm bỗng</t>
        </is>
      </c>
      <c r="C927" s="74" t="n"/>
      <c r="D927" s="74" t="n"/>
      <c r="E927" s="74" t="n"/>
      <c r="F927" s="74" t="n"/>
      <c r="G927" s="74" t="inlineStr">
        <is>
          <t>Lít</t>
        </is>
      </c>
      <c r="H927" s="76" t="n">
        <v>20000</v>
      </c>
      <c r="I927" s="73" t="n">
        <v>20000</v>
      </c>
      <c r="J927" s="73" t="n"/>
      <c r="K927" s="74" t="n"/>
      <c r="L927" s="74" t="n"/>
    </row>
    <row r="928" ht="29.1" customHeight="1">
      <c r="A928" s="74" t="inlineStr">
        <is>
          <t>NLT0435</t>
        </is>
      </c>
      <c r="B928" s="74" t="inlineStr">
        <is>
          <t>Thịt dẻ sườn trâu 123 ĐL Ấn Độ 20kg/thùng</t>
        </is>
      </c>
      <c r="C928" s="74" t="n"/>
      <c r="D928" s="74" t="n"/>
      <c r="E928" s="74" t="n"/>
      <c r="F928" s="74" t="n"/>
      <c r="G928" s="74" t="inlineStr">
        <is>
          <t>kg</t>
        </is>
      </c>
      <c r="H928" s="76" t="n">
        <v>120000</v>
      </c>
      <c r="I928" s="73" t="n">
        <v>120000</v>
      </c>
      <c r="J928" s="73" t="n"/>
      <c r="K928" s="74" t="n"/>
      <c r="L928" s="74" t="n"/>
    </row>
    <row r="929" ht="29.1" customHeight="1">
      <c r="A929" s="74" t="inlineStr">
        <is>
          <t>NLR0148</t>
        </is>
      </c>
      <c r="B929" s="74" t="inlineStr">
        <is>
          <t>Rau dền</t>
        </is>
      </c>
      <c r="C929" s="74" t="n"/>
      <c r="D929" s="74" t="n"/>
      <c r="E929" s="74" t="n"/>
      <c r="F929" s="74" t="n"/>
      <c r="G929" s="74" t="inlineStr">
        <is>
          <t>kg</t>
        </is>
      </c>
      <c r="H929" s="76" t="n">
        <v>12000</v>
      </c>
      <c r="I929" s="73" t="n">
        <v>12000</v>
      </c>
      <c r="J929" s="73" t="n"/>
      <c r="K929" s="74" t="n"/>
      <c r="L929" s="74" t="n"/>
    </row>
    <row r="930" ht="29.1" customHeight="1">
      <c r="A930" s="74" t="inlineStr">
        <is>
          <t>NLQ0015</t>
        </is>
      </c>
      <c r="B930" s="74" t="inlineStr">
        <is>
          <t>Quả mận</t>
        </is>
      </c>
      <c r="C930" s="74" t="n"/>
      <c r="D930" s="74" t="n"/>
      <c r="E930" s="74" t="n"/>
      <c r="F930" s="74" t="n"/>
      <c r="G930" s="74" t="inlineStr">
        <is>
          <t>kg</t>
        </is>
      </c>
      <c r="H930" s="76" t="n">
        <v>15000</v>
      </c>
      <c r="I930" s="73" t="n">
        <v>15000</v>
      </c>
      <c r="J930" s="73" t="n"/>
      <c r="K930" s="74" t="n"/>
      <c r="L930" s="74" t="n"/>
    </row>
    <row r="931" ht="29.1" customHeight="1">
      <c r="A931" s="74" t="inlineStr">
        <is>
          <t>NPG1165</t>
        </is>
      </c>
      <c r="B931" s="74" t="inlineStr">
        <is>
          <t>Nước mắm phú khánh 15 chai x 850ml</t>
        </is>
      </c>
      <c r="C931" s="74" t="n"/>
      <c r="D931" s="74" t="n"/>
      <c r="E931" s="74" t="n"/>
      <c r="F931" s="74" t="n"/>
      <c r="G931" s="74" t="inlineStr">
        <is>
          <t>Chai</t>
        </is>
      </c>
      <c r="H931" s="76" t="n">
        <v>8000</v>
      </c>
      <c r="I931" s="73" t="n">
        <v>8000</v>
      </c>
      <c r="J931" s="73" t="n"/>
      <c r="K931" s="74" t="n"/>
      <c r="L931" s="74" t="n"/>
    </row>
    <row r="932" ht="29.1" customHeight="1">
      <c r="A932" s="74" t="inlineStr">
        <is>
          <t>CCDC1869</t>
        </is>
      </c>
      <c r="B932" s="74" t="inlineStr">
        <is>
          <t>Tô giấy Kraft 750ml nắp bằng nhựa PP</t>
        </is>
      </c>
      <c r="C932" s="74" t="n"/>
      <c r="D932" s="74" t="n"/>
      <c r="E932" s="74" t="n"/>
      <c r="F932" s="74" t="n"/>
      <c r="G932" s="74" t="inlineStr">
        <is>
          <t>Cái</t>
        </is>
      </c>
      <c r="H932" s="76" t="n">
        <v>1400</v>
      </c>
      <c r="I932" s="73" t="n">
        <v>1400</v>
      </c>
      <c r="J932" s="73" t="n"/>
      <c r="K932" s="74" t="n"/>
      <c r="L932" s="74" t="n"/>
    </row>
    <row r="933" ht="29.1" customHeight="1">
      <c r="A933" s="74" t="inlineStr">
        <is>
          <t>NPV0064</t>
        </is>
      </c>
      <c r="B933" s="74" t="inlineStr">
        <is>
          <t>Túi nilon trắng 20kg</t>
        </is>
      </c>
      <c r="C933" s="74" t="n"/>
      <c r="D933" s="74" t="n"/>
      <c r="E933" s="74" t="n"/>
      <c r="F933" s="74" t="n"/>
      <c r="G933" s="74" t="inlineStr">
        <is>
          <t>kg</t>
        </is>
      </c>
      <c r="H933" s="76" t="n">
        <v>45000</v>
      </c>
      <c r="I933" s="73" t="n">
        <v>45000</v>
      </c>
      <c r="J933" s="73" t="n"/>
      <c r="K933" s="74" t="n"/>
      <c r="L933" s="74" t="n"/>
    </row>
    <row r="934" ht="29.1" customHeight="1">
      <c r="A934" s="74" t="inlineStr">
        <is>
          <t>NLR0142</t>
        </is>
      </c>
      <c r="B934" s="74" t="inlineStr">
        <is>
          <t>Quả sấu</t>
        </is>
      </c>
      <c r="C934" s="74" t="n"/>
      <c r="D934" s="74" t="n"/>
      <c r="E934" s="74" t="n"/>
      <c r="F934" s="74" t="n"/>
      <c r="G934" s="74" t="inlineStr">
        <is>
          <t>kg</t>
        </is>
      </c>
      <c r="H934" s="76" t="n">
        <v>20000</v>
      </c>
      <c r="I934" s="73" t="n">
        <v>20000</v>
      </c>
      <c r="J934" s="73" t="n"/>
      <c r="K934" s="74" t="n"/>
      <c r="L934" s="74" t="n"/>
    </row>
    <row r="935" ht="43.5" customHeight="1">
      <c r="A935" s="74" t="inlineStr">
        <is>
          <t>NLR0244</t>
        </is>
      </c>
      <c r="B935" s="74" t="inlineStr">
        <is>
          <t>khoai môn sc</t>
        </is>
      </c>
      <c r="C935" s="74" t="n"/>
      <c r="D935" s="74" t="n"/>
      <c r="E935" s="74" t="n"/>
      <c r="F935" s="74" t="n"/>
      <c r="G935" s="74" t="inlineStr">
        <is>
          <t>kg</t>
        </is>
      </c>
      <c r="H935" s="76" t="n">
        <v>30000</v>
      </c>
      <c r="I935" s="73" t="n">
        <v>30000</v>
      </c>
      <c r="J935" s="73" t="n"/>
      <c r="K935" s="74" t="n"/>
      <c r="L935" s="74" t="n"/>
    </row>
    <row r="936" ht="43.5" customHeight="1">
      <c r="A936" s="74" t="inlineStr">
        <is>
          <t>NLQ0062</t>
        </is>
      </c>
      <c r="B936" s="74" t="inlineStr">
        <is>
          <t>Cam sành 4-6 quả/kg</t>
        </is>
      </c>
      <c r="C936" s="74" t="n"/>
      <c r="D936" s="74" t="n"/>
      <c r="E936" s="74" t="n"/>
      <c r="F936" s="74" t="n"/>
      <c r="G936" s="74" t="inlineStr">
        <is>
          <t>kg</t>
        </is>
      </c>
      <c r="H936" s="76" t="n">
        <v>18000</v>
      </c>
      <c r="I936" s="73" t="n">
        <v>18000</v>
      </c>
      <c r="J936" s="73" t="n"/>
      <c r="K936" s="74" t="n"/>
      <c r="L936" s="74" t="n"/>
    </row>
    <row r="937" ht="29.1" customHeight="1">
      <c r="A937" s="74" t="inlineStr">
        <is>
          <t>NLG0005</t>
        </is>
      </c>
      <c r="B937" s="74" t="inlineStr">
        <is>
          <t>Gạo khang dân</t>
        </is>
      </c>
      <c r="C937" s="74" t="n"/>
      <c r="D937" s="74" t="n"/>
      <c r="E937" s="74" t="n"/>
      <c r="F937" s="74" t="n"/>
      <c r="G937" s="74" t="inlineStr">
        <is>
          <t>kg</t>
        </is>
      </c>
      <c r="H937" s="76" t="n">
        <v>13000</v>
      </c>
      <c r="I937" s="73" t="n">
        <v>13000</v>
      </c>
      <c r="J937" s="73" t="n"/>
      <c r="K937" s="74" t="n"/>
      <c r="L937" s="74" t="n"/>
    </row>
    <row r="938" ht="29.1" customHeight="1">
      <c r="A938" s="74" t="inlineStr">
        <is>
          <t>NPV0103</t>
        </is>
      </c>
      <c r="B938" s="74" t="inlineStr">
        <is>
          <t>Nước rửa chén power 3.8l/can</t>
        </is>
      </c>
      <c r="C938" s="74" t="n"/>
      <c r="D938" s="74" t="n"/>
      <c r="E938" s="74" t="n"/>
      <c r="F938" s="74" t="n"/>
      <c r="G938" s="74" t="inlineStr">
        <is>
          <t>can</t>
        </is>
      </c>
      <c r="H938" s="76" t="n">
        <v>47000</v>
      </c>
      <c r="I938" s="73" t="n">
        <v>47000</v>
      </c>
      <c r="J938" s="73" t="n"/>
      <c r="K938" s="74" t="n"/>
      <c r="L938" s="74" t="n"/>
    </row>
    <row r="939" ht="29.1" customHeight="1">
      <c r="A939" s="74" t="inlineStr">
        <is>
          <t>NLT0144</t>
        </is>
      </c>
      <c r="B939" s="74" t="inlineStr">
        <is>
          <t>Thịt mông trâu ĐL ấn Độ (M45) 20kg/thùng</t>
        </is>
      </c>
      <c r="C939" s="74" t="n"/>
      <c r="D939" s="74" t="n"/>
      <c r="E939" s="74" t="n"/>
      <c r="F939" s="74" t="n"/>
      <c r="G939" s="74" t="inlineStr">
        <is>
          <t>kg</t>
        </is>
      </c>
      <c r="H939" s="76" t="n">
        <v>140000</v>
      </c>
      <c r="I939" s="73" t="n">
        <v>140000</v>
      </c>
      <c r="J939" s="73" t="n"/>
      <c r="K939" s="74" t="n"/>
      <c r="L939" s="74" t="n"/>
    </row>
    <row r="940" ht="29.1" customHeight="1">
      <c r="A940" s="74" t="inlineStr">
        <is>
          <t>NLR0040</t>
        </is>
      </c>
      <c r="B940" s="74" t="inlineStr">
        <is>
          <t>Cải xanh cắt gốc (kg)</t>
        </is>
      </c>
      <c r="C940" s="74" t="n"/>
      <c r="D940" s="74" t="n"/>
      <c r="E940" s="74" t="n"/>
      <c r="F940" s="74" t="n"/>
      <c r="G940" s="74" t="inlineStr">
        <is>
          <t>kg</t>
        </is>
      </c>
      <c r="H940" s="76" t="n">
        <v>11000</v>
      </c>
      <c r="I940" s="73" t="n">
        <v>11000</v>
      </c>
      <c r="J940" s="73" t="n"/>
      <c r="K940" s="74" t="n"/>
      <c r="L940" s="74" t="n"/>
    </row>
    <row r="941" ht="29.1" customHeight="1">
      <c r="A941" s="74" t="inlineStr">
        <is>
          <t>NPG0105</t>
        </is>
      </c>
      <c r="B941" s="74" t="inlineStr">
        <is>
          <t>Nước cốt dừa wonderfarm 400ml/lon</t>
        </is>
      </c>
      <c r="C941" s="74" t="n"/>
      <c r="D941" s="74" t="n"/>
      <c r="E941" s="74" t="n"/>
      <c r="F941" s="74" t="n"/>
      <c r="G941" s="74" t="inlineStr">
        <is>
          <t>Hộp</t>
        </is>
      </c>
      <c r="H941" s="76" t="n">
        <v>24000</v>
      </c>
      <c r="I941" s="73" t="n">
        <v>24000</v>
      </c>
      <c r="J941" s="73" t="n"/>
      <c r="K941" s="74" t="n"/>
      <c r="L941" s="74" t="n"/>
    </row>
    <row r="942" ht="29.1" customHeight="1">
      <c r="A942" s="74" t="inlineStr">
        <is>
          <t>NPG0050</t>
        </is>
      </c>
      <c r="B942" s="74" t="inlineStr">
        <is>
          <t>Dầu mè Mezan 250ml/chai</t>
        </is>
      </c>
      <c r="C942" s="74" t="n"/>
      <c r="D942" s="74" t="n"/>
      <c r="E942" s="74" t="n"/>
      <c r="F942" s="74" t="n"/>
      <c r="G942" s="74" t="inlineStr">
        <is>
          <t>Chai</t>
        </is>
      </c>
      <c r="H942" s="76" t="n">
        <v>57000</v>
      </c>
      <c r="I942" s="73" t="n">
        <v>57000</v>
      </c>
      <c r="J942" s="73" t="n"/>
      <c r="K942" s="74" t="n"/>
      <c r="L942" s="74" t="n"/>
    </row>
    <row r="943" ht="29.1" customHeight="1">
      <c r="A943" s="74" t="inlineStr">
        <is>
          <t>NLG0389</t>
        </is>
      </c>
      <c r="B943" s="74" t="inlineStr">
        <is>
          <t>Mì tôm cân Food Hà Nội 1kg/gói</t>
        </is>
      </c>
      <c r="C943" s="74" t="n"/>
      <c r="D943" s="74" t="n"/>
      <c r="E943" s="74" t="n"/>
      <c r="F943" s="74" t="n"/>
      <c r="G943" s="74" t="inlineStr">
        <is>
          <t>kg</t>
        </is>
      </c>
      <c r="H943" s="76" t="n">
        <v>43000</v>
      </c>
      <c r="I943" s="73" t="n">
        <v>43000</v>
      </c>
      <c r="J943" s="73" t="n"/>
      <c r="K943" s="74" t="n"/>
      <c r="L943" s="74" t="n"/>
      <c r="Q943" s="64">
        <f>43</f>
        <v/>
      </c>
    </row>
    <row r="944" ht="29.1" customHeight="1">
      <c r="A944" s="74" t="inlineStr">
        <is>
          <t>NLT0445</t>
        </is>
      </c>
      <c r="B944" s="74" t="inlineStr">
        <is>
          <t>Sườn cánh buồm ĐL Ba Lan 10kg/thùng</t>
        </is>
      </c>
      <c r="C944" s="74" t="n"/>
      <c r="D944" s="74" t="n"/>
      <c r="E944" s="74" t="n"/>
      <c r="F944" s="74" t="n"/>
      <c r="G944" s="74" t="inlineStr">
        <is>
          <t>kg</t>
        </is>
      </c>
      <c r="H944" s="76" t="n">
        <v>90000</v>
      </c>
      <c r="I944" s="73" t="n">
        <v>90000</v>
      </c>
      <c r="J944" s="73" t="n"/>
      <c r="K944" s="74" t="n"/>
      <c r="L944" s="74" t="n"/>
      <c r="Q944" s="64">
        <f>43*90</f>
        <v/>
      </c>
    </row>
    <row r="945" ht="29.1" customHeight="1">
      <c r="A945" s="74" t="inlineStr">
        <is>
          <t>NLR0108</t>
        </is>
      </c>
      <c r="B945" s="74" t="inlineStr">
        <is>
          <t>Lặc lè</t>
        </is>
      </c>
      <c r="C945" s="74" t="n"/>
      <c r="D945" s="74" t="n"/>
      <c r="E945" s="74" t="n"/>
      <c r="F945" s="74" t="n"/>
      <c r="G945" s="74" t="inlineStr">
        <is>
          <t>kg</t>
        </is>
      </c>
      <c r="H945" s="76" t="n">
        <v>15000</v>
      </c>
      <c r="I945" s="73" t="n">
        <v>15000</v>
      </c>
      <c r="J945" s="73" t="n"/>
      <c r="K945" s="74" t="n"/>
      <c r="L945" s="74" t="n"/>
    </row>
    <row r="946" ht="29.1" customHeight="1">
      <c r="A946" s="74" t="inlineStr">
        <is>
          <t>NLT0704</t>
        </is>
      </c>
      <c r="B946" s="74" t="inlineStr">
        <is>
          <t>Chả giò loại đặc biệt 20 chiếc, 500g/gói</t>
        </is>
      </c>
      <c r="C946" s="74" t="n"/>
      <c r="D946" s="74" t="n"/>
      <c r="E946" s="74" t="n"/>
      <c r="F946" s="74" t="n"/>
      <c r="G946" s="74" t="inlineStr">
        <is>
          <t>Gói</t>
        </is>
      </c>
      <c r="H946" s="76" t="n">
        <v>43000</v>
      </c>
      <c r="I946" s="73" t="n">
        <v>43000</v>
      </c>
      <c r="J946" s="73" t="n"/>
      <c r="K946" s="74" t="n"/>
      <c r="L946" s="74" t="n"/>
    </row>
    <row r="947" ht="29.1" customHeight="1">
      <c r="A947" s="74" t="inlineStr">
        <is>
          <t>NPG0729</t>
        </is>
      </c>
      <c r="B947" s="74" t="inlineStr">
        <is>
          <t>Bột điều đỏ Thiên Thành 500g/g</t>
        </is>
      </c>
      <c r="C947" s="74" t="n"/>
      <c r="D947" s="74" t="n"/>
      <c r="E947" s="74" t="n"/>
      <c r="F947" s="74" t="n"/>
      <c r="G947" s="74" t="inlineStr">
        <is>
          <t>Gói</t>
        </is>
      </c>
      <c r="H947" s="76" t="n">
        <v>70000</v>
      </c>
      <c r="I947" s="73" t="n">
        <v>70000</v>
      </c>
      <c r="J947" s="73" t="n"/>
      <c r="K947" s="74" t="n"/>
      <c r="L947" s="74" t="n"/>
    </row>
    <row r="948" ht="29.1" customHeight="1">
      <c r="A948" s="74" t="inlineStr">
        <is>
          <t>NPV0028</t>
        </is>
      </c>
      <c r="B948" s="74" t="inlineStr">
        <is>
          <t>Màng bọc thực phẩm 45*420cm</t>
        </is>
      </c>
      <c r="C948" s="74" t="n"/>
      <c r="D948" s="74" t="n"/>
      <c r="E948" s="74" t="n"/>
      <c r="F948" s="74" t="n"/>
      <c r="G948" s="74" t="inlineStr">
        <is>
          <t>Cuộn</t>
        </is>
      </c>
      <c r="H948" s="76" t="n">
        <v>135000</v>
      </c>
      <c r="I948" s="73" t="n">
        <v>135000</v>
      </c>
      <c r="J948" s="73" t="n"/>
      <c r="K948" s="74" t="n"/>
      <c r="L948" s="74" t="n"/>
    </row>
    <row r="949" ht="29.1" customHeight="1">
      <c r="A949" s="74" t="inlineStr">
        <is>
          <t>NLT0463</t>
        </is>
      </c>
      <c r="B949" s="74" t="inlineStr">
        <is>
          <t>Tim heo đông lạnh Mỹ 10kg/thùng</t>
        </is>
      </c>
      <c r="C949" s="74" t="n"/>
      <c r="D949" s="74" t="n"/>
      <c r="E949" s="74" t="n"/>
      <c r="F949" s="74" t="n"/>
      <c r="G949" s="74" t="inlineStr">
        <is>
          <t>kg</t>
        </is>
      </c>
      <c r="H949" s="76" t="n">
        <v>46000</v>
      </c>
      <c r="I949" s="73" t="n">
        <v>46000</v>
      </c>
      <c r="J949" s="73" t="n"/>
      <c r="K949" s="74" t="n"/>
      <c r="L949" s="74" t="n"/>
    </row>
    <row r="950" ht="29.1" customHeight="1">
      <c r="A950" s="74" t="inlineStr">
        <is>
          <t>NPV0017</t>
        </is>
      </c>
      <c r="B950" s="74" t="inlineStr">
        <is>
          <t>Hộp xốp một ngăn</t>
        </is>
      </c>
      <c r="C950" s="74" t="n"/>
      <c r="D950" s="74" t="n"/>
      <c r="E950" s="74" t="n"/>
      <c r="F950" s="74" t="n"/>
      <c r="G950" s="74" t="inlineStr">
        <is>
          <t>Cái</t>
        </is>
      </c>
      <c r="H950" s="76" t="n">
        <v>600</v>
      </c>
      <c r="I950" s="73" t="n">
        <v>600</v>
      </c>
      <c r="J950" s="73" t="n"/>
      <c r="K950" s="74" t="n"/>
      <c r="L950" s="74" t="n"/>
    </row>
    <row r="951" ht="29.1" customHeight="1">
      <c r="A951" s="74" t="inlineStr">
        <is>
          <t>NLR0111</t>
        </is>
      </c>
      <c r="B951" s="74" t="inlineStr">
        <is>
          <t>Măng lá</t>
        </is>
      </c>
      <c r="C951" s="74" t="n"/>
      <c r="D951" s="74" t="n"/>
      <c r="E951" s="74" t="n"/>
      <c r="F951" s="74" t="n"/>
      <c r="G951" s="74" t="inlineStr">
        <is>
          <t>kg</t>
        </is>
      </c>
      <c r="H951" s="76" t="n">
        <v>12000</v>
      </c>
      <c r="I951" s="73" t="n">
        <v>12000</v>
      </c>
      <c r="J951" s="73" t="n"/>
      <c r="K951" s="74" t="n"/>
      <c r="L951" s="74" t="n"/>
    </row>
    <row r="952" ht="29.1" customHeight="1">
      <c r="A952" s="74" t="inlineStr">
        <is>
          <t>NPG0174</t>
        </is>
      </c>
      <c r="B952" s="74" t="inlineStr">
        <is>
          <t>Bột rang muối Tuấn Phương (gói 450g)</t>
        </is>
      </c>
      <c r="C952" s="74" t="n"/>
      <c r="D952" s="74" t="n"/>
      <c r="E952" s="74" t="n"/>
      <c r="F952" s="74" t="n"/>
      <c r="G952" s="74" t="inlineStr">
        <is>
          <t>Gói</t>
        </is>
      </c>
      <c r="H952" s="76" t="n">
        <v>25000</v>
      </c>
      <c r="I952" s="73" t="n">
        <v>25000</v>
      </c>
      <c r="J952" s="73" t="n"/>
      <c r="K952" s="74" t="n"/>
      <c r="L952" s="74" t="n"/>
    </row>
    <row r="953" ht="29.1" customHeight="1">
      <c r="A953" s="74" t="inlineStr">
        <is>
          <t>NLR0003</t>
        </is>
      </c>
      <c r="B953" s="74" t="inlineStr">
        <is>
          <t>Bầu quả</t>
        </is>
      </c>
      <c r="C953" s="74" t="n"/>
      <c r="D953" s="74" t="n"/>
      <c r="E953" s="74" t="n"/>
      <c r="F953" s="74" t="n"/>
      <c r="G953" s="74" t="inlineStr">
        <is>
          <t>kg</t>
        </is>
      </c>
      <c r="H953" s="76" t="n">
        <v>9000</v>
      </c>
      <c r="I953" s="73" t="n">
        <v>9000</v>
      </c>
      <c r="J953" s="73" t="n"/>
      <c r="K953" s="74" t="n"/>
      <c r="L953" s="74" t="n"/>
    </row>
    <row r="954" ht="29.1" customHeight="1">
      <c r="A954" s="74" t="inlineStr">
        <is>
          <t>NPG0022</t>
        </is>
      </c>
      <c r="B954" s="74" t="inlineStr">
        <is>
          <t>Bột chiên xù màu Tuấn phương 1kg/gói, 10 gói/thùng</t>
        </is>
      </c>
      <c r="C954" s="74" t="n"/>
      <c r="D954" s="74" t="n"/>
      <c r="E954" s="74" t="n"/>
      <c r="F954" s="74" t="n"/>
      <c r="G954" s="74" t="inlineStr">
        <is>
          <t>kg</t>
        </is>
      </c>
      <c r="H954" s="76" t="n">
        <v>25000</v>
      </c>
      <c r="I954" s="73" t="n">
        <v>25000</v>
      </c>
      <c r="J954" s="73" t="n"/>
      <c r="K954" s="74" t="n"/>
      <c r="L954" s="74" t="n"/>
    </row>
    <row r="955" ht="29.1" customHeight="1">
      <c r="A955" s="74" t="inlineStr">
        <is>
          <t>NPG0789</t>
        </is>
      </c>
      <c r="B955" s="74" t="inlineStr">
        <is>
          <t>Bột mỳ La Bàn 1kg/gói( 10 gói/thùng)</t>
        </is>
      </c>
      <c r="C955" s="74" t="n"/>
      <c r="D955" s="74" t="n"/>
      <c r="E955" s="74" t="n"/>
      <c r="F955" s="74" t="n"/>
      <c r="G955" s="74" t="inlineStr">
        <is>
          <t>kg</t>
        </is>
      </c>
      <c r="H955" s="76" t="n">
        <v>20000</v>
      </c>
      <c r="I955" s="73" t="n">
        <v>20000</v>
      </c>
      <c r="J955" s="73" t="n"/>
      <c r="K955" s="74" t="n"/>
      <c r="L955" s="74" t="n"/>
    </row>
    <row r="956" ht="29.1" customHeight="1">
      <c r="A956" s="74" t="inlineStr">
        <is>
          <t>NPG0071</t>
        </is>
      </c>
      <c r="B956" s="74" t="inlineStr">
        <is>
          <t>Hạt sen</t>
        </is>
      </c>
      <c r="C956" s="74" t="n"/>
      <c r="D956" s="74" t="n"/>
      <c r="E956" s="74" t="n"/>
      <c r="F956" s="74" t="n"/>
      <c r="G956" s="74" t="inlineStr">
        <is>
          <t>kg</t>
        </is>
      </c>
      <c r="H956" s="76" t="n">
        <v>153000</v>
      </c>
      <c r="I956" s="73" t="n">
        <v>153000</v>
      </c>
      <c r="J956" s="73" t="n"/>
      <c r="K956" s="74" t="n"/>
      <c r="L956" s="74" t="n"/>
    </row>
    <row r="957" ht="29.1" customHeight="1">
      <c r="A957" s="74" t="inlineStr">
        <is>
          <t>NPG0053</t>
        </is>
      </c>
      <c r="B957" s="74" t="inlineStr">
        <is>
          <t>Đậu đỏ</t>
        </is>
      </c>
      <c r="C957" s="74" t="n"/>
      <c r="D957" s="74" t="n"/>
      <c r="E957" s="74" t="n"/>
      <c r="F957" s="74" t="n"/>
      <c r="G957" s="74" t="inlineStr">
        <is>
          <t>kg</t>
        </is>
      </c>
      <c r="H957" s="76" t="n">
        <v>45000</v>
      </c>
      <c r="I957" s="73" t="n">
        <v>45000</v>
      </c>
      <c r="J957" s="73" t="n"/>
      <c r="K957" s="74" t="n"/>
      <c r="L957" s="74" t="n"/>
    </row>
    <row r="958" ht="29.1" customHeight="1">
      <c r="A958" s="74" t="inlineStr">
        <is>
          <t>NPG0801</t>
        </is>
      </c>
      <c r="B958" s="74" t="inlineStr">
        <is>
          <t>Đường thốt nốt 1kg/gói</t>
        </is>
      </c>
      <c r="C958" s="74" t="n"/>
      <c r="D958" s="74" t="n"/>
      <c r="E958" s="74" t="n"/>
      <c r="F958" s="74" t="n"/>
      <c r="G958" s="74" t="inlineStr">
        <is>
          <t>kg</t>
        </is>
      </c>
      <c r="H958" s="76" t="n">
        <v>30000</v>
      </c>
      <c r="I958" s="73" t="n">
        <v>30000</v>
      </c>
      <c r="J958" s="73" t="n"/>
      <c r="K958" s="74" t="n"/>
      <c r="L958" s="74" t="n"/>
    </row>
    <row r="959" ht="29.1" customHeight="1">
      <c r="A959" s="74" t="inlineStr">
        <is>
          <t>NLR0119</t>
        </is>
      </c>
      <c r="B959" s="74" t="inlineStr">
        <is>
          <t>Nấm hương tươi</t>
        </is>
      </c>
      <c r="C959" s="74" t="n"/>
      <c r="D959" s="74" t="n"/>
      <c r="E959" s="74" t="n"/>
      <c r="F959" s="74" t="n"/>
      <c r="G959" s="74" t="inlineStr">
        <is>
          <t>kg</t>
        </is>
      </c>
      <c r="H959" s="76" t="n">
        <v>120000</v>
      </c>
      <c r="I959" s="73" t="n">
        <v>120000</v>
      </c>
      <c r="J959" s="73" t="n"/>
      <c r="K959" s="74" t="n"/>
      <c r="L959" s="74" t="n"/>
    </row>
    <row r="960" ht="29.1" customHeight="1">
      <c r="A960" s="74" t="inlineStr">
        <is>
          <t>NPV0049</t>
        </is>
      </c>
      <c r="B960" s="74" t="inlineStr">
        <is>
          <t>Túi nilon đen 20kg</t>
        </is>
      </c>
      <c r="C960" s="74" t="n"/>
      <c r="D960" s="74" t="n"/>
      <c r="E960" s="74" t="n"/>
      <c r="F960" s="74" t="n"/>
      <c r="G960" s="74" t="inlineStr">
        <is>
          <t>kg</t>
        </is>
      </c>
      <c r="H960" s="76" t="n">
        <v>39000</v>
      </c>
      <c r="I960" s="73" t="n">
        <v>39000</v>
      </c>
      <c r="J960" s="73" t="n"/>
      <c r="K960" s="74" t="n"/>
      <c r="L960" s="74" t="n"/>
    </row>
    <row r="961" ht="29.1" customHeight="1">
      <c r="A961" s="74" t="inlineStr">
        <is>
          <t>NPV0048</t>
        </is>
      </c>
      <c r="B961" s="74" t="inlineStr">
        <is>
          <t>Túi nilon đen 10kg</t>
        </is>
      </c>
      <c r="C961" s="74" t="n"/>
      <c r="D961" s="74" t="n"/>
      <c r="E961" s="74" t="n"/>
      <c r="F961" s="74" t="n"/>
      <c r="G961" s="74" t="inlineStr">
        <is>
          <t>kg</t>
        </is>
      </c>
      <c r="H961" s="76" t="n">
        <v>39000</v>
      </c>
      <c r="I961" s="73" t="n">
        <v>39000</v>
      </c>
      <c r="J961" s="73" t="n"/>
      <c r="K961" s="74" t="n"/>
      <c r="L961" s="74" t="n"/>
    </row>
    <row r="962" ht="29.1" customHeight="1">
      <c r="A962" s="74" t="inlineStr">
        <is>
          <t>NPV0134</t>
        </is>
      </c>
      <c r="B962" s="74" t="inlineStr">
        <is>
          <t>Túi nilon đen 40kg</t>
        </is>
      </c>
      <c r="C962" s="74" t="n"/>
      <c r="D962" s="74" t="n"/>
      <c r="E962" s="74" t="n"/>
      <c r="F962" s="74" t="n"/>
      <c r="G962" s="74" t="inlineStr">
        <is>
          <t>kg</t>
        </is>
      </c>
      <c r="H962" s="76" t="n">
        <v>40000</v>
      </c>
      <c r="I962" s="73" t="n">
        <v>40000</v>
      </c>
      <c r="J962" s="73" t="n"/>
      <c r="K962" s="74" t="n"/>
      <c r="L962" s="74" t="n"/>
    </row>
    <row r="963" ht="29.1" customHeight="1">
      <c r="A963" s="74" t="inlineStr">
        <is>
          <t>NPV0142</t>
        </is>
      </c>
      <c r="B963" s="74" t="inlineStr">
        <is>
          <t>Túi nilon đen 50kg</t>
        </is>
      </c>
      <c r="C963" s="74" t="n"/>
      <c r="D963" s="74" t="n"/>
      <c r="E963" s="74" t="n"/>
      <c r="F963" s="74" t="n"/>
      <c r="G963" s="74" t="inlineStr">
        <is>
          <t>kg</t>
        </is>
      </c>
      <c r="H963" s="76" t="n">
        <v>39000</v>
      </c>
      <c r="I963" s="73" t="n">
        <v>39000</v>
      </c>
      <c r="J963" s="73" t="n"/>
      <c r="K963" s="74" t="n"/>
      <c r="L963" s="74" t="n"/>
    </row>
    <row r="964" ht="29.1" customHeight="1">
      <c r="A964" s="74" t="inlineStr">
        <is>
          <t>NPV0075</t>
        </is>
      </c>
      <c r="B964" s="74" t="inlineStr">
        <is>
          <t>Túi nilon đen 30 kg</t>
        </is>
      </c>
      <c r="C964" s="74" t="n"/>
      <c r="D964" s="74" t="n"/>
      <c r="E964" s="74" t="n"/>
      <c r="F964" s="74" t="n"/>
      <c r="G964" s="74" t="inlineStr">
        <is>
          <t>kg</t>
        </is>
      </c>
      <c r="H964" s="76" t="n">
        <v>40000</v>
      </c>
      <c r="I964" s="73" t="n">
        <v>40000</v>
      </c>
      <c r="J964" s="73" t="n"/>
      <c r="K964" s="74" t="n"/>
      <c r="L964" s="74" t="n"/>
    </row>
    <row r="965" ht="29.1" customHeight="1">
      <c r="A965" s="74" t="inlineStr">
        <is>
          <t>NLQ0027</t>
        </is>
      </c>
      <c r="B965" s="74" t="inlineStr">
        <is>
          <t>Quả táo đỏ</t>
        </is>
      </c>
      <c r="C965" s="74" t="n"/>
      <c r="D965" s="74" t="n"/>
      <c r="E965" s="74" t="n"/>
      <c r="F965" s="74" t="n"/>
      <c r="G965" s="74" t="inlineStr">
        <is>
          <t>kg</t>
        </is>
      </c>
      <c r="H965" s="76" t="n">
        <v>70000</v>
      </c>
      <c r="I965" s="73" t="n">
        <v>70000</v>
      </c>
      <c r="J965" s="73" t="n"/>
      <c r="K965" s="74" t="n"/>
      <c r="L965" s="74" t="n"/>
    </row>
    <row r="966" ht="29.1" customHeight="1">
      <c r="A966" s="74" t="inlineStr">
        <is>
          <t>NPV0013</t>
        </is>
      </c>
      <c r="B966" s="74" t="inlineStr">
        <is>
          <t>Găng tay nilon (kg)</t>
        </is>
      </c>
      <c r="C966" s="74" t="n"/>
      <c r="D966" s="74" t="n"/>
      <c r="E966" s="74" t="n"/>
      <c r="F966" s="74" t="n"/>
      <c r="G966" s="74" t="inlineStr">
        <is>
          <t>kg</t>
        </is>
      </c>
      <c r="H966" s="76" t="n">
        <v>70000</v>
      </c>
      <c r="I966" s="73" t="n">
        <v>70000</v>
      </c>
      <c r="J966" s="73" t="n"/>
      <c r="K966" s="74" t="n"/>
      <c r="L966" s="74" t="n"/>
    </row>
    <row r="967" ht="29.1" customHeight="1">
      <c r="A967" s="74" t="inlineStr">
        <is>
          <t>NPG0069</t>
        </is>
      </c>
      <c r="B967" s="74" t="inlineStr">
        <is>
          <t>Hạt điều</t>
        </is>
      </c>
      <c r="C967" s="74" t="n"/>
      <c r="D967" s="74" t="n"/>
      <c r="E967" s="74" t="n"/>
      <c r="F967" s="74" t="n"/>
      <c r="G967" s="74" t="inlineStr">
        <is>
          <t>kg</t>
        </is>
      </c>
      <c r="H967" s="76" t="n">
        <v>165000</v>
      </c>
      <c r="I967" s="73" t="n">
        <v>165000</v>
      </c>
      <c r="J967" s="73" t="n"/>
      <c r="K967" s="74" t="n"/>
      <c r="L967" s="74" t="n"/>
    </row>
    <row r="968" ht="29.1" customHeight="1">
      <c r="A968" s="74" t="inlineStr">
        <is>
          <t>NPG0397</t>
        </is>
      </c>
      <c r="B968" s="74" t="inlineStr">
        <is>
          <t>Tương cà Quê Tôi 2L/Can</t>
        </is>
      </c>
      <c r="C968" s="74" t="n"/>
      <c r="D968" s="74" t="n"/>
      <c r="E968" s="74" t="n"/>
      <c r="F968" s="74" t="n"/>
      <c r="G968" s="74" t="inlineStr">
        <is>
          <t>can</t>
        </is>
      </c>
      <c r="H968" s="76" t="n">
        <v>42000</v>
      </c>
      <c r="I968" s="73" t="n">
        <v>42000</v>
      </c>
      <c r="J968" s="73" t="n"/>
      <c r="K968" s="74" t="n"/>
      <c r="L968" s="74" t="n"/>
    </row>
    <row r="969" ht="29.1" customHeight="1">
      <c r="A969" s="74" t="inlineStr">
        <is>
          <t>NPV0052</t>
        </is>
      </c>
      <c r="B969" s="74" t="inlineStr">
        <is>
          <t>Túi nilon trắng 1 kg</t>
        </is>
      </c>
      <c r="C969" s="74" t="n"/>
      <c r="D969" s="74" t="n"/>
      <c r="E969" s="74" t="n"/>
      <c r="F969" s="74" t="n"/>
      <c r="G969" s="74" t="inlineStr">
        <is>
          <t>kg</t>
        </is>
      </c>
      <c r="H969" s="76" t="n">
        <v>57000</v>
      </c>
      <c r="I969" s="73" t="n">
        <v>57000</v>
      </c>
      <c r="J969" s="73" t="n"/>
      <c r="K969" s="74" t="n"/>
      <c r="L969" s="74" t="n"/>
    </row>
    <row r="970" ht="29.1" customHeight="1">
      <c r="A970" s="74" t="inlineStr">
        <is>
          <t>NPV0053</t>
        </is>
      </c>
      <c r="B970" s="74" t="inlineStr">
        <is>
          <t>Túi nilon trắng 2kg</t>
        </is>
      </c>
      <c r="C970" s="74" t="n"/>
      <c r="D970" s="74" t="n"/>
      <c r="E970" s="74" t="n"/>
      <c r="F970" s="74" t="n"/>
      <c r="G970" s="74" t="inlineStr">
        <is>
          <t>kg</t>
        </is>
      </c>
      <c r="H970" s="76" t="n">
        <v>57000</v>
      </c>
      <c r="I970" s="73" t="n">
        <v>57000</v>
      </c>
      <c r="J970" s="73" t="n"/>
      <c r="K970" s="74" t="n"/>
      <c r="L970" s="74" t="n"/>
    </row>
    <row r="971" ht="29.1" customHeight="1">
      <c r="A971" s="74" t="inlineStr">
        <is>
          <t>NPV0054</t>
        </is>
      </c>
      <c r="B971" s="74" t="inlineStr">
        <is>
          <t>Túi nilon trắng 5kg</t>
        </is>
      </c>
      <c r="C971" s="74" t="n"/>
      <c r="D971" s="74" t="n"/>
      <c r="E971" s="74" t="n"/>
      <c r="F971" s="74" t="n"/>
      <c r="G971" s="74" t="inlineStr">
        <is>
          <t>kg</t>
        </is>
      </c>
      <c r="H971" s="76" t="n">
        <v>57000</v>
      </c>
      <c r="I971" s="73" t="n">
        <v>57000</v>
      </c>
      <c r="J971" s="73" t="n"/>
      <c r="K971" s="74" t="n"/>
      <c r="L971" s="74" t="n"/>
    </row>
    <row r="972" ht="29.1" customHeight="1">
      <c r="A972" s="74" t="inlineStr">
        <is>
          <t>NPV0063</t>
        </is>
      </c>
      <c r="B972" s="74" t="inlineStr">
        <is>
          <t>Túi nilon trắng 10kg</t>
        </is>
      </c>
      <c r="C972" s="74" t="n"/>
      <c r="D972" s="74" t="n"/>
      <c r="E972" s="74" t="n"/>
      <c r="F972" s="74" t="n"/>
      <c r="G972" s="74" t="inlineStr">
        <is>
          <t>kg</t>
        </is>
      </c>
      <c r="H972" s="76" t="n">
        <v>57000</v>
      </c>
      <c r="I972" s="73" t="n">
        <v>57000</v>
      </c>
      <c r="J972" s="73" t="n"/>
      <c r="K972" s="74" t="n"/>
      <c r="L972" s="74" t="n"/>
    </row>
    <row r="973" ht="29.1" customHeight="1">
      <c r="A973" s="74" t="inlineStr">
        <is>
          <t>NPV0033</t>
        </is>
      </c>
      <c r="B973" s="74" t="inlineStr">
        <is>
          <t>Nước rửa chén power 10 lít/can</t>
        </is>
      </c>
      <c r="C973" s="74" t="n"/>
      <c r="D973" s="74" t="n"/>
      <c r="E973" s="74" t="n"/>
      <c r="F973" s="74" t="n"/>
      <c r="G973" s="74" t="inlineStr">
        <is>
          <t>can</t>
        </is>
      </c>
      <c r="H973" s="76" t="n">
        <v>175000</v>
      </c>
      <c r="I973" s="73" t="n">
        <v>175000</v>
      </c>
      <c r="J973" s="73" t="n"/>
      <c r="K973" s="74" t="n"/>
      <c r="L973" s="74" t="n"/>
    </row>
    <row r="974" ht="29.1" customHeight="1">
      <c r="A974" s="74" t="inlineStr">
        <is>
          <t>NPG0532</t>
        </is>
      </c>
      <c r="B974" s="74" t="inlineStr">
        <is>
          <t>Dầu ăn orchid 19.8 lít / thùng</t>
        </is>
      </c>
      <c r="C974" s="74" t="n"/>
      <c r="D974" s="74" t="n"/>
      <c r="E974" s="74" t="n"/>
      <c r="F974" s="74" t="n"/>
      <c r="G974" s="74" t="inlineStr">
        <is>
          <t>Lít</t>
        </is>
      </c>
      <c r="H974" s="76" t="n">
        <v>37000</v>
      </c>
      <c r="I974" s="73" t="n">
        <v>37000</v>
      </c>
      <c r="J974" s="73" t="n"/>
      <c r="K974" s="74" t="n"/>
      <c r="L974" s="74" t="n"/>
    </row>
    <row r="975" ht="29.1" customHeight="1">
      <c r="A975" s="74" t="inlineStr">
        <is>
          <t>NPG0001</t>
        </is>
      </c>
      <c r="B975" s="74" t="inlineStr">
        <is>
          <t>Bột béo Thành phát 1kg/10 gói/ thùng</t>
        </is>
      </c>
      <c r="C975" s="74" t="n"/>
      <c r="D975" s="74" t="n"/>
      <c r="E975" s="74" t="n"/>
      <c r="F975" s="74" t="n"/>
      <c r="G975" s="74" t="inlineStr">
        <is>
          <t>kg</t>
        </is>
      </c>
      <c r="H975" s="76" t="n">
        <v>29000</v>
      </c>
      <c r="I975" s="73" t="n">
        <v>29000</v>
      </c>
      <c r="J975" s="73" t="n"/>
      <c r="K975" s="74" t="n"/>
      <c r="L975" s="74" t="n"/>
    </row>
    <row r="976" ht="29.1" customHeight="1">
      <c r="A976" s="74" t="inlineStr">
        <is>
          <t>NPG0033</t>
        </is>
      </c>
      <c r="B976" s="74" t="inlineStr">
        <is>
          <t>Bột năng Thành phát 1kg/gói, 10 gói/thùng</t>
        </is>
      </c>
      <c r="C976" s="74" t="n"/>
      <c r="D976" s="74" t="n"/>
      <c r="E976" s="74" t="n"/>
      <c r="F976" s="74" t="n"/>
      <c r="G976" s="74" t="inlineStr">
        <is>
          <t>kg</t>
        </is>
      </c>
      <c r="H976" s="76" t="n">
        <v>21500</v>
      </c>
      <c r="I976" s="73" t="n">
        <v>21500</v>
      </c>
      <c r="J976" s="73" t="n"/>
      <c r="K976" s="74" t="n"/>
      <c r="L976" s="74" t="n"/>
    </row>
    <row r="977" ht="29.1" customHeight="1">
      <c r="A977" s="74" t="inlineStr">
        <is>
          <t>NPG0274</t>
        </is>
      </c>
      <c r="B977" s="74" t="inlineStr">
        <is>
          <t>Bột chiên giòn Thành Phát 1kg/gói</t>
        </is>
      </c>
      <c r="C977" s="74" t="n"/>
      <c r="D977" s="74" t="n"/>
      <c r="E977" s="74" t="n"/>
      <c r="F977" s="74" t="n"/>
      <c r="G977" s="74" t="inlineStr">
        <is>
          <t>kg</t>
        </is>
      </c>
      <c r="H977" s="76" t="n">
        <v>21500</v>
      </c>
      <c r="I977" s="73" t="n">
        <v>21500</v>
      </c>
      <c r="J977" s="73" t="n"/>
      <c r="K977" s="74" t="n"/>
      <c r="L977" s="74" t="n"/>
    </row>
    <row r="978" ht="29.1" customHeight="1">
      <c r="A978" s="74" t="inlineStr">
        <is>
          <t>NLT0604</t>
        </is>
      </c>
      <c r="B978" s="74" t="inlineStr">
        <is>
          <t>Móng giò đông lạnh cắt khoanh</t>
        </is>
      </c>
      <c r="C978" s="74" t="n"/>
      <c r="D978" s="74" t="n"/>
      <c r="E978" s="74" t="n"/>
      <c r="F978" s="74" t="n"/>
      <c r="G978" s="74" t="inlineStr">
        <is>
          <t>kg</t>
        </is>
      </c>
      <c r="H978" s="76" t="n">
        <v>38000</v>
      </c>
      <c r="I978" s="73" t="n">
        <v>38000</v>
      </c>
      <c r="J978" s="73" t="n"/>
      <c r="K978" s="74" t="n"/>
      <c r="L978" s="74" t="n"/>
    </row>
    <row r="979" ht="29.1" customHeight="1">
      <c r="A979" s="74" t="inlineStr">
        <is>
          <t>NLT0580</t>
        </is>
      </c>
      <c r="B979" s="74" t="inlineStr">
        <is>
          <t>Cá nục gai sơ chế bỏ đầu size 10-15 con/kg, 10kg/ Thùng</t>
        </is>
      </c>
      <c r="C979" s="74" t="n"/>
      <c r="D979" s="74" t="n"/>
      <c r="E979" s="74" t="n"/>
      <c r="F979" s="74" t="n"/>
      <c r="G979" s="74" t="inlineStr">
        <is>
          <t>kg</t>
        </is>
      </c>
      <c r="H979" s="76" t="n">
        <v>46000</v>
      </c>
      <c r="I979" s="73" t="n">
        <v>46000</v>
      </c>
      <c r="J979" s="73" t="n"/>
      <c r="K979" s="74" t="n"/>
      <c r="L979" s="74" t="n"/>
    </row>
    <row r="980" ht="29.1" customHeight="1">
      <c r="A980" s="74" t="inlineStr">
        <is>
          <t>NLT0335</t>
        </is>
      </c>
      <c r="B980" s="74" t="inlineStr">
        <is>
          <t>Đùi chọi trống lọc Mỹ</t>
        </is>
      </c>
      <c r="C980" s="74" t="n"/>
      <c r="D980" s="74" t="n"/>
      <c r="E980" s="74" t="n"/>
      <c r="F980" s="74" t="n"/>
      <c r="G980" s="74" t="inlineStr">
        <is>
          <t>kg</t>
        </is>
      </c>
      <c r="H980" s="76" t="n">
        <v>90000</v>
      </c>
      <c r="I980" s="73" t="n">
        <v>90000</v>
      </c>
      <c r="J980" s="73" t="n"/>
      <c r="K980" s="74" t="n"/>
      <c r="L980" s="74" t="n"/>
    </row>
    <row r="981" ht="29.1" customHeight="1">
      <c r="A981" s="74" t="inlineStr">
        <is>
          <t>NPG0649</t>
        </is>
      </c>
      <c r="B981" s="74" t="inlineStr">
        <is>
          <t>Chao đỏ Tứ Xuyên 280g/lọ</t>
        </is>
      </c>
      <c r="C981" s="74" t="n"/>
      <c r="D981" s="74" t="n"/>
      <c r="E981" s="74" t="n"/>
      <c r="F981" s="74" t="n"/>
      <c r="G981" s="74" t="inlineStr">
        <is>
          <t>Lọ</t>
        </is>
      </c>
      <c r="H981" s="76" t="n">
        <v>35000</v>
      </c>
      <c r="I981" s="73" t="n">
        <v>35000</v>
      </c>
      <c r="J981" s="73" t="n"/>
      <c r="K981" s="74" t="n"/>
      <c r="L981" s="74" t="n"/>
    </row>
    <row r="982" ht="29.1" customHeight="1">
      <c r="A982" s="74" t="inlineStr">
        <is>
          <t>NLG0020</t>
        </is>
      </c>
      <c r="B982" s="74" t="inlineStr">
        <is>
          <t>Mỳ tôm kokomy 30 gói/ thùng</t>
        </is>
      </c>
      <c r="C982" s="74" t="n"/>
      <c r="D982" s="74" t="n"/>
      <c r="E982" s="74" t="n"/>
      <c r="F982" s="74" t="n"/>
      <c r="G982" s="74" t="inlineStr">
        <is>
          <t>Gói</t>
        </is>
      </c>
      <c r="H982" s="76" t="n">
        <v>3100</v>
      </c>
      <c r="I982" s="73" t="n">
        <v>3100</v>
      </c>
      <c r="J982" s="73" t="n"/>
      <c r="K982" s="74" t="n"/>
      <c r="L982" s="74" t="n"/>
    </row>
    <row r="983" ht="29.1" customHeight="1">
      <c r="A983" s="74" t="inlineStr">
        <is>
          <t>CCDC00831</t>
        </is>
      </c>
      <c r="B983" s="74" t="inlineStr">
        <is>
          <t>khay nhựa dùng 4 ngăn dùng 1 lần</t>
        </is>
      </c>
      <c r="C983" s="74" t="n"/>
      <c r="D983" s="74" t="n"/>
      <c r="E983" s="74" t="n"/>
      <c r="F983" s="74" t="n"/>
      <c r="G983" s="74" t="inlineStr">
        <is>
          <t>Chiếc</t>
        </is>
      </c>
      <c r="H983" s="76" t="n">
        <v>1900</v>
      </c>
      <c r="I983" s="73" t="n">
        <v>1900</v>
      </c>
      <c r="J983" s="73" t="n"/>
      <c r="K983" s="74" t="n"/>
      <c r="L983" s="74" t="n"/>
    </row>
    <row r="984" ht="29.1" customHeight="1">
      <c r="A984" s="74" t="inlineStr">
        <is>
          <t>HHN0266</t>
        </is>
      </c>
      <c r="B984" s="74" t="inlineStr">
        <is>
          <t>Nước bình 20L</t>
        </is>
      </c>
      <c r="C984" s="74" t="n"/>
      <c r="D984" s="74" t="n"/>
      <c r="E984" s="74" t="n"/>
      <c r="F984" s="74" t="n"/>
      <c r="G984" s="74" t="inlineStr">
        <is>
          <t>Bình</t>
        </is>
      </c>
      <c r="H984" s="76" t="n">
        <v>90000</v>
      </c>
      <c r="I984" s="73" t="n">
        <v>90000</v>
      </c>
      <c r="J984" s="73" t="n"/>
      <c r="K984" s="74" t="n"/>
      <c r="L984" s="74" t="n"/>
    </row>
    <row r="985" ht="29.1" customHeight="1">
      <c r="A985" s="74" t="inlineStr">
        <is>
          <t>NPG0147</t>
        </is>
      </c>
      <c r="B985" s="74" t="inlineStr">
        <is>
          <t>Thảo quả</t>
        </is>
      </c>
      <c r="C985" s="74" t="n"/>
      <c r="D985" s="74" t="n"/>
      <c r="E985" s="74" t="n"/>
      <c r="F985" s="74" t="n"/>
      <c r="G985" s="74" t="inlineStr">
        <is>
          <t>kg</t>
        </is>
      </c>
      <c r="H985" s="76" t="n">
        <v>220000</v>
      </c>
      <c r="I985" s="73" t="n">
        <v>220000</v>
      </c>
      <c r="J985" s="73" t="n"/>
      <c r="K985" s="74" t="n"/>
      <c r="L985" s="74" t="n"/>
    </row>
    <row r="986" ht="29.1" customHeight="1">
      <c r="A986" s="74" t="inlineStr">
        <is>
          <t>HHS0101</t>
        </is>
      </c>
      <c r="B986" s="74" t="inlineStr">
        <is>
          <t>Sữa chua elovi 95g *48 hộp/thùng</t>
        </is>
      </c>
      <c r="C986" s="74" t="n"/>
      <c r="D986" s="74" t="n"/>
      <c r="E986" s="74" t="n"/>
      <c r="F986" s="74" t="n"/>
      <c r="G986" s="74" t="inlineStr">
        <is>
          <t>can</t>
        </is>
      </c>
      <c r="H986" s="76" t="n">
        <v>185000</v>
      </c>
      <c r="I986" s="73" t="n">
        <v>185000</v>
      </c>
      <c r="J986" s="73" t="n"/>
      <c r="K986" s="74" t="n"/>
      <c r="L986" s="74" t="n"/>
    </row>
    <row r="987" ht="29.1" customHeight="1">
      <c r="A987" s="74" t="inlineStr">
        <is>
          <t>NPG0142</t>
        </is>
      </c>
      <c r="B987" s="74" t="inlineStr">
        <is>
          <t>Tương ớt Quê Tôi 2 lít/can</t>
        </is>
      </c>
      <c r="C987" s="74" t="n"/>
      <c r="D987" s="74" t="n"/>
      <c r="E987" s="74" t="n"/>
      <c r="F987" s="74" t="n"/>
      <c r="G987" s="74" t="inlineStr">
        <is>
          <t>can</t>
        </is>
      </c>
      <c r="H987" s="76" t="n">
        <v>25000</v>
      </c>
      <c r="I987" s="73" t="n">
        <v>25000</v>
      </c>
      <c r="J987" s="73" t="n"/>
      <c r="K987" s="74" t="n"/>
      <c r="L987" s="74" t="n"/>
    </row>
    <row r="988" ht="29.1" customHeight="1">
      <c r="A988" s="74" t="inlineStr">
        <is>
          <t>CCDC1V00135</t>
        </is>
      </c>
      <c r="B988" s="74" t="inlineStr">
        <is>
          <t>Bình xịt côn trùng Jumbo Vape 600ml</t>
        </is>
      </c>
      <c r="C988" s="74" t="n"/>
      <c r="D988" s="74" t="n"/>
      <c r="E988" s="74" t="n"/>
      <c r="F988" s="74" t="n"/>
      <c r="G988" s="74" t="inlineStr">
        <is>
          <t>Chai</t>
        </is>
      </c>
      <c r="H988" s="76" t="n">
        <v>65000</v>
      </c>
      <c r="I988" s="73" t="n">
        <v>65000</v>
      </c>
      <c r="J988" s="73" t="n"/>
      <c r="K988" s="74" t="n"/>
      <c r="L988" s="74" t="n"/>
    </row>
    <row r="989" ht="29.1" customHeight="1">
      <c r="A989" s="74" t="inlineStr">
        <is>
          <t>CCDC1V00134</t>
        </is>
      </c>
      <c r="B989" s="74" t="inlineStr">
        <is>
          <t>Chai nhựa trong 350ml + nắp đen</t>
        </is>
      </c>
      <c r="C989" s="74" t="n"/>
      <c r="D989" s="74" t="n"/>
      <c r="E989" s="74" t="n"/>
      <c r="F989" s="74" t="n"/>
      <c r="G989" s="74" t="inlineStr">
        <is>
          <t>Bộ</t>
        </is>
      </c>
      <c r="H989" s="76" t="n">
        <v>2600</v>
      </c>
      <c r="I989" s="73" t="n">
        <v>2600</v>
      </c>
      <c r="J989" s="73" t="n"/>
      <c r="K989" s="74" t="n"/>
      <c r="L989" s="74" t="n"/>
    </row>
    <row r="990" ht="29.1" customHeight="1">
      <c r="A990" s="74" t="inlineStr">
        <is>
          <t>NPV0316</t>
        </is>
      </c>
      <c r="B990" s="74" t="inlineStr">
        <is>
          <t>Cốc nhựa dùng 1 lần 500ml</t>
        </is>
      </c>
      <c r="C990" s="74" t="n"/>
      <c r="D990" s="74" t="n"/>
      <c r="E990" s="74" t="n"/>
      <c r="F990" s="74" t="n"/>
      <c r="G990" s="74" t="inlineStr">
        <is>
          <t>Cái</t>
        </is>
      </c>
      <c r="H990" s="76" t="n">
        <v>400</v>
      </c>
      <c r="I990" s="73" t="n">
        <v>400</v>
      </c>
      <c r="J990" s="73" t="n"/>
      <c r="K990" s="74" t="n"/>
      <c r="L990" s="74" t="n"/>
    </row>
    <row r="991" ht="29.1" customHeight="1">
      <c r="A991" s="74" t="inlineStr">
        <is>
          <t>CCDC2646</t>
        </is>
      </c>
      <c r="B991" s="74" t="inlineStr">
        <is>
          <t>Set cao cấp (đũa tre, muỗng trắng, tăm, giấy ăn)</t>
        </is>
      </c>
      <c r="C991" s="74" t="n"/>
      <c r="D991" s="74" t="n"/>
      <c r="E991" s="74" t="n"/>
      <c r="F991" s="74" t="n"/>
      <c r="G991" s="74" t="inlineStr">
        <is>
          <t>Bộ</t>
        </is>
      </c>
      <c r="H991" s="76" t="n">
        <v>450</v>
      </c>
      <c r="I991" s="73" t="n">
        <v>450</v>
      </c>
      <c r="J991" s="73" t="n"/>
      <c r="K991" s="74" t="n"/>
      <c r="L991" s="74" t="n"/>
    </row>
    <row r="992" ht="29.1" customHeight="1">
      <c r="A992" s="74" t="inlineStr">
        <is>
          <t>HHS0051</t>
        </is>
      </c>
      <c r="B992" s="74" t="inlineStr">
        <is>
          <t>Sữa fami bịch nguyên chất ,40 túi/ thùng</t>
        </is>
      </c>
      <c r="C992" s="74" t="n"/>
      <c r="D992" s="74" t="n"/>
      <c r="E992" s="74" t="n"/>
      <c r="F992" s="74" t="n"/>
      <c r="G992" s="74" t="inlineStr">
        <is>
          <t>Túi</t>
        </is>
      </c>
      <c r="H992" s="76" t="n">
        <v>3500</v>
      </c>
      <c r="I992" s="73" t="n">
        <v>3500</v>
      </c>
      <c r="J992" s="73" t="n"/>
      <c r="K992" s="74" t="n"/>
      <c r="L992" s="74" t="n"/>
    </row>
    <row r="993" ht="43.5" customHeight="1">
      <c r="A993" s="74" t="inlineStr">
        <is>
          <t>HHN0109</t>
        </is>
      </c>
      <c r="B993" s="74" t="inlineStr">
        <is>
          <t>Sữa đậu nành Nuti nguyên chất 200ml/túi*36 gói</t>
        </is>
      </c>
      <c r="C993" s="74" t="n"/>
      <c r="D993" s="74" t="n"/>
      <c r="E993" s="74" t="n"/>
      <c r="F993" s="74" t="n"/>
      <c r="G993" s="74" t="inlineStr">
        <is>
          <t>Bịch</t>
        </is>
      </c>
      <c r="H993" s="76" t="n">
        <v>3400</v>
      </c>
      <c r="I993" s="73" t="n">
        <v>3400</v>
      </c>
      <c r="J993" s="73" t="n"/>
      <c r="K993" s="74" t="n"/>
      <c r="L993" s="74" t="n"/>
    </row>
    <row r="994" ht="43.5" customHeight="1">
      <c r="A994" s="74" t="inlineStr">
        <is>
          <t>VPP0029</t>
        </is>
      </c>
      <c r="B994" s="74" t="inlineStr">
        <is>
          <t>Chun vòng</t>
        </is>
      </c>
      <c r="C994" s="74" t="n"/>
      <c r="D994" s="74" t="n"/>
      <c r="E994" s="74" t="n"/>
      <c r="F994" s="74" t="n"/>
      <c r="G994" s="74" t="inlineStr">
        <is>
          <t>BỊCH</t>
        </is>
      </c>
      <c r="H994" s="76" t="n">
        <v>120000</v>
      </c>
      <c r="I994" s="73" t="n">
        <v>120000</v>
      </c>
      <c r="J994" s="73" t="n"/>
      <c r="K994" s="74" t="n"/>
      <c r="L994" s="74" t="n"/>
    </row>
    <row r="995" ht="29.1" customHeight="1">
      <c r="A995" s="74" t="inlineStr">
        <is>
          <t>NPV0077</t>
        </is>
      </c>
      <c r="B995" s="74" t="inlineStr">
        <is>
          <t>Găng tay cao su</t>
        </is>
      </c>
      <c r="C995" s="74" t="n"/>
      <c r="D995" s="74" t="n"/>
      <c r="E995" s="74" t="n"/>
      <c r="F995" s="74" t="n"/>
      <c r="G995" s="74" t="inlineStr">
        <is>
          <t>đôi</t>
        </is>
      </c>
      <c r="H995" s="76" t="n">
        <v>25000</v>
      </c>
      <c r="I995" s="73" t="n">
        <v>25000</v>
      </c>
      <c r="J995" s="73" t="n"/>
      <c r="K995" s="74" t="n"/>
      <c r="L995" s="74" t="n"/>
    </row>
    <row r="996" ht="29.1" customHeight="1">
      <c r="A996" s="74" t="inlineStr">
        <is>
          <t>NPV0084</t>
        </is>
      </c>
      <c r="B996" s="74" t="inlineStr">
        <is>
          <t>Tăm nhọn</t>
        </is>
      </c>
      <c r="C996" s="74" t="n"/>
      <c r="D996" s="74" t="n"/>
      <c r="E996" s="74" t="n"/>
      <c r="F996" s="74" t="n"/>
      <c r="G996" s="74" t="inlineStr">
        <is>
          <t>Gói</t>
        </is>
      </c>
      <c r="H996" s="76" t="n">
        <v>18000</v>
      </c>
      <c r="I996" s="73" t="n">
        <v>18000</v>
      </c>
      <c r="J996" s="73" t="n"/>
      <c r="K996" s="74" t="n"/>
      <c r="L996" s="74" t="n"/>
    </row>
    <row r="997" ht="29.1" customHeight="1">
      <c r="A997" s="74" t="inlineStr">
        <is>
          <t>HHS0126</t>
        </is>
      </c>
      <c r="B997" s="74" t="inlineStr">
        <is>
          <t>Sữa izzi Dinomilk HNmilk vị hoa quả 110ml* 48 hộp</t>
        </is>
      </c>
      <c r="C997" s="74" t="n"/>
      <c r="D997" s="74" t="n"/>
      <c r="E997" s="74" t="n"/>
      <c r="F997" s="74" t="n"/>
      <c r="G997" s="74" t="inlineStr">
        <is>
          <t>Hộp</t>
        </is>
      </c>
      <c r="H997" s="76" t="n">
        <v>3500</v>
      </c>
      <c r="I997" s="73" t="n">
        <v>3500</v>
      </c>
      <c r="J997" s="73" t="n"/>
      <c r="K997" s="74" t="n"/>
      <c r="L997" s="74" t="n"/>
      <c r="M997" s="64" t="e">
        <v>#N/A</v>
      </c>
    </row>
    <row r="998" ht="29.1" customHeight="1">
      <c r="A998" s="74" t="inlineStr">
        <is>
          <t>NPG0240</t>
        </is>
      </c>
      <c r="B998" s="74" t="inlineStr">
        <is>
          <t>Tương ớt Phú Khánh 500ml/ chai*20 chai</t>
        </is>
      </c>
      <c r="C998" s="74" t="n"/>
      <c r="D998" s="74" t="n"/>
      <c r="E998" s="74" t="n"/>
      <c r="F998" s="74" t="n"/>
      <c r="G998" s="74" t="inlineStr">
        <is>
          <t>Chai</t>
        </is>
      </c>
      <c r="H998" s="76" t="n">
        <v>12500</v>
      </c>
      <c r="I998" s="73" t="n">
        <v>12500</v>
      </c>
      <c r="J998" s="73" t="n"/>
      <c r="K998" s="74" t="n"/>
      <c r="L998" s="74" t="n"/>
      <c r="M998" s="64" t="e">
        <v>#N/A</v>
      </c>
    </row>
    <row r="999" ht="29.1" customHeight="1">
      <c r="A999" s="74" t="inlineStr">
        <is>
          <t>NPG0270</t>
        </is>
      </c>
      <c r="B999" s="74" t="inlineStr">
        <is>
          <t>Dấm ăn Phú Khánh 500ml/chai* 24 chai</t>
        </is>
      </c>
      <c r="C999" s="74" t="n"/>
      <c r="D999" s="74" t="n"/>
      <c r="E999" s="74" t="n"/>
      <c r="F999" s="74" t="n"/>
      <c r="G999" s="74" t="inlineStr">
        <is>
          <t>Chai</t>
        </is>
      </c>
      <c r="H999" s="76" t="n">
        <v>3000</v>
      </c>
      <c r="I999" s="73" t="n">
        <v>3000</v>
      </c>
      <c r="J999" s="73" t="n"/>
      <c r="K999" s="74" t="n"/>
      <c r="L999" s="74" t="n"/>
      <c r="M999" s="64" t="e">
        <v>#N/A</v>
      </c>
    </row>
    <row r="1000" ht="29.1" customHeight="1">
      <c r="A1000" s="74" t="inlineStr">
        <is>
          <t>NLQ0106</t>
        </is>
      </c>
      <c r="B1000" s="74" t="inlineStr">
        <is>
          <t>Quả thanh long &gt;700g/quả</t>
        </is>
      </c>
      <c r="C1000" s="74" t="n"/>
      <c r="D1000" s="74" t="n"/>
      <c r="E1000" s="74" t="n"/>
      <c r="F1000" s="74" t="n"/>
      <c r="G1000" s="74" t="inlineStr">
        <is>
          <t>kg</t>
        </is>
      </c>
      <c r="H1000" s="76" t="n">
        <v>23000</v>
      </c>
      <c r="I1000" s="73" t="n">
        <v>23000</v>
      </c>
      <c r="J1000" s="73" t="n"/>
      <c r="K1000" s="74" t="n"/>
      <c r="L1000" s="74" t="n"/>
      <c r="M1000" s="64" t="e">
        <v>#N/A</v>
      </c>
    </row>
    <row r="1001" ht="29.1" customHeight="1">
      <c r="A1001" s="74" t="n"/>
      <c r="B1001" s="74" t="n"/>
      <c r="C1001" s="74" t="n"/>
      <c r="D1001" s="74" t="n"/>
      <c r="E1001" s="74" t="n"/>
      <c r="F1001" s="74" t="n"/>
      <c r="G1001" s="74" t="inlineStr">
        <is>
          <t>kg</t>
        </is>
      </c>
      <c r="H1001" s="76" t="n"/>
      <c r="I1001" s="73" t="n"/>
      <c r="J1001" s="73" t="n"/>
      <c r="K1001" s="74" t="n"/>
      <c r="L1001" s="74" t="n"/>
      <c r="M1001" s="64" t="e">
        <v>#N/A</v>
      </c>
    </row>
    <row r="1002" ht="29.1" customHeight="1">
      <c r="A1002" s="74" t="n"/>
      <c r="B1002" s="74" t="n"/>
      <c r="C1002" s="74" t="n"/>
      <c r="D1002" s="74" t="n"/>
      <c r="E1002" s="74" t="n"/>
      <c r="F1002" s="74" t="n"/>
      <c r="G1002" s="74" t="inlineStr">
        <is>
          <t>kg</t>
        </is>
      </c>
      <c r="H1002" s="76" t="n"/>
      <c r="I1002" s="73" t="n"/>
      <c r="J1002" s="73" t="n"/>
      <c r="K1002" s="74" t="n"/>
      <c r="L1002" s="74" t="n"/>
      <c r="M1002" s="64" t="e">
        <v>#N/A</v>
      </c>
    </row>
    <row r="1003" ht="29.1" customHeight="1">
      <c r="A1003" s="74" t="n"/>
      <c r="B1003" s="74" t="n"/>
      <c r="C1003" s="74" t="n"/>
      <c r="D1003" s="74" t="n"/>
      <c r="E1003" s="74" t="n"/>
      <c r="F1003" s="74" t="n"/>
      <c r="G1003" s="74" t="inlineStr">
        <is>
          <t>kg</t>
        </is>
      </c>
      <c r="H1003" s="76" t="n"/>
      <c r="I1003" s="73" t="n"/>
      <c r="J1003" s="73" t="n"/>
      <c r="K1003" s="74" t="n"/>
      <c r="L1003" s="74" t="n"/>
      <c r="M1003" s="64" t="e">
        <v>#N/A</v>
      </c>
    </row>
    <row r="1004" ht="29.1" customHeight="1">
      <c r="A1004" s="74" t="n"/>
      <c r="B1004" s="74" t="n"/>
      <c r="C1004" s="74" t="n"/>
      <c r="D1004" s="74" t="n"/>
      <c r="E1004" s="74" t="n"/>
      <c r="F1004" s="74" t="n"/>
      <c r="G1004" s="74" t="inlineStr">
        <is>
          <t>kg</t>
        </is>
      </c>
      <c r="H1004" s="76" t="n"/>
      <c r="I1004" s="73" t="n"/>
      <c r="J1004" s="73" t="n"/>
      <c r="K1004" s="74" t="n"/>
      <c r="L1004" s="74" t="n"/>
      <c r="M1004" s="64" t="e">
        <v>#N/A</v>
      </c>
    </row>
    <row r="1005" ht="43.5" customHeight="1">
      <c r="A1005" s="74" t="n"/>
      <c r="B1005" s="74" t="n"/>
      <c r="C1005" s="74" t="n"/>
      <c r="D1005" s="74" t="n"/>
      <c r="E1005" s="74" t="n"/>
      <c r="F1005" s="74" t="n"/>
      <c r="G1005" s="74" t="inlineStr">
        <is>
          <t>kg</t>
        </is>
      </c>
      <c r="H1005" s="76" t="n"/>
      <c r="I1005" s="73" t="n"/>
      <c r="J1005" s="73" t="n"/>
      <c r="K1005" s="74" t="n"/>
      <c r="L1005" s="74" t="n"/>
      <c r="M1005" s="64" t="e">
        <v>#N/A</v>
      </c>
    </row>
    <row r="1006" ht="43.5" customHeight="1">
      <c r="A1006" s="74" t="n"/>
      <c r="B1006" s="74" t="n"/>
      <c r="C1006" s="74" t="n"/>
      <c r="D1006" s="74" t="n"/>
      <c r="E1006" s="74" t="n"/>
      <c r="F1006" s="74" t="n"/>
      <c r="G1006" s="74" t="inlineStr">
        <is>
          <t>kg</t>
        </is>
      </c>
      <c r="H1006" s="76" t="n"/>
      <c r="I1006" s="73" t="n"/>
      <c r="J1006" s="73" t="n"/>
      <c r="K1006" s="74" t="n"/>
      <c r="L1006" s="74" t="n"/>
      <c r="M1006" s="64" t="e">
        <v>#N/A</v>
      </c>
    </row>
    <row r="1007" ht="29.1" customHeight="1">
      <c r="A1007" s="74" t="n"/>
      <c r="B1007" s="74" t="n"/>
      <c r="C1007" s="74" t="n"/>
      <c r="D1007" s="74" t="n"/>
      <c r="E1007" s="74" t="n"/>
      <c r="F1007" s="74" t="n"/>
      <c r="G1007" s="74" t="inlineStr">
        <is>
          <t>kg</t>
        </is>
      </c>
      <c r="H1007" s="76" t="n"/>
      <c r="I1007" s="73" t="n"/>
      <c r="J1007" s="73" t="n"/>
      <c r="K1007" s="74" t="n"/>
      <c r="L1007" s="74" t="n"/>
      <c r="M1007" s="64" t="e">
        <v>#N/A</v>
      </c>
    </row>
    <row r="1008" ht="29.1" customHeight="1">
      <c r="A1008" s="74" t="n"/>
      <c r="B1008" s="74" t="n"/>
      <c r="C1008" s="74" t="n"/>
      <c r="D1008" s="74" t="n"/>
      <c r="E1008" s="74" t="n"/>
      <c r="F1008" s="74" t="n"/>
      <c r="G1008" s="74" t="inlineStr">
        <is>
          <t>kg</t>
        </is>
      </c>
      <c r="H1008" s="76" t="n"/>
      <c r="I1008" s="73" t="n"/>
      <c r="J1008" s="73" t="n"/>
      <c r="K1008" s="74" t="n"/>
      <c r="L1008" s="74" t="n"/>
      <c r="M1008" s="64" t="e">
        <v>#N/A</v>
      </c>
    </row>
    <row r="1009" ht="29.1" customHeight="1">
      <c r="A1009" s="74" t="n"/>
      <c r="B1009" s="74" t="n"/>
      <c r="C1009" s="74" t="n"/>
      <c r="D1009" s="74" t="n"/>
      <c r="E1009" s="74" t="n"/>
      <c r="F1009" s="74" t="n"/>
      <c r="G1009" s="74" t="inlineStr">
        <is>
          <t>kg</t>
        </is>
      </c>
      <c r="H1009" s="76" t="n"/>
      <c r="I1009" s="73" t="n"/>
      <c r="J1009" s="73" t="n"/>
      <c r="K1009" s="74" t="n"/>
      <c r="L1009" s="74" t="n"/>
      <c r="M1009" s="64" t="e">
        <v>#N/A</v>
      </c>
    </row>
    <row r="1010" ht="29.1" customHeight="1">
      <c r="A1010" s="74" t="n"/>
      <c r="B1010" s="74" t="n"/>
      <c r="C1010" s="74" t="n"/>
      <c r="D1010" s="74" t="n"/>
      <c r="E1010" s="74" t="n"/>
      <c r="F1010" s="74" t="n"/>
      <c r="G1010" s="74" t="inlineStr">
        <is>
          <t>kg</t>
        </is>
      </c>
      <c r="H1010" s="76" t="n"/>
      <c r="I1010" s="73" t="n"/>
      <c r="J1010" s="73" t="n"/>
      <c r="K1010" s="74" t="n"/>
      <c r="L1010" s="74" t="n"/>
      <c r="M1010" s="64" t="e">
        <v>#N/A</v>
      </c>
    </row>
    <row r="1011" ht="29.1" customHeight="1">
      <c r="A1011" s="74" t="n"/>
      <c r="B1011" s="74" t="n"/>
      <c r="C1011" s="74" t="n"/>
      <c r="D1011" s="74" t="n"/>
      <c r="E1011" s="74" t="n"/>
      <c r="F1011" s="74" t="n"/>
      <c r="G1011" s="74" t="inlineStr">
        <is>
          <t>kg</t>
        </is>
      </c>
      <c r="H1011" s="76" t="n"/>
      <c r="I1011" s="73" t="n"/>
      <c r="J1011" s="73" t="n"/>
      <c r="K1011" s="74" t="n"/>
      <c r="L1011" s="74" t="n"/>
      <c r="M1011" s="64" t="e">
        <v>#N/A</v>
      </c>
    </row>
    <row r="1012" ht="29.1" customHeight="1">
      <c r="A1012" s="74" t="n"/>
      <c r="B1012" s="74" t="n"/>
      <c r="C1012" s="74" t="n"/>
      <c r="D1012" s="74" t="n"/>
      <c r="E1012" s="74" t="n"/>
      <c r="F1012" s="74" t="n"/>
      <c r="G1012" s="74" t="inlineStr">
        <is>
          <t>kg</t>
        </is>
      </c>
      <c r="H1012" s="76" t="n"/>
      <c r="I1012" s="73" t="n"/>
      <c r="J1012" s="73" t="n"/>
      <c r="K1012" s="74" t="n"/>
      <c r="L1012" s="74" t="n"/>
      <c r="M1012" s="64" t="e">
        <v>#N/A</v>
      </c>
    </row>
    <row r="1013" ht="29.1" customHeight="1">
      <c r="A1013" s="74" t="n"/>
      <c r="B1013" s="74" t="n"/>
      <c r="C1013" s="74" t="n"/>
      <c r="D1013" s="74" t="n"/>
      <c r="E1013" s="74" t="n"/>
      <c r="F1013" s="74" t="n"/>
      <c r="G1013" s="74" t="inlineStr">
        <is>
          <t>kg</t>
        </is>
      </c>
      <c r="H1013" s="76" t="n"/>
      <c r="I1013" s="73" t="n"/>
      <c r="J1013" s="73" t="n"/>
      <c r="K1013" s="74" t="n"/>
      <c r="L1013" s="74" t="n"/>
      <c r="M1013" s="64" t="e">
        <v>#N/A</v>
      </c>
    </row>
    <row r="1014" ht="29.1" customHeight="1">
      <c r="A1014" s="74" t="n"/>
      <c r="B1014" s="74" t="n"/>
      <c r="C1014" s="74" t="n"/>
      <c r="D1014" s="74" t="n"/>
      <c r="E1014" s="74" t="n"/>
      <c r="F1014" s="74" t="n"/>
      <c r="G1014" s="74" t="inlineStr">
        <is>
          <t>kg</t>
        </is>
      </c>
      <c r="H1014" s="76" t="n"/>
      <c r="I1014" s="73" t="n"/>
      <c r="J1014" s="73" t="n"/>
      <c r="K1014" s="74" t="n"/>
      <c r="L1014" s="74" t="n"/>
      <c r="M1014" s="64" t="e">
        <v>#N/A</v>
      </c>
    </row>
    <row r="1015" ht="29.1" customHeight="1">
      <c r="A1015" s="74" t="n"/>
      <c r="B1015" s="74" t="n"/>
      <c r="C1015" s="74" t="n"/>
      <c r="D1015" s="74" t="n"/>
      <c r="E1015" s="74" t="n"/>
      <c r="F1015" s="74" t="n"/>
      <c r="G1015" s="74" t="inlineStr">
        <is>
          <t>kg</t>
        </is>
      </c>
      <c r="H1015" s="76" t="n"/>
      <c r="I1015" s="73" t="n"/>
      <c r="J1015" s="73" t="n"/>
      <c r="K1015" s="74" t="n"/>
      <c r="L1015" s="74" t="n"/>
      <c r="M1015" s="64" t="e">
        <v>#N/A</v>
      </c>
    </row>
    <row r="1016" ht="29.1" customHeight="1">
      <c r="A1016" s="74" t="n"/>
      <c r="B1016" s="74" t="n"/>
      <c r="C1016" s="74" t="n"/>
      <c r="D1016" s="74" t="n"/>
      <c r="E1016" s="74" t="n"/>
      <c r="F1016" s="74" t="n"/>
      <c r="G1016" s="74" t="inlineStr">
        <is>
          <t>kg</t>
        </is>
      </c>
      <c r="H1016" s="76" t="n"/>
      <c r="I1016" s="73" t="n"/>
      <c r="J1016" s="73" t="n"/>
      <c r="K1016" s="74" t="n"/>
      <c r="L1016" s="74" t="n"/>
      <c r="M1016" s="64" t="e">
        <v>#N/A</v>
      </c>
    </row>
    <row r="1017" ht="29.1" customHeight="1">
      <c r="A1017" s="74" t="n"/>
      <c r="B1017" s="74" t="n"/>
      <c r="C1017" s="74" t="n"/>
      <c r="D1017" s="74" t="n"/>
      <c r="E1017" s="74" t="n"/>
      <c r="F1017" s="74" t="n"/>
      <c r="G1017" s="74" t="inlineStr">
        <is>
          <t>kg</t>
        </is>
      </c>
      <c r="H1017" s="76" t="n"/>
      <c r="I1017" s="73" t="n"/>
      <c r="J1017" s="73" t="n"/>
      <c r="K1017" s="74" t="n"/>
      <c r="L1017" s="74" t="n"/>
      <c r="M1017" s="64" t="e">
        <v>#N/A</v>
      </c>
    </row>
    <row r="1018" ht="29.1" customHeight="1">
      <c r="A1018" s="74" t="n"/>
      <c r="B1018" s="74" t="n"/>
      <c r="C1018" s="74" t="n"/>
      <c r="D1018" s="74" t="n"/>
      <c r="E1018" s="74" t="n"/>
      <c r="F1018" s="74" t="n"/>
      <c r="G1018" s="74" t="inlineStr">
        <is>
          <t>kg</t>
        </is>
      </c>
      <c r="H1018" s="76" t="n"/>
      <c r="I1018" s="73" t="n"/>
      <c r="J1018" s="73" t="n"/>
      <c r="K1018" s="74" t="n"/>
      <c r="L1018" s="74" t="n"/>
      <c r="M1018" s="64" t="e">
        <v>#N/A</v>
      </c>
    </row>
    <row r="1019" ht="29.1" customHeight="1">
      <c r="A1019" s="74" t="n"/>
      <c r="B1019" s="74" t="n"/>
      <c r="C1019" s="74" t="n"/>
      <c r="D1019" s="74" t="n"/>
      <c r="E1019" s="74" t="n"/>
      <c r="F1019" s="74" t="n"/>
      <c r="G1019" s="74" t="inlineStr">
        <is>
          <t>kg</t>
        </is>
      </c>
      <c r="H1019" s="76" t="n"/>
      <c r="I1019" s="73" t="n"/>
      <c r="J1019" s="73" t="n"/>
      <c r="K1019" s="74" t="n"/>
      <c r="L1019" s="74" t="n"/>
      <c r="M1019" s="64" t="e">
        <v>#N/A</v>
      </c>
    </row>
    <row r="1020" ht="29.1" customHeight="1">
      <c r="A1020" s="74" t="n"/>
      <c r="B1020" s="74" t="n"/>
      <c r="C1020" s="74" t="n"/>
      <c r="D1020" s="74" t="n"/>
      <c r="E1020" s="74" t="n"/>
      <c r="F1020" s="74" t="n"/>
      <c r="G1020" s="74" t="inlineStr">
        <is>
          <t>kg</t>
        </is>
      </c>
      <c r="H1020" s="76" t="n"/>
      <c r="I1020" s="73" t="n"/>
      <c r="J1020" s="73" t="n"/>
      <c r="K1020" s="74" t="n"/>
      <c r="L1020" s="74" t="n"/>
      <c r="M1020" s="64" t="e">
        <v>#N/A</v>
      </c>
    </row>
    <row r="1021" ht="29.1" customHeight="1">
      <c r="A1021" s="74" t="n"/>
      <c r="B1021" s="74" t="n"/>
      <c r="C1021" s="74" t="n"/>
      <c r="D1021" s="74" t="n"/>
      <c r="E1021" s="74" t="n"/>
      <c r="F1021" s="74" t="n"/>
      <c r="G1021" s="74" t="inlineStr">
        <is>
          <t>kg</t>
        </is>
      </c>
      <c r="H1021" s="76" t="n"/>
      <c r="I1021" s="73" t="n"/>
      <c r="J1021" s="73" t="n"/>
      <c r="K1021" s="74" t="n"/>
      <c r="L1021" s="74" t="n"/>
      <c r="M1021" s="64" t="e">
        <v>#N/A</v>
      </c>
    </row>
    <row r="1022" ht="29.1" customHeight="1">
      <c r="A1022" s="74" t="n"/>
      <c r="B1022" s="74" t="n"/>
      <c r="C1022" s="74" t="n"/>
      <c r="D1022" s="74" t="n"/>
      <c r="E1022" s="74" t="n"/>
      <c r="F1022" s="74" t="n"/>
      <c r="G1022" s="74" t="inlineStr">
        <is>
          <t>kg</t>
        </is>
      </c>
      <c r="H1022" s="76" t="n"/>
      <c r="I1022" s="73" t="n"/>
      <c r="J1022" s="73" t="n"/>
      <c r="K1022" s="74" t="n"/>
      <c r="L1022" s="74" t="n"/>
      <c r="M1022" s="64" t="e">
        <v>#N/A</v>
      </c>
    </row>
    <row r="1023" ht="29.1" customHeight="1">
      <c r="A1023" s="74" t="n"/>
      <c r="B1023" s="74" t="n"/>
      <c r="C1023" s="74" t="n"/>
      <c r="D1023" s="74" t="n"/>
      <c r="E1023" s="74" t="n"/>
      <c r="F1023" s="74" t="n"/>
      <c r="G1023" s="74" t="inlineStr">
        <is>
          <t>kg</t>
        </is>
      </c>
      <c r="H1023" s="76" t="n"/>
      <c r="I1023" s="73" t="n"/>
      <c r="J1023" s="73" t="n"/>
      <c r="K1023" s="74" t="n"/>
      <c r="L1023" s="74" t="n"/>
      <c r="M1023" s="64" t="e">
        <v>#N/A</v>
      </c>
    </row>
    <row r="1024" ht="29.1" customHeight="1">
      <c r="A1024" s="74" t="n"/>
      <c r="B1024" s="74" t="n"/>
      <c r="C1024" s="74" t="n"/>
      <c r="D1024" s="74" t="n"/>
      <c r="E1024" s="74" t="n"/>
      <c r="F1024" s="74" t="n"/>
      <c r="G1024" s="74" t="inlineStr">
        <is>
          <t>kg</t>
        </is>
      </c>
      <c r="H1024" s="76" t="n"/>
      <c r="I1024" s="73" t="n"/>
      <c r="J1024" s="73" t="n"/>
      <c r="K1024" s="74" t="n"/>
      <c r="L1024" s="74" t="n"/>
      <c r="M1024" s="64" t="e">
        <v>#N/A</v>
      </c>
    </row>
    <row r="1025" ht="29.1" customHeight="1">
      <c r="A1025" s="74" t="n"/>
      <c r="B1025" s="74" t="n"/>
      <c r="C1025" s="74" t="n"/>
      <c r="D1025" s="74" t="n"/>
      <c r="E1025" s="74" t="n"/>
      <c r="F1025" s="74" t="n"/>
      <c r="G1025" s="74" t="inlineStr">
        <is>
          <t>kg</t>
        </is>
      </c>
      <c r="H1025" s="76" t="n"/>
      <c r="I1025" s="73" t="n"/>
      <c r="J1025" s="73" t="n"/>
      <c r="K1025" s="74" t="n"/>
      <c r="L1025" s="74" t="n"/>
      <c r="M1025" s="64" t="e">
        <v>#N/A</v>
      </c>
    </row>
    <row r="1026" ht="29.1" customHeight="1">
      <c r="A1026" s="74" t="n"/>
      <c r="B1026" s="74" t="n"/>
      <c r="C1026" s="74" t="n"/>
      <c r="D1026" s="74" t="n"/>
      <c r="E1026" s="74" t="n"/>
      <c r="F1026" s="74" t="n"/>
      <c r="G1026" s="74" t="inlineStr">
        <is>
          <t>kg</t>
        </is>
      </c>
      <c r="H1026" s="76" t="n"/>
      <c r="I1026" s="73" t="n"/>
      <c r="J1026" s="73" t="n"/>
      <c r="K1026" s="74" t="n"/>
      <c r="L1026" s="74" t="n"/>
      <c r="M1026" s="64" t="e">
        <v>#N/A</v>
      </c>
    </row>
    <row r="1027" ht="29.1" customHeight="1">
      <c r="A1027" s="74" t="n"/>
      <c r="B1027" s="74" t="n"/>
      <c r="C1027" s="74" t="n"/>
      <c r="D1027" s="74" t="n"/>
      <c r="E1027" s="74" t="n"/>
      <c r="F1027" s="74" t="n"/>
      <c r="G1027" s="74" t="inlineStr">
        <is>
          <t>kg</t>
        </is>
      </c>
      <c r="H1027" s="76" t="n"/>
      <c r="I1027" s="73" t="n"/>
      <c r="J1027" s="73" t="n"/>
      <c r="K1027" s="74" t="n"/>
      <c r="L1027" s="74" t="n"/>
      <c r="M1027" s="64" t="e">
        <v>#N/A</v>
      </c>
    </row>
    <row r="1028" ht="29.1" customHeight="1">
      <c r="A1028" s="74" t="n"/>
      <c r="B1028" s="74" t="n"/>
      <c r="C1028" s="74" t="n"/>
      <c r="D1028" s="74" t="n"/>
      <c r="E1028" s="74" t="n"/>
      <c r="F1028" s="74" t="n"/>
      <c r="G1028" s="74" t="inlineStr">
        <is>
          <t>kg</t>
        </is>
      </c>
      <c r="H1028" s="76" t="n"/>
      <c r="I1028" s="73" t="n"/>
      <c r="J1028" s="73" t="n"/>
      <c r="K1028" s="74" t="n"/>
      <c r="L1028" s="74" t="n"/>
      <c r="M1028" s="64" t="e">
        <v>#N/A</v>
      </c>
    </row>
    <row r="1029" ht="29.1" customHeight="1">
      <c r="A1029" s="74" t="n"/>
      <c r="B1029" s="74" t="n"/>
      <c r="C1029" s="74" t="n"/>
      <c r="D1029" s="74" t="n"/>
      <c r="E1029" s="74" t="n"/>
      <c r="F1029" s="74" t="n"/>
      <c r="G1029" s="74" t="inlineStr">
        <is>
          <t>kg</t>
        </is>
      </c>
      <c r="H1029" s="76" t="n"/>
      <c r="I1029" s="73" t="n"/>
      <c r="J1029" s="73" t="n"/>
      <c r="K1029" s="74" t="n"/>
      <c r="L1029" s="74" t="n"/>
      <c r="M1029" s="64" t="e">
        <v>#N/A</v>
      </c>
    </row>
    <row r="1030" ht="29.1" customHeight="1">
      <c r="A1030" s="74" t="n"/>
      <c r="B1030" s="74" t="n"/>
      <c r="C1030" s="74" t="n"/>
      <c r="D1030" s="74" t="n"/>
      <c r="E1030" s="74" t="n"/>
      <c r="F1030" s="74" t="n"/>
      <c r="G1030" s="74" t="inlineStr">
        <is>
          <t>kg</t>
        </is>
      </c>
      <c r="H1030" s="76" t="n"/>
      <c r="I1030" s="73" t="n"/>
      <c r="J1030" s="73" t="n"/>
      <c r="K1030" s="74" t="n"/>
      <c r="L1030" s="74" t="n"/>
      <c r="M1030" s="64" t="e">
        <v>#N/A</v>
      </c>
    </row>
    <row r="1031" ht="29.1" customHeight="1">
      <c r="A1031" s="74" t="n"/>
      <c r="B1031" s="74" t="n"/>
      <c r="C1031" s="74" t="n"/>
      <c r="D1031" s="74" t="n"/>
      <c r="E1031" s="74" t="n"/>
      <c r="F1031" s="74" t="n"/>
      <c r="G1031" s="74" t="inlineStr">
        <is>
          <t>kg</t>
        </is>
      </c>
      <c r="H1031" s="76" t="n"/>
      <c r="I1031" s="73" t="n"/>
      <c r="J1031" s="73" t="n"/>
      <c r="K1031" s="74" t="n"/>
      <c r="L1031" s="74" t="n"/>
      <c r="M1031" s="64" t="e">
        <v>#N/A</v>
      </c>
    </row>
    <row r="1032" ht="29.1" customHeight="1">
      <c r="A1032" s="74" t="n"/>
      <c r="B1032" s="74" t="n"/>
      <c r="C1032" s="74" t="n"/>
      <c r="D1032" s="74" t="n"/>
      <c r="E1032" s="74" t="n"/>
      <c r="F1032" s="74" t="n"/>
      <c r="G1032" s="74" t="inlineStr">
        <is>
          <t>kg</t>
        </is>
      </c>
      <c r="H1032" s="76" t="n"/>
      <c r="I1032" s="73" t="n"/>
      <c r="J1032" s="73" t="n"/>
      <c r="K1032" s="74" t="n"/>
      <c r="L1032" s="74" t="n"/>
      <c r="M1032" s="64" t="e">
        <v>#N/A</v>
      </c>
    </row>
    <row r="1033" ht="29.1" customHeight="1">
      <c r="A1033" s="74" t="n"/>
      <c r="B1033" s="74" t="n"/>
      <c r="C1033" s="74" t="n"/>
      <c r="D1033" s="74" t="n"/>
      <c r="E1033" s="74" t="n"/>
      <c r="F1033" s="74" t="n"/>
      <c r="G1033" s="74" t="inlineStr">
        <is>
          <t>kg</t>
        </is>
      </c>
      <c r="H1033" s="76" t="n"/>
      <c r="I1033" s="73" t="n"/>
      <c r="J1033" s="73" t="n"/>
      <c r="K1033" s="74" t="n"/>
      <c r="L1033" s="74" t="n"/>
      <c r="M1033" s="64" t="e">
        <v>#N/A</v>
      </c>
    </row>
    <row r="1034" ht="29.1" customHeight="1">
      <c r="A1034" s="74" t="n"/>
      <c r="B1034" s="74" t="n"/>
      <c r="C1034" s="74" t="n"/>
      <c r="D1034" s="74" t="n"/>
      <c r="E1034" s="74" t="n"/>
      <c r="F1034" s="74" t="n"/>
      <c r="G1034" s="74" t="inlineStr">
        <is>
          <t>kg</t>
        </is>
      </c>
      <c r="H1034" s="76" t="n"/>
      <c r="I1034" s="73" t="n"/>
      <c r="J1034" s="73" t="n"/>
      <c r="K1034" s="74" t="n"/>
      <c r="L1034" s="74" t="n"/>
      <c r="M1034" s="64" t="e">
        <v>#N/A</v>
      </c>
    </row>
    <row r="1035" ht="29.1" customHeight="1">
      <c r="A1035" s="74" t="n"/>
      <c r="B1035" s="74" t="n"/>
      <c r="C1035" s="74" t="n"/>
      <c r="D1035" s="74" t="n"/>
      <c r="E1035" s="74" t="n"/>
      <c r="F1035" s="74" t="n"/>
      <c r="G1035" s="74" t="inlineStr">
        <is>
          <t>kg</t>
        </is>
      </c>
      <c r="H1035" s="76" t="n"/>
      <c r="I1035" s="73" t="n"/>
      <c r="J1035" s="73" t="n"/>
      <c r="K1035" s="74" t="n"/>
      <c r="L1035" s="74" t="n"/>
      <c r="M1035" s="64" t="e">
        <v>#N/A</v>
      </c>
    </row>
    <row r="1036" ht="29.1" customHeight="1">
      <c r="A1036" s="74" t="n"/>
      <c r="B1036" s="74" t="n"/>
      <c r="C1036" s="74" t="n"/>
      <c r="D1036" s="74" t="n"/>
      <c r="E1036" s="74" t="n"/>
      <c r="F1036" s="74" t="n"/>
      <c r="G1036" s="74" t="inlineStr">
        <is>
          <t>kg</t>
        </is>
      </c>
      <c r="H1036" s="76" t="n"/>
      <c r="I1036" s="73" t="n"/>
      <c r="J1036" s="73" t="n"/>
      <c r="K1036" s="74" t="n"/>
      <c r="L1036" s="74" t="n"/>
      <c r="M1036" s="64" t="e">
        <v>#N/A</v>
      </c>
    </row>
    <row r="1037" ht="29.1" customHeight="1">
      <c r="A1037" s="74" t="n"/>
      <c r="B1037" s="74" t="n"/>
      <c r="C1037" s="74" t="n"/>
      <c r="D1037" s="74" t="n"/>
      <c r="E1037" s="74" t="n"/>
      <c r="F1037" s="74" t="n"/>
      <c r="G1037" s="74" t="inlineStr">
        <is>
          <t>kg</t>
        </is>
      </c>
      <c r="H1037" s="76" t="n"/>
      <c r="I1037" s="73" t="n"/>
      <c r="J1037" s="73" t="n"/>
      <c r="K1037" s="74" t="n"/>
      <c r="L1037" s="74" t="n"/>
      <c r="M1037" s="64" t="e">
        <v>#N/A</v>
      </c>
    </row>
    <row r="1038" ht="29.1" customHeight="1">
      <c r="A1038" s="74" t="n"/>
      <c r="B1038" s="74" t="n"/>
      <c r="C1038" s="74" t="n"/>
      <c r="D1038" s="74" t="n"/>
      <c r="E1038" s="74" t="n"/>
      <c r="F1038" s="74" t="n"/>
      <c r="G1038" s="74" t="inlineStr">
        <is>
          <t>kg</t>
        </is>
      </c>
      <c r="H1038" s="76" t="n"/>
      <c r="I1038" s="73" t="n"/>
      <c r="J1038" s="73" t="n"/>
      <c r="K1038" s="74" t="n"/>
      <c r="L1038" s="74" t="n"/>
      <c r="M1038" s="64" t="e">
        <v>#N/A</v>
      </c>
    </row>
    <row r="1039" ht="29.1" customHeight="1">
      <c r="A1039" s="74" t="n"/>
      <c r="B1039" s="74" t="n"/>
      <c r="C1039" s="74" t="n"/>
      <c r="D1039" s="74" t="n"/>
      <c r="E1039" s="74" t="n"/>
      <c r="F1039" s="74" t="n"/>
      <c r="G1039" s="74" t="inlineStr">
        <is>
          <t>kg</t>
        </is>
      </c>
      <c r="H1039" s="76" t="n"/>
      <c r="I1039" s="73" t="n"/>
      <c r="J1039" s="73" t="n"/>
      <c r="K1039" s="74" t="n"/>
      <c r="L1039" s="74" t="n"/>
      <c r="M1039" s="64" t="e">
        <v>#N/A</v>
      </c>
    </row>
    <row r="1040" ht="29.1" customHeight="1">
      <c r="A1040" s="74" t="n"/>
      <c r="B1040" s="74" t="n"/>
      <c r="C1040" s="74" t="n"/>
      <c r="D1040" s="74" t="n"/>
      <c r="E1040" s="74" t="n"/>
      <c r="F1040" s="74" t="n"/>
      <c r="G1040" s="74" t="inlineStr">
        <is>
          <t>kg</t>
        </is>
      </c>
      <c r="H1040" s="76" t="n"/>
      <c r="I1040" s="73" t="n"/>
      <c r="J1040" s="73" t="n"/>
      <c r="K1040" s="74" t="n"/>
      <c r="L1040" s="74" t="n"/>
      <c r="M1040" s="64" t="e">
        <v>#N/A</v>
      </c>
    </row>
    <row r="1041" ht="29.1" customHeight="1">
      <c r="A1041" s="74" t="n"/>
      <c r="B1041" s="74" t="n"/>
      <c r="C1041" s="74" t="n"/>
      <c r="D1041" s="74" t="n"/>
      <c r="E1041" s="74" t="n"/>
      <c r="F1041" s="74" t="n"/>
      <c r="G1041" s="74" t="inlineStr">
        <is>
          <t>kg</t>
        </is>
      </c>
      <c r="H1041" s="76" t="n"/>
      <c r="I1041" s="73" t="n"/>
      <c r="J1041" s="73" t="n"/>
      <c r="K1041" s="74" t="n"/>
      <c r="L1041" s="74" t="n"/>
      <c r="M1041" s="64" t="e">
        <v>#N/A</v>
      </c>
    </row>
    <row r="1042" ht="29.1" customHeight="1">
      <c r="A1042" s="74" t="n"/>
      <c r="B1042" s="74" t="n"/>
      <c r="C1042" s="74" t="n"/>
      <c r="D1042" s="74" t="n"/>
      <c r="E1042" s="74" t="n"/>
      <c r="F1042" s="74" t="n"/>
      <c r="G1042" s="74" t="inlineStr">
        <is>
          <t>kg</t>
        </is>
      </c>
      <c r="H1042" s="76" t="n"/>
      <c r="I1042" s="73" t="n"/>
      <c r="J1042" s="73" t="n"/>
      <c r="K1042" s="74" t="n"/>
      <c r="L1042" s="74" t="n"/>
      <c r="M1042" s="64" t="e">
        <v>#N/A</v>
      </c>
    </row>
    <row r="1043" ht="29.1" customHeight="1">
      <c r="A1043" s="74" t="n"/>
      <c r="B1043" s="74" t="n"/>
      <c r="C1043" s="74" t="n"/>
      <c r="D1043" s="74" t="n"/>
      <c r="E1043" s="74" t="n"/>
      <c r="F1043" s="74" t="n"/>
      <c r="G1043" s="74" t="inlineStr">
        <is>
          <t>kg</t>
        </is>
      </c>
      <c r="H1043" s="76" t="n"/>
      <c r="I1043" s="73" t="n"/>
      <c r="J1043" s="73" t="n"/>
      <c r="K1043" s="74" t="n"/>
      <c r="L1043" s="74" t="n"/>
      <c r="M1043" s="64" t="e">
        <v>#N/A</v>
      </c>
    </row>
    <row r="1044" ht="29.1" customHeight="1">
      <c r="A1044" s="74" t="n"/>
      <c r="B1044" s="74" t="n"/>
      <c r="C1044" s="74" t="n"/>
      <c r="D1044" s="74" t="n"/>
      <c r="E1044" s="74" t="n"/>
      <c r="F1044" s="74" t="n"/>
      <c r="G1044" s="74" t="inlineStr">
        <is>
          <t>kg</t>
        </is>
      </c>
      <c r="H1044" s="76" t="n"/>
      <c r="I1044" s="73" t="n"/>
      <c r="J1044" s="73" t="n"/>
      <c r="K1044" s="74" t="n"/>
      <c r="L1044" s="74" t="n"/>
      <c r="M1044" s="64" t="e">
        <v>#N/A</v>
      </c>
    </row>
    <row r="1045" ht="29.1" customHeight="1">
      <c r="A1045" s="74" t="n"/>
      <c r="B1045" s="74" t="n"/>
      <c r="C1045" s="74" t="n"/>
      <c r="D1045" s="74" t="n"/>
      <c r="E1045" s="74" t="n"/>
      <c r="F1045" s="74" t="n"/>
      <c r="G1045" s="74" t="inlineStr">
        <is>
          <t>kg</t>
        </is>
      </c>
      <c r="H1045" s="76" t="n"/>
      <c r="I1045" s="73" t="n"/>
      <c r="J1045" s="73" t="n"/>
      <c r="K1045" s="74" t="n"/>
      <c r="L1045" s="74" t="n"/>
      <c r="M1045" s="64" t="e">
        <v>#N/A</v>
      </c>
    </row>
    <row r="1046" ht="29.1" customHeight="1">
      <c r="A1046" s="74" t="n"/>
      <c r="B1046" s="74" t="n"/>
      <c r="C1046" s="74" t="n"/>
      <c r="D1046" s="74" t="n"/>
      <c r="E1046" s="74" t="n"/>
      <c r="F1046" s="74" t="n"/>
      <c r="G1046" s="74" t="inlineStr">
        <is>
          <t>kg</t>
        </is>
      </c>
      <c r="H1046" s="76" t="n"/>
      <c r="I1046" s="73" t="n"/>
      <c r="J1046" s="73" t="n"/>
      <c r="K1046" s="74" t="n"/>
      <c r="L1046" s="74" t="n"/>
      <c r="M1046" s="64" t="e">
        <v>#N/A</v>
      </c>
    </row>
    <row r="1047" ht="29.1" customHeight="1">
      <c r="A1047" s="74" t="n"/>
      <c r="B1047" s="74" t="n"/>
      <c r="C1047" s="74" t="n"/>
      <c r="D1047" s="74" t="n"/>
      <c r="E1047" s="74" t="n"/>
      <c r="F1047" s="74" t="n"/>
      <c r="G1047" s="74" t="inlineStr">
        <is>
          <t>kg</t>
        </is>
      </c>
      <c r="H1047" s="76" t="n"/>
      <c r="I1047" s="73" t="n"/>
      <c r="J1047" s="73" t="n"/>
      <c r="K1047" s="74" t="n"/>
      <c r="L1047" s="74" t="n"/>
      <c r="M1047" s="64" t="e">
        <v>#N/A</v>
      </c>
    </row>
    <row r="1048" ht="29.1" customHeight="1">
      <c r="A1048" s="74" t="n"/>
      <c r="B1048" s="74" t="n"/>
      <c r="C1048" s="74" t="n"/>
      <c r="D1048" s="74" t="n"/>
      <c r="E1048" s="74" t="n"/>
      <c r="F1048" s="74" t="n"/>
      <c r="G1048" s="74" t="inlineStr">
        <is>
          <t>kg</t>
        </is>
      </c>
      <c r="H1048" s="76" t="n"/>
      <c r="I1048" s="73" t="n"/>
      <c r="J1048" s="73" t="n"/>
      <c r="K1048" s="74" t="n"/>
      <c r="L1048" s="74" t="n"/>
      <c r="M1048" s="64" t="e">
        <v>#N/A</v>
      </c>
    </row>
    <row r="1049" ht="29.1" customHeight="1">
      <c r="A1049" s="74" t="n"/>
      <c r="B1049" s="74" t="n"/>
      <c r="C1049" s="74" t="n"/>
      <c r="D1049" s="74" t="n"/>
      <c r="E1049" s="74" t="n"/>
      <c r="F1049" s="74" t="n"/>
      <c r="G1049" s="74" t="inlineStr">
        <is>
          <t>kg</t>
        </is>
      </c>
      <c r="H1049" s="76" t="n"/>
      <c r="I1049" s="73" t="n"/>
      <c r="J1049" s="73" t="n"/>
      <c r="K1049" s="74" t="n"/>
      <c r="L1049" s="74" t="n"/>
      <c r="M1049" s="64" t="e">
        <v>#N/A</v>
      </c>
    </row>
    <row r="1050" ht="29.1" customHeight="1">
      <c r="A1050" s="74" t="n"/>
      <c r="B1050" s="74" t="n"/>
      <c r="C1050" s="74" t="n"/>
      <c r="D1050" s="74" t="n"/>
      <c r="E1050" s="74" t="n"/>
      <c r="F1050" s="74" t="n"/>
      <c r="G1050" s="74" t="inlineStr">
        <is>
          <t>kg</t>
        </is>
      </c>
      <c r="H1050" s="76" t="n"/>
      <c r="I1050" s="73" t="n"/>
      <c r="J1050" s="73" t="n"/>
      <c r="K1050" s="74" t="n"/>
      <c r="L1050" s="74" t="n"/>
      <c r="M1050" s="64" t="e">
        <v>#N/A</v>
      </c>
    </row>
    <row r="1051" ht="29.1" customHeight="1">
      <c r="A1051" s="74" t="n"/>
      <c r="B1051" s="74" t="n"/>
      <c r="C1051" s="74" t="n"/>
      <c r="D1051" s="74" t="n"/>
      <c r="E1051" s="74" t="n"/>
      <c r="F1051" s="74" t="n"/>
      <c r="G1051" s="74" t="inlineStr">
        <is>
          <t>kg</t>
        </is>
      </c>
      <c r="H1051" s="76" t="n"/>
      <c r="I1051" s="73" t="n"/>
      <c r="J1051" s="73" t="n"/>
      <c r="K1051" s="74" t="n"/>
      <c r="L1051" s="74" t="n"/>
      <c r="M1051" s="64" t="e">
        <v>#N/A</v>
      </c>
    </row>
    <row r="1052" ht="29.1" customHeight="1">
      <c r="A1052" s="74" t="n"/>
      <c r="B1052" s="74" t="n"/>
      <c r="C1052" s="74" t="n"/>
      <c r="D1052" s="74" t="n"/>
      <c r="E1052" s="74" t="n"/>
      <c r="F1052" s="74" t="n"/>
      <c r="G1052" s="74" t="inlineStr">
        <is>
          <t>kg</t>
        </is>
      </c>
      <c r="H1052" s="76" t="n"/>
      <c r="I1052" s="73" t="n"/>
      <c r="J1052" s="73" t="n"/>
      <c r="K1052" s="74" t="n"/>
      <c r="L1052" s="74" t="n"/>
      <c r="M1052" s="64" t="e">
        <v>#N/A</v>
      </c>
    </row>
    <row r="1053" ht="29.1" customHeight="1">
      <c r="A1053" s="74" t="n"/>
      <c r="B1053" s="74" t="n"/>
      <c r="C1053" s="74" t="n"/>
      <c r="D1053" s="74" t="n"/>
      <c r="E1053" s="74" t="n"/>
      <c r="F1053" s="74" t="n"/>
      <c r="G1053" s="74" t="inlineStr">
        <is>
          <t>kg</t>
        </is>
      </c>
      <c r="H1053" s="76" t="n"/>
      <c r="I1053" s="73" t="n"/>
      <c r="J1053" s="73" t="n"/>
      <c r="K1053" s="74" t="n"/>
      <c r="L1053" s="74" t="n"/>
      <c r="M1053" s="64" t="e">
        <v>#N/A</v>
      </c>
    </row>
    <row r="1054" ht="29.1" customHeight="1">
      <c r="A1054" s="74" t="n"/>
      <c r="B1054" s="74" t="n"/>
      <c r="C1054" s="74" t="n"/>
      <c r="D1054" s="74" t="n"/>
      <c r="E1054" s="74" t="n"/>
      <c r="F1054" s="74" t="n"/>
      <c r="G1054" s="74" t="inlineStr">
        <is>
          <t>kg</t>
        </is>
      </c>
      <c r="H1054" s="76" t="n"/>
      <c r="I1054" s="73" t="n"/>
      <c r="J1054" s="73" t="n"/>
      <c r="K1054" s="74" t="n"/>
      <c r="L1054" s="74" t="n"/>
      <c r="M1054" s="64" t="e">
        <v>#N/A</v>
      </c>
    </row>
    <row r="1055" ht="29.1" customHeight="1">
      <c r="A1055" s="74" t="n"/>
      <c r="B1055" s="74" t="n"/>
      <c r="C1055" s="74" t="n"/>
      <c r="D1055" s="74" t="n"/>
      <c r="E1055" s="74" t="n"/>
      <c r="F1055" s="74" t="n"/>
      <c r="G1055" s="74" t="inlineStr">
        <is>
          <t>kg</t>
        </is>
      </c>
      <c r="H1055" s="76" t="n"/>
      <c r="I1055" s="73" t="n"/>
      <c r="J1055" s="73" t="n"/>
      <c r="K1055" s="74" t="n"/>
      <c r="L1055" s="74" t="n"/>
      <c r="M1055" s="64" t="e">
        <v>#N/A</v>
      </c>
    </row>
    <row r="1056" ht="29.1" customHeight="1">
      <c r="A1056" s="74" t="n"/>
      <c r="B1056" s="74" t="n"/>
      <c r="C1056" s="74" t="n"/>
      <c r="D1056" s="74" t="n"/>
      <c r="E1056" s="74" t="n"/>
      <c r="F1056" s="74" t="n"/>
      <c r="G1056" s="74" t="inlineStr">
        <is>
          <t>kg</t>
        </is>
      </c>
      <c r="H1056" s="76" t="n"/>
      <c r="I1056" s="73" t="n"/>
      <c r="J1056" s="73" t="n"/>
      <c r="K1056" s="74" t="n"/>
      <c r="L1056" s="74" t="n"/>
      <c r="M1056" s="64" t="e">
        <v>#N/A</v>
      </c>
    </row>
    <row r="1057" ht="29.1" customHeight="1">
      <c r="A1057" s="74" t="n"/>
      <c r="B1057" s="74" t="n"/>
      <c r="C1057" s="74" t="n"/>
      <c r="D1057" s="74" t="n"/>
      <c r="E1057" s="74" t="n"/>
      <c r="F1057" s="74" t="n"/>
      <c r="G1057" s="74" t="inlineStr">
        <is>
          <t>kg</t>
        </is>
      </c>
      <c r="H1057" s="76" t="n"/>
      <c r="I1057" s="73" t="n"/>
      <c r="J1057" s="73" t="n"/>
      <c r="K1057" s="74" t="n"/>
      <c r="L1057" s="74" t="n"/>
      <c r="M1057" s="64" t="e">
        <v>#N/A</v>
      </c>
    </row>
    <row r="1058" ht="29.1" customHeight="1">
      <c r="A1058" s="74" t="n"/>
      <c r="B1058" s="74" t="n"/>
      <c r="C1058" s="74" t="n"/>
      <c r="D1058" s="74" t="n"/>
      <c r="E1058" s="74" t="n"/>
      <c r="F1058" s="74" t="n"/>
      <c r="G1058" s="74" t="inlineStr">
        <is>
          <t>kg</t>
        </is>
      </c>
      <c r="H1058" s="76" t="n"/>
      <c r="I1058" s="73" t="n"/>
      <c r="J1058" s="73" t="n"/>
      <c r="K1058" s="74" t="n"/>
      <c r="L1058" s="74" t="n"/>
      <c r="M1058" s="64" t="e">
        <v>#N/A</v>
      </c>
    </row>
    <row r="1059" ht="29.1" customHeight="1">
      <c r="A1059" s="74" t="n"/>
      <c r="B1059" s="74" t="n"/>
      <c r="C1059" s="74" t="n"/>
      <c r="D1059" s="74" t="n"/>
      <c r="E1059" s="74" t="n"/>
      <c r="F1059" s="74" t="n"/>
      <c r="G1059" s="74" t="inlineStr">
        <is>
          <t>kg</t>
        </is>
      </c>
      <c r="H1059" s="76" t="n"/>
      <c r="I1059" s="73" t="n"/>
      <c r="J1059" s="73" t="n"/>
      <c r="K1059" s="74" t="n"/>
      <c r="L1059" s="74" t="n"/>
      <c r="M1059" s="64" t="e">
        <v>#N/A</v>
      </c>
    </row>
    <row r="1060" ht="29.1" customHeight="1">
      <c r="A1060" s="74" t="n"/>
      <c r="B1060" s="74" t="n"/>
      <c r="C1060" s="74" t="n"/>
      <c r="D1060" s="74" t="n"/>
      <c r="E1060" s="74" t="n"/>
      <c r="F1060" s="74" t="n"/>
      <c r="G1060" s="74" t="inlineStr">
        <is>
          <t>kg</t>
        </is>
      </c>
      <c r="H1060" s="76" t="n"/>
      <c r="I1060" s="73" t="n"/>
      <c r="J1060" s="73" t="n"/>
      <c r="K1060" s="74" t="n"/>
      <c r="L1060" s="74" t="n"/>
      <c r="M1060" s="64" t="e">
        <v>#N/A</v>
      </c>
    </row>
    <row r="1061" ht="29.1" customHeight="1">
      <c r="A1061" s="74" t="n"/>
      <c r="B1061" s="74" t="n"/>
      <c r="C1061" s="74" t="n"/>
      <c r="D1061" s="74" t="n"/>
      <c r="E1061" s="74" t="n"/>
      <c r="F1061" s="74" t="n"/>
      <c r="G1061" s="74" t="inlineStr">
        <is>
          <t>kg</t>
        </is>
      </c>
      <c r="H1061" s="76" t="n"/>
      <c r="I1061" s="73" t="n"/>
      <c r="J1061" s="73" t="n"/>
      <c r="K1061" s="74" t="n"/>
      <c r="L1061" s="74" t="n"/>
      <c r="M1061" s="64" t="e">
        <v>#N/A</v>
      </c>
    </row>
    <row r="1062" ht="29.1" customHeight="1">
      <c r="A1062" s="74" t="n"/>
      <c r="B1062" s="74" t="n"/>
      <c r="C1062" s="74" t="n"/>
      <c r="D1062" s="74" t="n"/>
      <c r="E1062" s="74" t="n"/>
      <c r="F1062" s="74" t="n"/>
      <c r="G1062" s="74" t="inlineStr">
        <is>
          <t>kg</t>
        </is>
      </c>
      <c r="H1062" s="76" t="n"/>
      <c r="I1062" s="73" t="n"/>
      <c r="J1062" s="73" t="n"/>
      <c r="K1062" s="74" t="n"/>
      <c r="L1062" s="74" t="n"/>
      <c r="M1062" s="64" t="e">
        <v>#N/A</v>
      </c>
    </row>
    <row r="1063" ht="29.1" customHeight="1">
      <c r="A1063" s="74" t="n"/>
      <c r="B1063" s="74" t="n"/>
      <c r="C1063" s="74" t="n"/>
      <c r="D1063" s="74" t="n"/>
      <c r="E1063" s="74" t="n"/>
      <c r="F1063" s="74" t="n"/>
      <c r="G1063" s="74" t="inlineStr">
        <is>
          <t>kg</t>
        </is>
      </c>
      <c r="H1063" s="76" t="n"/>
      <c r="I1063" s="73" t="n"/>
      <c r="J1063" s="73" t="n"/>
      <c r="K1063" s="74" t="n"/>
      <c r="L1063" s="74" t="n"/>
      <c r="M1063" s="64" t="e">
        <v>#N/A</v>
      </c>
    </row>
    <row r="1064" ht="29.1" customHeight="1">
      <c r="A1064" s="74" t="n"/>
      <c r="B1064" s="74" t="n"/>
      <c r="C1064" s="74" t="n"/>
      <c r="D1064" s="74" t="n"/>
      <c r="E1064" s="74" t="n"/>
      <c r="F1064" s="74" t="n"/>
      <c r="G1064" s="74" t="inlineStr">
        <is>
          <t>kg</t>
        </is>
      </c>
      <c r="H1064" s="76" t="n"/>
      <c r="I1064" s="73" t="n"/>
      <c r="J1064" s="73" t="n"/>
      <c r="K1064" s="74" t="n"/>
      <c r="L1064" s="74" t="n"/>
      <c r="M1064" s="64" t="e">
        <v>#N/A</v>
      </c>
    </row>
    <row r="1065" ht="29.1" customHeight="1">
      <c r="A1065" s="74" t="n"/>
      <c r="B1065" s="74" t="n"/>
      <c r="C1065" s="74" t="n"/>
      <c r="D1065" s="74" t="n"/>
      <c r="E1065" s="74" t="n"/>
      <c r="F1065" s="74" t="n"/>
      <c r="G1065" s="74" t="inlineStr">
        <is>
          <t>kg</t>
        </is>
      </c>
      <c r="H1065" s="76" t="n"/>
      <c r="I1065" s="73" t="n"/>
      <c r="J1065" s="73" t="n"/>
      <c r="K1065" s="74" t="n"/>
      <c r="L1065" s="74" t="n"/>
      <c r="M1065" s="64" t="e">
        <v>#N/A</v>
      </c>
    </row>
    <row r="1066" ht="29.1" customHeight="1">
      <c r="A1066" s="74" t="n"/>
      <c r="B1066" s="74" t="n"/>
      <c r="C1066" s="74" t="n"/>
      <c r="D1066" s="74" t="n"/>
      <c r="E1066" s="74" t="n"/>
      <c r="F1066" s="74" t="n"/>
      <c r="G1066" s="74" t="inlineStr">
        <is>
          <t>kg</t>
        </is>
      </c>
      <c r="H1066" s="76" t="n"/>
      <c r="I1066" s="73" t="n"/>
      <c r="J1066" s="73" t="n"/>
      <c r="K1066" s="74" t="n"/>
      <c r="L1066" s="74" t="n"/>
      <c r="M1066" s="64" t="e">
        <v>#N/A</v>
      </c>
    </row>
    <row r="1067" ht="29.1" customHeight="1">
      <c r="A1067" s="74" t="n"/>
      <c r="B1067" s="74" t="n"/>
      <c r="C1067" s="74" t="n"/>
      <c r="D1067" s="74" t="n"/>
      <c r="E1067" s="74" t="n"/>
      <c r="F1067" s="74" t="n"/>
      <c r="G1067" s="74" t="inlineStr">
        <is>
          <t>kg</t>
        </is>
      </c>
      <c r="H1067" s="76" t="n"/>
      <c r="I1067" s="73" t="n"/>
      <c r="J1067" s="73" t="n"/>
      <c r="K1067" s="74" t="n"/>
      <c r="L1067" s="74" t="n"/>
      <c r="M1067" s="64" t="e">
        <v>#N/A</v>
      </c>
    </row>
    <row r="1068" ht="29.1" customHeight="1">
      <c r="A1068" s="74" t="n"/>
      <c r="B1068" s="74" t="n"/>
      <c r="C1068" s="74" t="n"/>
      <c r="D1068" s="74" t="n"/>
      <c r="E1068" s="74" t="n"/>
      <c r="F1068" s="74" t="n"/>
      <c r="G1068" s="74" t="inlineStr">
        <is>
          <t>kg</t>
        </is>
      </c>
      <c r="H1068" s="76" t="n"/>
      <c r="I1068" s="73" t="n"/>
      <c r="J1068" s="73" t="n"/>
      <c r="K1068" s="74" t="n"/>
      <c r="L1068" s="74" t="n"/>
      <c r="M1068" s="64" t="e">
        <v>#N/A</v>
      </c>
    </row>
    <row r="1069" ht="29.1" customHeight="1">
      <c r="A1069" s="74" t="n"/>
      <c r="B1069" s="74" t="n"/>
      <c r="C1069" s="74" t="n"/>
      <c r="D1069" s="74" t="n"/>
      <c r="E1069" s="74" t="n"/>
      <c r="F1069" s="74" t="n"/>
      <c r="G1069" s="74" t="inlineStr">
        <is>
          <t>kg</t>
        </is>
      </c>
      <c r="H1069" s="76" t="n"/>
      <c r="I1069" s="73" t="n"/>
      <c r="J1069" s="73" t="n"/>
      <c r="K1069" s="74" t="n"/>
      <c r="L1069" s="74" t="n"/>
      <c r="M1069" s="64" t="e">
        <v>#N/A</v>
      </c>
    </row>
    <row r="1070" ht="29.1" customHeight="1">
      <c r="A1070" s="74" t="n"/>
      <c r="B1070" s="74" t="n"/>
      <c r="C1070" s="74" t="n"/>
      <c r="D1070" s="74" t="n"/>
      <c r="E1070" s="74" t="n"/>
      <c r="F1070" s="74" t="n"/>
      <c r="G1070" s="74" t="inlineStr">
        <is>
          <t>kg</t>
        </is>
      </c>
      <c r="H1070" s="76" t="n"/>
      <c r="I1070" s="73" t="n"/>
      <c r="J1070" s="73" t="n"/>
      <c r="K1070" s="74" t="n"/>
      <c r="L1070" s="74" t="n"/>
      <c r="M1070" s="64" t="e">
        <v>#N/A</v>
      </c>
    </row>
    <row r="1071" ht="29.1" customHeight="1">
      <c r="A1071" s="74" t="n"/>
      <c r="B1071" s="74" t="n"/>
      <c r="C1071" s="74" t="n"/>
      <c r="D1071" s="74" t="n"/>
      <c r="E1071" s="74" t="n"/>
      <c r="F1071" s="74" t="n"/>
      <c r="G1071" s="74" t="inlineStr">
        <is>
          <t>kg</t>
        </is>
      </c>
      <c r="H1071" s="76" t="n"/>
      <c r="I1071" s="73" t="n"/>
      <c r="J1071" s="73" t="n"/>
      <c r="K1071" s="74" t="n"/>
      <c r="L1071" s="74" t="n"/>
      <c r="M1071" s="64" t="e">
        <v>#N/A</v>
      </c>
    </row>
    <row r="1072" ht="29.1" customHeight="1">
      <c r="A1072" s="74" t="n"/>
      <c r="B1072" s="74" t="n"/>
      <c r="C1072" s="74" t="n"/>
      <c r="D1072" s="74" t="n"/>
      <c r="E1072" s="74" t="n"/>
      <c r="F1072" s="74" t="n"/>
      <c r="G1072" s="74" t="inlineStr">
        <is>
          <t>kg</t>
        </is>
      </c>
      <c r="H1072" s="76" t="n"/>
      <c r="I1072" s="73" t="n"/>
      <c r="J1072" s="73" t="n"/>
      <c r="K1072" s="74" t="n"/>
      <c r="L1072" s="74" t="n"/>
      <c r="M1072" s="64" t="e">
        <v>#N/A</v>
      </c>
    </row>
    <row r="1073" ht="29.1" customHeight="1">
      <c r="A1073" s="74" t="n"/>
      <c r="B1073" s="74" t="n"/>
      <c r="C1073" s="74" t="n"/>
      <c r="D1073" s="74" t="n"/>
      <c r="E1073" s="74" t="n"/>
      <c r="F1073" s="74" t="n"/>
      <c r="G1073" s="74" t="inlineStr">
        <is>
          <t>kg</t>
        </is>
      </c>
      <c r="H1073" s="76" t="n"/>
      <c r="I1073" s="73" t="n"/>
      <c r="J1073" s="73" t="n"/>
      <c r="K1073" s="74" t="n"/>
      <c r="L1073" s="74" t="n"/>
      <c r="M1073" s="64" t="e">
        <v>#N/A</v>
      </c>
    </row>
    <row r="1074" ht="29.1" customHeight="1">
      <c r="A1074" s="74" t="n"/>
      <c r="B1074" s="74" t="n"/>
      <c r="C1074" s="74" t="n"/>
      <c r="D1074" s="74" t="n"/>
      <c r="E1074" s="74" t="n"/>
      <c r="F1074" s="74" t="n"/>
      <c r="G1074" s="74" t="inlineStr">
        <is>
          <t>kg</t>
        </is>
      </c>
      <c r="H1074" s="76" t="n"/>
      <c r="I1074" s="73" t="n"/>
      <c r="J1074" s="73" t="n"/>
      <c r="K1074" s="74" t="n"/>
      <c r="L1074" s="74" t="n"/>
      <c r="M1074" s="64" t="e">
        <v>#N/A</v>
      </c>
    </row>
    <row r="1075" ht="29.1" customHeight="1">
      <c r="A1075" s="74" t="n"/>
      <c r="B1075" s="74" t="n"/>
      <c r="C1075" s="74" t="n"/>
      <c r="D1075" s="74" t="n"/>
      <c r="E1075" s="74" t="n"/>
      <c r="F1075" s="74" t="n"/>
      <c r="G1075" s="74" t="inlineStr">
        <is>
          <t>kg</t>
        </is>
      </c>
      <c r="H1075" s="76" t="n"/>
      <c r="I1075" s="73" t="n"/>
      <c r="J1075" s="73" t="n"/>
      <c r="K1075" s="74" t="n"/>
      <c r="L1075" s="74" t="n"/>
      <c r="M1075" s="64" t="e">
        <v>#N/A</v>
      </c>
    </row>
    <row r="1076" ht="29.1" customHeight="1">
      <c r="A1076" s="74" t="n"/>
      <c r="B1076" s="74" t="n"/>
      <c r="C1076" s="74" t="n"/>
      <c r="D1076" s="74" t="n"/>
      <c r="E1076" s="74" t="n"/>
      <c r="F1076" s="74" t="n"/>
      <c r="G1076" s="74" t="inlineStr">
        <is>
          <t>kg</t>
        </is>
      </c>
      <c r="H1076" s="76" t="n"/>
      <c r="I1076" s="73" t="n"/>
      <c r="J1076" s="73" t="n"/>
      <c r="K1076" s="74" t="n"/>
      <c r="L1076" s="74" t="n"/>
      <c r="M1076" s="64" t="e">
        <v>#N/A</v>
      </c>
    </row>
    <row r="1077" ht="29.1" customHeight="1">
      <c r="A1077" s="74" t="n"/>
      <c r="B1077" s="74" t="n"/>
      <c r="C1077" s="74" t="n"/>
      <c r="D1077" s="74" t="n"/>
      <c r="E1077" s="74" t="n"/>
      <c r="F1077" s="74" t="n"/>
      <c r="G1077" s="74" t="inlineStr">
        <is>
          <t>kg</t>
        </is>
      </c>
      <c r="H1077" s="76" t="n"/>
      <c r="I1077" s="73" t="n"/>
      <c r="J1077" s="73" t="n"/>
      <c r="K1077" s="74" t="n"/>
      <c r="L1077" s="74" t="n"/>
      <c r="M1077" s="64" t="e">
        <v>#N/A</v>
      </c>
    </row>
    <row r="1078" ht="29.1" customHeight="1">
      <c r="A1078" s="74" t="n"/>
      <c r="B1078" s="74" t="n"/>
      <c r="C1078" s="74" t="n"/>
      <c r="D1078" s="74" t="n"/>
      <c r="E1078" s="74" t="n"/>
      <c r="F1078" s="74" t="n"/>
      <c r="G1078" s="74" t="inlineStr">
        <is>
          <t>kg</t>
        </is>
      </c>
      <c r="H1078" s="76" t="n"/>
      <c r="I1078" s="73" t="n"/>
      <c r="J1078" s="73" t="n"/>
      <c r="K1078" s="74" t="n"/>
      <c r="L1078" s="74" t="n"/>
      <c r="M1078" s="64" t="e">
        <v>#N/A</v>
      </c>
    </row>
    <row r="1079" ht="29.1" customHeight="1">
      <c r="A1079" s="74" t="n"/>
      <c r="B1079" s="74" t="n"/>
      <c r="C1079" s="74" t="n"/>
      <c r="D1079" s="74" t="n"/>
      <c r="E1079" s="74" t="n"/>
      <c r="F1079" s="74" t="n"/>
      <c r="G1079" s="74" t="inlineStr">
        <is>
          <t>kg</t>
        </is>
      </c>
      <c r="H1079" s="76" t="n"/>
      <c r="I1079" s="73" t="n"/>
      <c r="J1079" s="73" t="n"/>
      <c r="K1079" s="74" t="n"/>
      <c r="L1079" s="74" t="n"/>
      <c r="M1079" s="64" t="e">
        <v>#N/A</v>
      </c>
    </row>
    <row r="1080" ht="29.1" customHeight="1">
      <c r="A1080" s="74" t="n"/>
      <c r="B1080" s="74" t="n"/>
      <c r="C1080" s="74" t="n"/>
      <c r="D1080" s="74" t="n"/>
      <c r="E1080" s="74" t="n"/>
      <c r="F1080" s="74" t="n"/>
      <c r="G1080" s="74" t="inlineStr">
        <is>
          <t>kg</t>
        </is>
      </c>
      <c r="H1080" s="76" t="n"/>
      <c r="I1080" s="73" t="n"/>
      <c r="J1080" s="73" t="n"/>
      <c r="K1080" s="74" t="n"/>
      <c r="L1080" s="74" t="n"/>
      <c r="M1080" s="64" t="e">
        <v>#N/A</v>
      </c>
    </row>
    <row r="1081" ht="29.1" customHeight="1">
      <c r="A1081" s="74" t="n"/>
      <c r="B1081" s="74" t="n"/>
      <c r="C1081" s="74" t="n"/>
      <c r="D1081" s="74" t="n"/>
      <c r="E1081" s="74" t="n"/>
      <c r="F1081" s="74" t="n"/>
      <c r="G1081" s="74" t="inlineStr">
        <is>
          <t>kg</t>
        </is>
      </c>
      <c r="H1081" s="76" t="n"/>
      <c r="I1081" s="73" t="n"/>
      <c r="J1081" s="73" t="n"/>
      <c r="K1081" s="74" t="n"/>
      <c r="L1081" s="74" t="n"/>
      <c r="M1081" s="64" t="e">
        <v>#N/A</v>
      </c>
    </row>
    <row r="1082" ht="29.1" customHeight="1">
      <c r="A1082" s="74" t="n"/>
      <c r="B1082" s="74" t="n"/>
      <c r="C1082" s="74" t="n"/>
      <c r="D1082" s="74" t="n"/>
      <c r="E1082" s="74" t="n"/>
      <c r="F1082" s="74" t="n"/>
      <c r="G1082" s="74" t="inlineStr">
        <is>
          <t>kg</t>
        </is>
      </c>
      <c r="H1082" s="76" t="n"/>
      <c r="I1082" s="73" t="n"/>
      <c r="J1082" s="73" t="n"/>
      <c r="K1082" s="74" t="n"/>
      <c r="L1082" s="74" t="n"/>
      <c r="M1082" s="64" t="e">
        <v>#N/A</v>
      </c>
    </row>
    <row r="1083" ht="29.1" customHeight="1">
      <c r="A1083" s="74" t="n"/>
      <c r="B1083" s="74" t="n"/>
      <c r="C1083" s="74" t="n"/>
      <c r="D1083" s="74" t="n"/>
      <c r="E1083" s="74" t="n"/>
      <c r="F1083" s="74" t="n"/>
      <c r="G1083" s="74" t="inlineStr">
        <is>
          <t>kg</t>
        </is>
      </c>
      <c r="H1083" s="76" t="n"/>
      <c r="I1083" s="73" t="n"/>
      <c r="J1083" s="73" t="n"/>
      <c r="K1083" s="74" t="n"/>
      <c r="L1083" s="74" t="n"/>
      <c r="M1083" s="64" t="e">
        <v>#N/A</v>
      </c>
    </row>
    <row r="1084" ht="29.1" customHeight="1">
      <c r="A1084" s="74" t="n"/>
      <c r="B1084" s="74" t="n"/>
      <c r="C1084" s="74" t="n"/>
      <c r="D1084" s="74" t="n"/>
      <c r="E1084" s="74" t="n"/>
      <c r="F1084" s="74" t="n"/>
      <c r="G1084" s="74" t="inlineStr">
        <is>
          <t>kg</t>
        </is>
      </c>
      <c r="H1084" s="76" t="n"/>
      <c r="I1084" s="73" t="n"/>
      <c r="J1084" s="73" t="n"/>
      <c r="K1084" s="74" t="n"/>
      <c r="L1084" s="74" t="n"/>
      <c r="M1084" s="64" t="e">
        <v>#N/A</v>
      </c>
    </row>
    <row r="1085" ht="29.1" customHeight="1">
      <c r="A1085" s="74" t="n"/>
      <c r="B1085" s="74" t="n"/>
      <c r="C1085" s="74" t="n"/>
      <c r="D1085" s="74" t="n"/>
      <c r="E1085" s="74" t="n"/>
      <c r="F1085" s="74" t="n"/>
      <c r="G1085" s="74" t="inlineStr">
        <is>
          <t>kg</t>
        </is>
      </c>
      <c r="H1085" s="76" t="n"/>
      <c r="I1085" s="73" t="n"/>
      <c r="J1085" s="73" t="n"/>
      <c r="K1085" s="74" t="n"/>
      <c r="L1085" s="74" t="n"/>
      <c r="M1085" s="64" t="e">
        <v>#N/A</v>
      </c>
    </row>
    <row r="1086" ht="29.1" customHeight="1">
      <c r="A1086" s="74" t="n"/>
      <c r="B1086" s="74" t="n"/>
      <c r="C1086" s="74" t="n"/>
      <c r="D1086" s="74" t="n"/>
      <c r="E1086" s="74" t="n"/>
      <c r="F1086" s="74" t="n"/>
      <c r="G1086" s="74" t="inlineStr">
        <is>
          <t>kg</t>
        </is>
      </c>
      <c r="H1086" s="76" t="n"/>
      <c r="I1086" s="73" t="n"/>
      <c r="J1086" s="73" t="n"/>
      <c r="K1086" s="74" t="n"/>
      <c r="L1086" s="74" t="n"/>
      <c r="M1086" s="64" t="e">
        <v>#N/A</v>
      </c>
    </row>
    <row r="1087" ht="29.1" customHeight="1">
      <c r="A1087" s="74" t="n"/>
      <c r="B1087" s="74" t="n"/>
      <c r="C1087" s="74" t="n"/>
      <c r="D1087" s="74" t="n"/>
      <c r="E1087" s="74" t="n"/>
      <c r="F1087" s="74" t="n"/>
      <c r="G1087" s="74" t="inlineStr">
        <is>
          <t>kg</t>
        </is>
      </c>
      <c r="H1087" s="76" t="n"/>
      <c r="I1087" s="73" t="n"/>
      <c r="J1087" s="73" t="n"/>
      <c r="K1087" s="74" t="n"/>
      <c r="L1087" s="74" t="n"/>
      <c r="M1087" s="64" t="e">
        <v>#N/A</v>
      </c>
    </row>
    <row r="1088" ht="29.1" customHeight="1">
      <c r="A1088" s="74" t="n"/>
      <c r="B1088" s="74" t="n"/>
      <c r="C1088" s="74" t="n"/>
      <c r="D1088" s="74" t="n"/>
      <c r="E1088" s="74" t="n"/>
      <c r="F1088" s="74" t="n"/>
      <c r="G1088" s="74" t="inlineStr">
        <is>
          <t>kg</t>
        </is>
      </c>
      <c r="H1088" s="76" t="n"/>
      <c r="I1088" s="73" t="n"/>
      <c r="J1088" s="73" t="n"/>
      <c r="K1088" s="74" t="n"/>
      <c r="L1088" s="74" t="n"/>
      <c r="M1088" s="64" t="e">
        <v>#N/A</v>
      </c>
    </row>
    <row r="1089" ht="29.1" customHeight="1">
      <c r="A1089" s="74" t="n"/>
      <c r="B1089" s="74" t="n"/>
      <c r="C1089" s="74" t="n"/>
      <c r="D1089" s="74" t="n"/>
      <c r="E1089" s="74" t="n"/>
      <c r="F1089" s="74" t="n"/>
      <c r="G1089" s="74" t="inlineStr">
        <is>
          <t>kg</t>
        </is>
      </c>
      <c r="H1089" s="76" t="n"/>
      <c r="I1089" s="73" t="n"/>
      <c r="J1089" s="73" t="n"/>
      <c r="K1089" s="74" t="n"/>
      <c r="L1089" s="74" t="n"/>
      <c r="M1089" s="64" t="e">
        <v>#N/A</v>
      </c>
    </row>
    <row r="1090" ht="29.1" customHeight="1">
      <c r="A1090" s="74" t="n"/>
      <c r="B1090" s="74" t="n"/>
      <c r="C1090" s="74" t="n"/>
      <c r="D1090" s="74" t="n"/>
      <c r="E1090" s="74" t="n"/>
      <c r="F1090" s="74" t="n"/>
      <c r="G1090" s="74" t="inlineStr">
        <is>
          <t>kg</t>
        </is>
      </c>
      <c r="H1090" s="76" t="n"/>
      <c r="I1090" s="73" t="n"/>
      <c r="J1090" s="73" t="n"/>
      <c r="K1090" s="74" t="n"/>
      <c r="L1090" s="74" t="n"/>
      <c r="M1090" s="64" t="e">
        <v>#N/A</v>
      </c>
    </row>
    <row r="1091" ht="29.1" customHeight="1">
      <c r="A1091" s="74" t="n"/>
      <c r="B1091" s="74" t="n"/>
      <c r="C1091" s="74" t="n"/>
      <c r="D1091" s="74" t="n"/>
      <c r="E1091" s="74" t="n"/>
      <c r="F1091" s="74" t="n"/>
      <c r="G1091" s="74" t="inlineStr">
        <is>
          <t>kg</t>
        </is>
      </c>
      <c r="H1091" s="76" t="n"/>
      <c r="I1091" s="73" t="n"/>
      <c r="J1091" s="73" t="n"/>
      <c r="K1091" s="74" t="n"/>
      <c r="L1091" s="74" t="n"/>
      <c r="M1091" s="64" t="e">
        <v>#N/A</v>
      </c>
    </row>
    <row r="1092" ht="29.1" customHeight="1">
      <c r="A1092" s="74" t="n"/>
      <c r="B1092" s="74" t="n"/>
      <c r="C1092" s="74" t="n"/>
      <c r="D1092" s="74" t="n"/>
      <c r="E1092" s="74" t="n"/>
      <c r="F1092" s="74" t="n"/>
      <c r="G1092" s="74" t="inlineStr">
        <is>
          <t>kg</t>
        </is>
      </c>
      <c r="H1092" s="76" t="n"/>
      <c r="I1092" s="73" t="n"/>
      <c r="J1092" s="73" t="n"/>
      <c r="K1092" s="74" t="n"/>
      <c r="L1092" s="74" t="n"/>
      <c r="M1092" s="64" t="e">
        <v>#N/A</v>
      </c>
    </row>
    <row r="1093" ht="29.1" customHeight="1">
      <c r="A1093" s="74" t="n"/>
      <c r="B1093" s="74" t="n"/>
      <c r="C1093" s="74" t="n"/>
      <c r="D1093" s="74" t="n"/>
      <c r="E1093" s="74" t="n"/>
      <c r="F1093" s="74" t="n"/>
      <c r="G1093" s="74" t="inlineStr">
        <is>
          <t>kg</t>
        </is>
      </c>
      <c r="H1093" s="76" t="n"/>
      <c r="I1093" s="73" t="n"/>
      <c r="J1093" s="73" t="n"/>
      <c r="K1093" s="74" t="n"/>
      <c r="L1093" s="74" t="n"/>
      <c r="M1093" s="64" t="e">
        <v>#N/A</v>
      </c>
    </row>
    <row r="1094" ht="29.1" customHeight="1">
      <c r="A1094" s="74" t="n"/>
      <c r="B1094" s="74" t="n"/>
      <c r="C1094" s="74" t="n"/>
      <c r="D1094" s="74" t="n"/>
      <c r="E1094" s="74" t="n"/>
      <c r="F1094" s="74" t="n"/>
      <c r="G1094" s="74" t="inlineStr">
        <is>
          <t>kg</t>
        </is>
      </c>
      <c r="H1094" s="76" t="n"/>
      <c r="I1094" s="73" t="n"/>
      <c r="J1094" s="73" t="n"/>
      <c r="K1094" s="74" t="n"/>
      <c r="L1094" s="74" t="n"/>
      <c r="M1094" s="64" t="e">
        <v>#N/A</v>
      </c>
    </row>
    <row r="1095" ht="29.1" customHeight="1">
      <c r="A1095" s="74" t="n"/>
      <c r="B1095" s="74" t="n"/>
      <c r="C1095" s="74" t="n"/>
      <c r="D1095" s="74" t="n"/>
      <c r="E1095" s="74" t="n"/>
      <c r="F1095" s="74" t="n"/>
      <c r="G1095" s="74" t="inlineStr">
        <is>
          <t>kg</t>
        </is>
      </c>
      <c r="H1095" s="76" t="n"/>
      <c r="I1095" s="73" t="n"/>
      <c r="J1095" s="73" t="n"/>
      <c r="K1095" s="74" t="n"/>
      <c r="L1095" s="74" t="n"/>
      <c r="M1095" s="64" t="e">
        <v>#N/A</v>
      </c>
    </row>
    <row r="1096" ht="29.1" customHeight="1">
      <c r="A1096" s="74" t="n"/>
      <c r="B1096" s="74" t="n"/>
      <c r="C1096" s="74" t="n"/>
      <c r="D1096" s="74" t="n"/>
      <c r="E1096" s="74" t="n"/>
      <c r="F1096" s="74" t="n"/>
      <c r="G1096" s="74" t="inlineStr">
        <is>
          <t>kg</t>
        </is>
      </c>
      <c r="H1096" s="76" t="n"/>
      <c r="I1096" s="73" t="n"/>
      <c r="J1096" s="73" t="n"/>
      <c r="K1096" s="74" t="n"/>
      <c r="L1096" s="74" t="n"/>
      <c r="M1096" s="64" t="e">
        <v>#N/A</v>
      </c>
    </row>
    <row r="1097" ht="43.5" customHeight="1">
      <c r="A1097" s="74" t="n"/>
      <c r="B1097" s="74" t="n"/>
      <c r="C1097" s="74" t="n"/>
      <c r="D1097" s="74" t="n"/>
      <c r="E1097" s="74" t="n"/>
      <c r="F1097" s="74" t="n"/>
      <c r="G1097" s="74" t="inlineStr">
        <is>
          <t>kg</t>
        </is>
      </c>
      <c r="H1097" s="76" t="n"/>
      <c r="I1097" s="73" t="n"/>
      <c r="J1097" s="73" t="n"/>
      <c r="K1097" s="74" t="n"/>
      <c r="L1097" s="74" t="n"/>
      <c r="M1097" s="64" t="e">
        <v>#N/A</v>
      </c>
    </row>
    <row r="1098" ht="43.5" customHeight="1">
      <c r="A1098" s="74" t="n"/>
      <c r="B1098" s="74" t="n"/>
      <c r="C1098" s="74" t="n"/>
      <c r="D1098" s="74" t="n"/>
      <c r="E1098" s="74" t="n"/>
      <c r="F1098" s="74" t="n"/>
      <c r="G1098" s="74" t="inlineStr">
        <is>
          <t>kg</t>
        </is>
      </c>
      <c r="H1098" s="76" t="n"/>
      <c r="I1098" s="73" t="n"/>
      <c r="J1098" s="73" t="n"/>
      <c r="K1098" s="74" t="n"/>
      <c r="L1098" s="74" t="n"/>
      <c r="M1098" s="64" t="e">
        <v>#N/A</v>
      </c>
    </row>
    <row r="1099" ht="29.1" customHeight="1">
      <c r="A1099" s="74" t="n"/>
      <c r="B1099" s="74" t="n"/>
      <c r="C1099" s="74" t="n"/>
      <c r="D1099" s="74" t="n"/>
      <c r="E1099" s="74" t="n"/>
      <c r="F1099" s="74" t="n"/>
      <c r="G1099" s="74" t="inlineStr">
        <is>
          <t>kg</t>
        </is>
      </c>
      <c r="H1099" s="76" t="n"/>
      <c r="I1099" s="73" t="n"/>
      <c r="J1099" s="73" t="n"/>
      <c r="K1099" s="74" t="n"/>
      <c r="L1099" s="74" t="n"/>
      <c r="M1099" s="64" t="e">
        <v>#N/A</v>
      </c>
    </row>
    <row r="1100" ht="29.1" customHeight="1">
      <c r="A1100" s="74" t="n"/>
      <c r="B1100" s="74" t="n"/>
      <c r="C1100" s="74" t="n"/>
      <c r="D1100" s="74" t="n"/>
      <c r="E1100" s="74" t="n"/>
      <c r="F1100" s="74" t="n"/>
      <c r="G1100" s="74" t="inlineStr">
        <is>
          <t>kg</t>
        </is>
      </c>
      <c r="H1100" s="76" t="n"/>
      <c r="I1100" s="73" t="n"/>
      <c r="J1100" s="73" t="n"/>
      <c r="K1100" s="74" t="n"/>
      <c r="L1100" s="74" t="n"/>
      <c r="M1100" s="64" t="e">
        <v>#N/A</v>
      </c>
    </row>
    <row r="1101" ht="29.1" customHeight="1">
      <c r="A1101" s="74" t="n"/>
      <c r="B1101" s="74" t="n"/>
      <c r="C1101" s="74" t="n"/>
      <c r="D1101" s="74" t="n"/>
      <c r="E1101" s="74" t="n"/>
      <c r="F1101" s="74" t="n"/>
      <c r="G1101" s="74" t="inlineStr">
        <is>
          <t>kg</t>
        </is>
      </c>
      <c r="H1101" s="76" t="n"/>
      <c r="I1101" s="73" t="n"/>
      <c r="J1101" s="73" t="n"/>
      <c r="K1101" s="74" t="n"/>
      <c r="L1101" s="74" t="n"/>
      <c r="M1101" s="64" t="e">
        <v>#N/A</v>
      </c>
    </row>
    <row r="1102" ht="29.1" customHeight="1">
      <c r="A1102" s="74" t="n"/>
      <c r="B1102" s="74" t="n"/>
      <c r="C1102" s="74" t="n"/>
      <c r="D1102" s="74" t="n"/>
      <c r="E1102" s="74" t="n"/>
      <c r="F1102" s="74" t="n"/>
      <c r="G1102" s="74" t="inlineStr">
        <is>
          <t>kg</t>
        </is>
      </c>
      <c r="H1102" s="76" t="n"/>
      <c r="I1102" s="73" t="n"/>
      <c r="J1102" s="73" t="n"/>
      <c r="K1102" s="74" t="n"/>
      <c r="L1102" s="74" t="n"/>
      <c r="M1102" s="64" t="e">
        <v>#N/A</v>
      </c>
    </row>
    <row r="1103" ht="29.1" customHeight="1">
      <c r="A1103" s="74" t="n"/>
      <c r="B1103" s="74" t="n"/>
      <c r="C1103" s="74" t="n"/>
      <c r="D1103" s="74" t="n"/>
      <c r="E1103" s="74" t="n"/>
      <c r="F1103" s="74" t="n"/>
      <c r="G1103" s="74" t="inlineStr">
        <is>
          <t>kg</t>
        </is>
      </c>
      <c r="H1103" s="76" t="n"/>
      <c r="I1103" s="73" t="n"/>
      <c r="J1103" s="73" t="n"/>
      <c r="K1103" s="74" t="n"/>
      <c r="L1103" s="74" t="n"/>
      <c r="M1103" s="64" t="e">
        <v>#N/A</v>
      </c>
    </row>
    <row r="1104" ht="29.1" customHeight="1">
      <c r="A1104" s="74" t="n"/>
      <c r="B1104" s="74" t="n"/>
      <c r="C1104" s="74" t="n"/>
      <c r="D1104" s="74" t="n"/>
      <c r="E1104" s="74" t="n"/>
      <c r="F1104" s="74" t="n"/>
      <c r="G1104" s="74" t="inlineStr">
        <is>
          <t>kg</t>
        </is>
      </c>
      <c r="H1104" s="76" t="n"/>
      <c r="I1104" s="73" t="n"/>
      <c r="J1104" s="73" t="n"/>
      <c r="K1104" s="74" t="n"/>
      <c r="L1104" s="74" t="n"/>
      <c r="M1104" s="64" t="e">
        <v>#N/A</v>
      </c>
    </row>
    <row r="1105" ht="29.1" customHeight="1">
      <c r="A1105" s="74" t="n"/>
      <c r="B1105" s="74" t="n"/>
      <c r="C1105" s="74" t="n"/>
      <c r="D1105" s="74" t="n"/>
      <c r="E1105" s="74" t="n"/>
      <c r="F1105" s="74" t="n"/>
      <c r="G1105" s="74" t="inlineStr">
        <is>
          <t>kg</t>
        </is>
      </c>
      <c r="H1105" s="76" t="n"/>
      <c r="I1105" s="73" t="n"/>
      <c r="J1105" s="73" t="n"/>
      <c r="K1105" s="74" t="n"/>
      <c r="L1105" s="74" t="n"/>
      <c r="M1105" s="64" t="e">
        <v>#N/A</v>
      </c>
    </row>
    <row r="1106" ht="29.1" customHeight="1">
      <c r="A1106" s="74" t="n"/>
      <c r="B1106" s="74" t="n"/>
      <c r="C1106" s="74" t="n"/>
      <c r="D1106" s="74" t="n"/>
      <c r="E1106" s="74" t="n"/>
      <c r="F1106" s="74" t="n"/>
      <c r="G1106" s="74" t="inlineStr">
        <is>
          <t>kg</t>
        </is>
      </c>
      <c r="H1106" s="76" t="n"/>
      <c r="I1106" s="73" t="n"/>
      <c r="J1106" s="73" t="n"/>
      <c r="K1106" s="74" t="n"/>
      <c r="L1106" s="74" t="n"/>
      <c r="M1106" s="64" t="e">
        <v>#N/A</v>
      </c>
    </row>
    <row r="1107" ht="29.1" customHeight="1">
      <c r="A1107" s="74" t="n"/>
      <c r="B1107" s="74" t="n"/>
      <c r="C1107" s="74" t="n"/>
      <c r="D1107" s="74" t="n"/>
      <c r="E1107" s="74" t="n"/>
      <c r="F1107" s="74" t="n"/>
      <c r="G1107" s="74" t="inlineStr">
        <is>
          <t>kg</t>
        </is>
      </c>
      <c r="H1107" s="76" t="n"/>
      <c r="I1107" s="73" t="n"/>
      <c r="J1107" s="73" t="n"/>
      <c r="K1107" s="74" t="n"/>
      <c r="L1107" s="74" t="n"/>
      <c r="M1107" s="64" t="e">
        <v>#N/A</v>
      </c>
    </row>
    <row r="1108" ht="29.1" customHeight="1">
      <c r="A1108" s="74" t="n"/>
      <c r="B1108" s="74" t="n"/>
      <c r="C1108" s="74" t="n"/>
      <c r="D1108" s="74" t="n"/>
      <c r="E1108" s="74" t="n"/>
      <c r="F1108" s="74" t="n"/>
      <c r="G1108" s="74" t="inlineStr">
        <is>
          <t>kg</t>
        </is>
      </c>
      <c r="H1108" s="76" t="n"/>
      <c r="I1108" s="73" t="n"/>
      <c r="J1108" s="73" t="n"/>
      <c r="K1108" s="74" t="n"/>
      <c r="L1108" s="74" t="n"/>
      <c r="M1108" s="64" t="e">
        <v>#N/A</v>
      </c>
    </row>
    <row r="1109" ht="29.1" customHeight="1">
      <c r="A1109" s="74" t="n"/>
      <c r="B1109" s="74" t="n"/>
      <c r="C1109" s="74" t="n"/>
      <c r="D1109" s="74" t="n"/>
      <c r="E1109" s="74" t="n"/>
      <c r="F1109" s="74" t="n"/>
      <c r="G1109" s="74" t="inlineStr">
        <is>
          <t>kg</t>
        </is>
      </c>
      <c r="H1109" s="76" t="n"/>
      <c r="I1109" s="73" t="n"/>
      <c r="J1109" s="73" t="n"/>
      <c r="K1109" s="74" t="n"/>
      <c r="L1109" s="74" t="n"/>
      <c r="M1109" s="64" t="e">
        <v>#N/A</v>
      </c>
    </row>
    <row r="1110" ht="29.1" customHeight="1">
      <c r="A1110" s="74" t="n"/>
      <c r="B1110" s="74" t="n"/>
      <c r="C1110" s="74" t="n"/>
      <c r="D1110" s="74" t="n"/>
      <c r="E1110" s="74" t="n"/>
      <c r="F1110" s="74" t="n"/>
      <c r="G1110" s="74" t="inlineStr">
        <is>
          <t>kg</t>
        </is>
      </c>
      <c r="H1110" s="76" t="n"/>
      <c r="I1110" s="73" t="n"/>
      <c r="J1110" s="73" t="n"/>
      <c r="K1110" s="74" t="n"/>
      <c r="L1110" s="74" t="n"/>
      <c r="M1110" s="64" t="e">
        <v>#N/A</v>
      </c>
    </row>
    <row r="1111" ht="29.1" customHeight="1">
      <c r="A1111" s="74" t="n"/>
      <c r="B1111" s="74" t="n"/>
      <c r="C1111" s="74" t="n"/>
      <c r="D1111" s="74" t="n"/>
      <c r="E1111" s="74" t="n"/>
      <c r="F1111" s="74" t="n"/>
      <c r="G1111" s="74" t="inlineStr">
        <is>
          <t>kg</t>
        </is>
      </c>
      <c r="H1111" s="76" t="n"/>
      <c r="I1111" s="73" t="n"/>
      <c r="J1111" s="73" t="n"/>
      <c r="K1111" s="74" t="n"/>
      <c r="L1111" s="74" t="n"/>
      <c r="M1111" s="64" t="e">
        <v>#N/A</v>
      </c>
    </row>
    <row r="1112" ht="29.1" customHeight="1">
      <c r="A1112" s="74" t="n"/>
      <c r="B1112" s="74" t="n"/>
      <c r="C1112" s="74" t="n"/>
      <c r="D1112" s="74" t="n"/>
      <c r="E1112" s="74" t="n"/>
      <c r="F1112" s="74" t="n"/>
      <c r="G1112" s="74" t="inlineStr">
        <is>
          <t>kg</t>
        </is>
      </c>
      <c r="H1112" s="76" t="n"/>
      <c r="I1112" s="73" t="n"/>
      <c r="J1112" s="73" t="n"/>
      <c r="K1112" s="74" t="n"/>
      <c r="L1112" s="74" t="n"/>
      <c r="M1112" s="64" t="e">
        <v>#N/A</v>
      </c>
    </row>
    <row r="1113" ht="29.1" customHeight="1">
      <c r="A1113" s="74" t="n"/>
      <c r="B1113" s="74" t="n"/>
      <c r="C1113" s="74" t="n"/>
      <c r="D1113" s="74" t="n"/>
      <c r="E1113" s="74" t="n"/>
      <c r="F1113" s="74" t="n"/>
      <c r="G1113" s="74" t="inlineStr">
        <is>
          <t>kg</t>
        </is>
      </c>
      <c r="H1113" s="76" t="n"/>
      <c r="I1113" s="73" t="n"/>
      <c r="J1113" s="73" t="n"/>
      <c r="K1113" s="74" t="n"/>
      <c r="L1113" s="74" t="n"/>
      <c r="M1113" s="64" t="e">
        <v>#N/A</v>
      </c>
    </row>
    <row r="1114" ht="29.1" customHeight="1">
      <c r="A1114" s="74" t="n"/>
      <c r="B1114" s="74" t="n"/>
      <c r="C1114" s="74" t="n"/>
      <c r="D1114" s="74" t="n"/>
      <c r="E1114" s="74" t="n"/>
      <c r="F1114" s="74" t="n"/>
      <c r="G1114" s="74" t="inlineStr">
        <is>
          <t>kg</t>
        </is>
      </c>
      <c r="H1114" s="76" t="n"/>
      <c r="I1114" s="73" t="n"/>
      <c r="J1114" s="73" t="n"/>
      <c r="K1114" s="74" t="n"/>
      <c r="L1114" s="74" t="n"/>
      <c r="M1114" s="64" t="e">
        <v>#N/A</v>
      </c>
    </row>
    <row r="1115" ht="29.1" customHeight="1">
      <c r="A1115" s="74" t="n"/>
      <c r="B1115" s="74" t="n"/>
      <c r="C1115" s="74" t="n"/>
      <c r="D1115" s="74" t="n"/>
      <c r="E1115" s="74" t="n"/>
      <c r="F1115" s="74" t="n"/>
      <c r="G1115" s="74" t="inlineStr">
        <is>
          <t>kg</t>
        </is>
      </c>
      <c r="H1115" s="76" t="n"/>
      <c r="I1115" s="73" t="n"/>
      <c r="J1115" s="73" t="n"/>
      <c r="K1115" s="74" t="n"/>
      <c r="L1115" s="74" t="n"/>
      <c r="M1115" s="64" t="e">
        <v>#N/A</v>
      </c>
    </row>
    <row r="1116" ht="29.1" customHeight="1">
      <c r="A1116" s="74" t="n"/>
      <c r="B1116" s="74" t="n"/>
      <c r="C1116" s="74" t="n"/>
      <c r="D1116" s="74" t="n"/>
      <c r="E1116" s="74" t="n"/>
      <c r="F1116" s="74" t="n"/>
      <c r="G1116" s="74" t="inlineStr">
        <is>
          <t>kg</t>
        </is>
      </c>
      <c r="H1116" s="76" t="n"/>
      <c r="I1116" s="73" t="n"/>
      <c r="J1116" s="73" t="n"/>
      <c r="K1116" s="74" t="n"/>
      <c r="L1116" s="74" t="n"/>
      <c r="M1116" s="64" t="e">
        <v>#N/A</v>
      </c>
    </row>
    <row r="1117" ht="29.1" customHeight="1">
      <c r="A1117" s="74" t="n"/>
      <c r="B1117" s="74" t="n"/>
      <c r="C1117" s="74" t="n"/>
      <c r="D1117" s="74" t="n"/>
      <c r="E1117" s="74" t="n"/>
      <c r="F1117" s="74" t="n"/>
      <c r="G1117" s="74" t="inlineStr">
        <is>
          <t>kg</t>
        </is>
      </c>
      <c r="H1117" s="76" t="n"/>
      <c r="I1117" s="73" t="n"/>
      <c r="J1117" s="73" t="n"/>
      <c r="K1117" s="74" t="n"/>
      <c r="L1117" s="74" t="n"/>
      <c r="M1117" s="64" t="e">
        <v>#N/A</v>
      </c>
    </row>
    <row r="1118" ht="29.1" customHeight="1">
      <c r="A1118" s="74" t="n"/>
      <c r="B1118" s="74" t="n"/>
      <c r="C1118" s="74" t="n"/>
      <c r="D1118" s="74" t="n"/>
      <c r="E1118" s="74" t="n"/>
      <c r="F1118" s="74" t="n"/>
      <c r="G1118" s="74" t="inlineStr">
        <is>
          <t>kg</t>
        </is>
      </c>
      <c r="H1118" s="76" t="n"/>
      <c r="I1118" s="73" t="n"/>
      <c r="J1118" s="73" t="n"/>
      <c r="K1118" s="74" t="n"/>
      <c r="L1118" s="74" t="n"/>
      <c r="M1118" s="64" t="e">
        <v>#N/A</v>
      </c>
    </row>
    <row r="1119" ht="29.1" customHeight="1">
      <c r="A1119" s="74" t="n"/>
      <c r="B1119" s="74" t="n"/>
      <c r="C1119" s="74" t="n"/>
      <c r="D1119" s="74" t="n"/>
      <c r="E1119" s="74" t="n"/>
      <c r="F1119" s="74" t="n"/>
      <c r="G1119" s="74" t="inlineStr">
        <is>
          <t>kg</t>
        </is>
      </c>
      <c r="H1119" s="76" t="n"/>
      <c r="I1119" s="73" t="n"/>
      <c r="J1119" s="73" t="n"/>
      <c r="K1119" s="74" t="n"/>
      <c r="L1119" s="74" t="n"/>
      <c r="M1119" s="64" t="e">
        <v>#N/A</v>
      </c>
    </row>
    <row r="1120" ht="29.1" customHeight="1">
      <c r="A1120" s="74" t="n"/>
      <c r="B1120" s="74" t="n"/>
      <c r="C1120" s="74" t="n"/>
      <c r="D1120" s="74" t="n"/>
      <c r="E1120" s="74" t="n"/>
      <c r="F1120" s="74" t="n"/>
      <c r="G1120" s="74" t="inlineStr">
        <is>
          <t>kg</t>
        </is>
      </c>
      <c r="H1120" s="76" t="n"/>
      <c r="I1120" s="73" t="n"/>
      <c r="J1120" s="73" t="n"/>
      <c r="K1120" s="74" t="n"/>
      <c r="L1120" s="74" t="n"/>
      <c r="M1120" s="64" t="e">
        <v>#N/A</v>
      </c>
    </row>
    <row r="1121" ht="29.1" customHeight="1">
      <c r="A1121" s="74" t="n"/>
      <c r="B1121" s="74" t="n"/>
      <c r="C1121" s="74" t="n"/>
      <c r="D1121" s="74" t="n"/>
      <c r="E1121" s="74" t="n"/>
      <c r="F1121" s="74" t="n"/>
      <c r="G1121" s="74" t="inlineStr">
        <is>
          <t>kg</t>
        </is>
      </c>
      <c r="H1121" s="76" t="n"/>
      <c r="I1121" s="73" t="n"/>
      <c r="J1121" s="73" t="n"/>
      <c r="K1121" s="74" t="n"/>
      <c r="L1121" s="74" t="n"/>
      <c r="M1121" s="64" t="e">
        <v>#N/A</v>
      </c>
    </row>
    <row r="1122" ht="29.1" customHeight="1">
      <c r="A1122" s="74" t="n"/>
      <c r="B1122" s="74" t="n"/>
      <c r="C1122" s="74" t="n"/>
      <c r="D1122" s="74" t="n"/>
      <c r="E1122" s="74" t="n"/>
      <c r="F1122" s="74" t="n"/>
      <c r="G1122" s="74" t="inlineStr">
        <is>
          <t>kg</t>
        </is>
      </c>
      <c r="H1122" s="76" t="n"/>
      <c r="I1122" s="73" t="n"/>
      <c r="J1122" s="73" t="n"/>
      <c r="K1122" s="74" t="n"/>
      <c r="L1122" s="74" t="n"/>
      <c r="M1122" s="64" t="e">
        <v>#N/A</v>
      </c>
    </row>
    <row r="1123" ht="29.1" customHeight="1">
      <c r="A1123" s="74" t="n"/>
      <c r="B1123" s="74" t="n"/>
      <c r="C1123" s="74" t="n"/>
      <c r="D1123" s="74" t="n"/>
      <c r="E1123" s="74" t="n"/>
      <c r="F1123" s="74" t="n"/>
      <c r="G1123" s="74" t="inlineStr">
        <is>
          <t>kg</t>
        </is>
      </c>
      <c r="H1123" s="76" t="n"/>
      <c r="I1123" s="73" t="n"/>
      <c r="J1123" s="73" t="n"/>
      <c r="K1123" s="74" t="n"/>
      <c r="L1123" s="74" t="n"/>
      <c r="M1123" s="64" t="e">
        <v>#N/A</v>
      </c>
    </row>
    <row r="1124" ht="29.1" customHeight="1">
      <c r="A1124" s="74" t="n"/>
      <c r="B1124" s="74" t="n"/>
      <c r="C1124" s="74" t="n"/>
      <c r="D1124" s="74" t="n"/>
      <c r="E1124" s="74" t="n"/>
      <c r="F1124" s="74" t="n"/>
      <c r="G1124" s="74" t="inlineStr">
        <is>
          <t>kg</t>
        </is>
      </c>
      <c r="H1124" s="76" t="n"/>
      <c r="I1124" s="73" t="n"/>
      <c r="J1124" s="73" t="n"/>
      <c r="K1124" s="74" t="n"/>
      <c r="L1124" s="74" t="n"/>
      <c r="M1124" s="64" t="e">
        <v>#N/A</v>
      </c>
    </row>
    <row r="1125" ht="29.1" customHeight="1">
      <c r="A1125" s="74" t="n"/>
      <c r="B1125" s="74" t="n"/>
      <c r="C1125" s="74" t="n"/>
      <c r="D1125" s="74" t="n"/>
      <c r="E1125" s="74" t="n"/>
      <c r="F1125" s="74" t="n"/>
      <c r="G1125" s="74" t="inlineStr">
        <is>
          <t>kg</t>
        </is>
      </c>
      <c r="H1125" s="76" t="n"/>
      <c r="I1125" s="73" t="n"/>
      <c r="J1125" s="73" t="n"/>
      <c r="K1125" s="74" t="n"/>
      <c r="L1125" s="74" t="n"/>
      <c r="M1125" s="64" t="e">
        <v>#N/A</v>
      </c>
    </row>
    <row r="1126" ht="29.1" customHeight="1">
      <c r="A1126" s="74" t="n"/>
      <c r="B1126" s="74" t="n"/>
      <c r="C1126" s="74" t="n"/>
      <c r="D1126" s="74" t="n"/>
      <c r="E1126" s="74" t="n"/>
      <c r="F1126" s="74" t="n"/>
      <c r="G1126" s="74" t="inlineStr">
        <is>
          <t>kg</t>
        </is>
      </c>
      <c r="H1126" s="76" t="n"/>
      <c r="I1126" s="73" t="n"/>
      <c r="J1126" s="73" t="n"/>
      <c r="K1126" s="74" t="n"/>
      <c r="L1126" s="74" t="n"/>
      <c r="M1126" s="64" t="e">
        <v>#N/A</v>
      </c>
    </row>
    <row r="1127" ht="29.1" customHeight="1">
      <c r="A1127" s="74" t="n"/>
      <c r="B1127" s="74" t="n"/>
      <c r="C1127" s="74" t="n"/>
      <c r="D1127" s="74" t="n"/>
      <c r="E1127" s="74" t="n"/>
      <c r="F1127" s="74" t="n"/>
      <c r="G1127" s="74" t="inlineStr">
        <is>
          <t>kg</t>
        </is>
      </c>
      <c r="H1127" s="76" t="n"/>
      <c r="I1127" s="73" t="n"/>
      <c r="J1127" s="73" t="n"/>
      <c r="K1127" s="74" t="n"/>
      <c r="L1127" s="74" t="n"/>
      <c r="M1127" s="64" t="e">
        <v>#N/A</v>
      </c>
    </row>
    <row r="1128" ht="29.1" customHeight="1">
      <c r="A1128" s="74" t="n"/>
      <c r="B1128" s="74" t="n"/>
      <c r="C1128" s="74" t="n"/>
      <c r="D1128" s="74" t="n"/>
      <c r="E1128" s="74" t="n"/>
      <c r="F1128" s="74" t="n"/>
      <c r="G1128" s="74" t="inlineStr">
        <is>
          <t>kg</t>
        </is>
      </c>
      <c r="H1128" s="76" t="n"/>
      <c r="I1128" s="73" t="n"/>
      <c r="J1128" s="73" t="n"/>
      <c r="K1128" s="74" t="n"/>
      <c r="L1128" s="74" t="n"/>
      <c r="M1128" s="64" t="e">
        <v>#N/A</v>
      </c>
    </row>
    <row r="1129" ht="29.1" customHeight="1">
      <c r="A1129" s="74" t="n"/>
      <c r="B1129" s="74" t="n"/>
      <c r="C1129" s="74" t="n"/>
      <c r="D1129" s="74" t="n"/>
      <c r="E1129" s="74" t="n"/>
      <c r="F1129" s="74" t="n"/>
      <c r="G1129" s="74" t="inlineStr">
        <is>
          <t>kg</t>
        </is>
      </c>
      <c r="H1129" s="76" t="n"/>
      <c r="I1129" s="73" t="n"/>
      <c r="J1129" s="73" t="n"/>
      <c r="K1129" s="74" t="n"/>
      <c r="L1129" s="74" t="n"/>
      <c r="M1129" s="64" t="e">
        <v>#N/A</v>
      </c>
    </row>
    <row r="1130" ht="29.1" customHeight="1">
      <c r="A1130" s="74" t="n"/>
      <c r="B1130" s="74" t="n"/>
      <c r="C1130" s="74" t="n"/>
      <c r="D1130" s="74" t="n"/>
      <c r="E1130" s="74" t="n"/>
      <c r="F1130" s="74" t="n"/>
      <c r="G1130" s="74" t="inlineStr">
        <is>
          <t>kg</t>
        </is>
      </c>
      <c r="H1130" s="76" t="n"/>
      <c r="I1130" s="73" t="n"/>
      <c r="J1130" s="73" t="n"/>
      <c r="K1130" s="74" t="n"/>
      <c r="L1130" s="74" t="n"/>
      <c r="M1130" s="64" t="e">
        <v>#N/A</v>
      </c>
    </row>
    <row r="1131" ht="29.1" customHeight="1">
      <c r="A1131" s="74" t="n"/>
      <c r="B1131" s="74" t="n"/>
      <c r="C1131" s="74" t="n"/>
      <c r="D1131" s="74" t="n"/>
      <c r="E1131" s="74" t="n"/>
      <c r="F1131" s="74" t="n"/>
      <c r="G1131" s="74" t="inlineStr">
        <is>
          <t>kg</t>
        </is>
      </c>
      <c r="H1131" s="76" t="n"/>
      <c r="I1131" s="73" t="n"/>
      <c r="J1131" s="73" t="n"/>
      <c r="K1131" s="74" t="n"/>
      <c r="L1131" s="74" t="n"/>
      <c r="M1131" s="64" t="e">
        <v>#N/A</v>
      </c>
    </row>
    <row r="1132" ht="29.1" customHeight="1">
      <c r="A1132" s="74" t="n"/>
      <c r="B1132" s="74" t="n"/>
      <c r="C1132" s="74" t="n"/>
      <c r="D1132" s="74" t="n"/>
      <c r="E1132" s="74" t="n"/>
      <c r="F1132" s="74" t="n"/>
      <c r="G1132" s="74" t="inlineStr">
        <is>
          <t>kg</t>
        </is>
      </c>
      <c r="H1132" s="76" t="n"/>
      <c r="I1132" s="73" t="n"/>
      <c r="J1132" s="73" t="n"/>
      <c r="K1132" s="74" t="n"/>
      <c r="L1132" s="74" t="n"/>
      <c r="M1132" s="64" t="e">
        <v>#N/A</v>
      </c>
    </row>
    <row r="1133" ht="29.1" customHeight="1">
      <c r="A1133" s="74" t="n"/>
      <c r="B1133" s="74" t="n"/>
      <c r="C1133" s="74" t="n"/>
      <c r="D1133" s="74" t="n"/>
      <c r="E1133" s="74" t="n"/>
      <c r="F1133" s="74" t="n"/>
      <c r="G1133" s="74" t="inlineStr">
        <is>
          <t>kg</t>
        </is>
      </c>
      <c r="H1133" s="76" t="n"/>
      <c r="I1133" s="73" t="n"/>
      <c r="J1133" s="73" t="n"/>
      <c r="K1133" s="74" t="n"/>
      <c r="L1133" s="74" t="n"/>
      <c r="M1133" s="64" t="e">
        <v>#N/A</v>
      </c>
    </row>
    <row r="1134" ht="29.1" customHeight="1">
      <c r="A1134" s="74" t="n"/>
      <c r="B1134" s="74" t="n"/>
      <c r="C1134" s="74" t="n"/>
      <c r="D1134" s="74" t="n"/>
      <c r="E1134" s="74" t="n"/>
      <c r="F1134" s="74" t="n"/>
      <c r="G1134" s="74" t="inlineStr">
        <is>
          <t>kg</t>
        </is>
      </c>
      <c r="H1134" s="76" t="n"/>
      <c r="I1134" s="73" t="n"/>
      <c r="J1134" s="73" t="n"/>
      <c r="K1134" s="74" t="n"/>
      <c r="L1134" s="74" t="n"/>
      <c r="M1134" s="64" t="e">
        <v>#N/A</v>
      </c>
    </row>
    <row r="1135" ht="29.1" customHeight="1">
      <c r="A1135" s="74" t="n"/>
      <c r="B1135" s="74" t="n"/>
      <c r="C1135" s="74" t="n"/>
      <c r="D1135" s="74" t="n"/>
      <c r="E1135" s="74" t="n"/>
      <c r="F1135" s="74" t="n"/>
      <c r="G1135" s="74" t="inlineStr">
        <is>
          <t>kg</t>
        </is>
      </c>
      <c r="H1135" s="76" t="n"/>
      <c r="I1135" s="73" t="n"/>
      <c r="J1135" s="73" t="n"/>
      <c r="K1135" s="74" t="n"/>
      <c r="L1135" s="74" t="n"/>
      <c r="M1135" s="64" t="e">
        <v>#N/A</v>
      </c>
    </row>
    <row r="1136" ht="29.1" customHeight="1">
      <c r="A1136" s="74" t="n"/>
      <c r="B1136" s="74" t="n"/>
      <c r="C1136" s="74" t="n"/>
      <c r="D1136" s="74" t="n"/>
      <c r="E1136" s="74" t="n"/>
      <c r="F1136" s="74" t="n"/>
      <c r="G1136" s="74" t="inlineStr">
        <is>
          <t>kg</t>
        </is>
      </c>
      <c r="H1136" s="76" t="n"/>
      <c r="I1136" s="73" t="n"/>
      <c r="J1136" s="73" t="n"/>
      <c r="K1136" s="74" t="n"/>
      <c r="L1136" s="74" t="n"/>
      <c r="M1136" s="64" t="e">
        <v>#N/A</v>
      </c>
    </row>
    <row r="1137" ht="29.1" customHeight="1">
      <c r="A1137" s="74" t="n"/>
      <c r="B1137" s="74" t="n"/>
      <c r="C1137" s="74" t="n"/>
      <c r="D1137" s="74" t="n"/>
      <c r="E1137" s="74" t="n"/>
      <c r="F1137" s="74" t="n"/>
      <c r="G1137" s="74" t="inlineStr">
        <is>
          <t>kg</t>
        </is>
      </c>
      <c r="H1137" s="76" t="n"/>
      <c r="I1137" s="73" t="n"/>
      <c r="J1137" s="73" t="n"/>
      <c r="K1137" s="74" t="n"/>
      <c r="L1137" s="74" t="n"/>
      <c r="M1137" s="64" t="e">
        <v>#N/A</v>
      </c>
    </row>
    <row r="1138" ht="29.1" customHeight="1">
      <c r="A1138" s="74" t="n"/>
      <c r="B1138" s="74" t="n"/>
      <c r="C1138" s="74" t="n"/>
      <c r="D1138" s="74" t="n"/>
      <c r="E1138" s="74" t="n"/>
      <c r="F1138" s="74" t="n"/>
      <c r="G1138" s="74" t="inlineStr">
        <is>
          <t>kg</t>
        </is>
      </c>
      <c r="H1138" s="76" t="n"/>
      <c r="I1138" s="73" t="n"/>
      <c r="J1138" s="73" t="n"/>
      <c r="K1138" s="74" t="n"/>
      <c r="L1138" s="74" t="n"/>
      <c r="M1138" s="64" t="e">
        <v>#N/A</v>
      </c>
    </row>
    <row r="1139" ht="29.1" customHeight="1">
      <c r="A1139" s="74" t="n"/>
      <c r="B1139" s="74" t="n"/>
      <c r="C1139" s="74" t="n"/>
      <c r="D1139" s="74" t="n"/>
      <c r="E1139" s="74" t="n"/>
      <c r="F1139" s="74" t="n"/>
      <c r="G1139" s="74" t="inlineStr">
        <is>
          <t>kg</t>
        </is>
      </c>
      <c r="H1139" s="76" t="n"/>
      <c r="I1139" s="73" t="n"/>
      <c r="J1139" s="73" t="n"/>
      <c r="K1139" s="74" t="n"/>
      <c r="L1139" s="74" t="n"/>
      <c r="M1139" s="64" t="e">
        <v>#N/A</v>
      </c>
    </row>
    <row r="1140" ht="29.1" customHeight="1">
      <c r="A1140" s="74" t="n"/>
      <c r="B1140" s="74" t="n"/>
      <c r="C1140" s="74" t="n"/>
      <c r="D1140" s="74" t="n"/>
      <c r="E1140" s="74" t="n"/>
      <c r="F1140" s="74" t="n"/>
      <c r="G1140" s="74" t="inlineStr">
        <is>
          <t>kg</t>
        </is>
      </c>
      <c r="H1140" s="76" t="n"/>
      <c r="I1140" s="73" t="n"/>
      <c r="J1140" s="73" t="n"/>
      <c r="K1140" s="74" t="n"/>
      <c r="L1140" s="74" t="n"/>
      <c r="M1140" s="64" t="e">
        <v>#N/A</v>
      </c>
    </row>
    <row r="1141" ht="29.1" customHeight="1">
      <c r="A1141" s="74" t="n"/>
      <c r="B1141" s="74" t="n"/>
      <c r="C1141" s="74" t="n"/>
      <c r="D1141" s="74" t="n"/>
      <c r="E1141" s="74" t="n"/>
      <c r="F1141" s="74" t="n"/>
      <c r="G1141" s="74" t="inlineStr">
        <is>
          <t>kg</t>
        </is>
      </c>
      <c r="H1141" s="76" t="n"/>
      <c r="I1141" s="73" t="n"/>
      <c r="J1141" s="73" t="n"/>
      <c r="K1141" s="74" t="n"/>
      <c r="L1141" s="74" t="n"/>
      <c r="M1141" s="64" t="e">
        <v>#N/A</v>
      </c>
    </row>
    <row r="1142" ht="29.1" customHeight="1">
      <c r="A1142" s="74" t="n"/>
      <c r="B1142" s="74" t="n"/>
      <c r="C1142" s="74" t="n"/>
      <c r="D1142" s="74" t="n"/>
      <c r="E1142" s="74" t="n"/>
      <c r="F1142" s="74" t="n"/>
      <c r="G1142" s="74" t="inlineStr">
        <is>
          <t>kg</t>
        </is>
      </c>
      <c r="H1142" s="76" t="n"/>
      <c r="I1142" s="73" t="n"/>
      <c r="J1142" s="73" t="n"/>
      <c r="K1142" s="74" t="n"/>
      <c r="L1142" s="74" t="n"/>
      <c r="M1142" s="64" t="e">
        <v>#N/A</v>
      </c>
    </row>
    <row r="1143" ht="29.1" customHeight="1">
      <c r="A1143" s="74" t="n"/>
      <c r="B1143" s="74" t="n"/>
      <c r="C1143" s="74" t="n"/>
      <c r="D1143" s="74" t="n"/>
      <c r="E1143" s="74" t="n"/>
      <c r="F1143" s="74" t="n"/>
      <c r="G1143" s="74" t="inlineStr">
        <is>
          <t>kg</t>
        </is>
      </c>
      <c r="H1143" s="76" t="n"/>
      <c r="I1143" s="73" t="n"/>
      <c r="J1143" s="73" t="n"/>
      <c r="K1143" s="74" t="n"/>
      <c r="L1143" s="74" t="n"/>
      <c r="M1143" s="64" t="e">
        <v>#N/A</v>
      </c>
    </row>
    <row r="1144" ht="29.1" customHeight="1">
      <c r="A1144" s="74" t="n"/>
      <c r="B1144" s="74" t="n"/>
      <c r="C1144" s="74" t="n"/>
      <c r="D1144" s="74" t="n"/>
      <c r="E1144" s="74" t="n"/>
      <c r="F1144" s="74" t="n"/>
      <c r="G1144" s="74" t="inlineStr">
        <is>
          <t>kg</t>
        </is>
      </c>
      <c r="H1144" s="76" t="n"/>
      <c r="I1144" s="73" t="n"/>
      <c r="J1144" s="73" t="n"/>
      <c r="K1144" s="74" t="n"/>
      <c r="L1144" s="74" t="n"/>
      <c r="M1144" s="64" t="e">
        <v>#N/A</v>
      </c>
    </row>
    <row r="1145" ht="29.1" customHeight="1">
      <c r="A1145" s="74" t="n"/>
      <c r="B1145" s="74" t="n"/>
      <c r="C1145" s="74" t="n"/>
      <c r="D1145" s="74" t="n"/>
      <c r="E1145" s="74" t="n"/>
      <c r="F1145" s="74" t="n"/>
      <c r="G1145" s="74" t="inlineStr">
        <is>
          <t>kg</t>
        </is>
      </c>
      <c r="H1145" s="76" t="n"/>
      <c r="I1145" s="73" t="n"/>
      <c r="J1145" s="73" t="n"/>
      <c r="K1145" s="74" t="n"/>
      <c r="L1145" s="74" t="n"/>
      <c r="M1145" s="64" t="e">
        <v>#N/A</v>
      </c>
    </row>
    <row r="1146" ht="29.1" customHeight="1">
      <c r="A1146" s="74" t="n"/>
      <c r="B1146" s="74" t="n"/>
      <c r="C1146" s="74" t="n"/>
      <c r="D1146" s="74" t="n"/>
      <c r="E1146" s="74" t="n"/>
      <c r="F1146" s="74" t="n"/>
      <c r="G1146" s="74" t="inlineStr">
        <is>
          <t>kg</t>
        </is>
      </c>
      <c r="H1146" s="76" t="n"/>
      <c r="I1146" s="73" t="n"/>
      <c r="J1146" s="73" t="n"/>
      <c r="K1146" s="74" t="n"/>
      <c r="L1146" s="74" t="n"/>
      <c r="M1146" s="64" t="e">
        <v>#N/A</v>
      </c>
    </row>
    <row r="1147" ht="29.1" customHeight="1">
      <c r="A1147" s="74" t="n"/>
      <c r="B1147" s="74" t="n"/>
      <c r="C1147" s="74" t="n"/>
      <c r="D1147" s="74" t="n"/>
      <c r="E1147" s="74" t="n"/>
      <c r="F1147" s="74" t="n"/>
      <c r="G1147" s="74" t="inlineStr">
        <is>
          <t>kg</t>
        </is>
      </c>
      <c r="H1147" s="76" t="n"/>
      <c r="I1147" s="73" t="n"/>
      <c r="J1147" s="73" t="n"/>
      <c r="K1147" s="74" t="n"/>
      <c r="L1147" s="74" t="n"/>
      <c r="M1147" s="64" t="e">
        <v>#N/A</v>
      </c>
    </row>
    <row r="1148" ht="29.1" customHeight="1">
      <c r="A1148" s="74" t="n"/>
      <c r="B1148" s="74" t="n"/>
      <c r="C1148" s="74" t="n"/>
      <c r="D1148" s="74" t="n"/>
      <c r="E1148" s="74" t="n"/>
      <c r="F1148" s="74" t="n"/>
      <c r="G1148" s="74" t="inlineStr">
        <is>
          <t>kg</t>
        </is>
      </c>
      <c r="H1148" s="76" t="n"/>
      <c r="I1148" s="73" t="n"/>
      <c r="J1148" s="73" t="n"/>
      <c r="K1148" s="74" t="n"/>
      <c r="L1148" s="74" t="n"/>
      <c r="M1148" s="64" t="e">
        <v>#N/A</v>
      </c>
    </row>
    <row r="1149" ht="29.1" customHeight="1">
      <c r="A1149" s="74" t="n"/>
      <c r="B1149" s="74" t="n"/>
      <c r="C1149" s="74" t="n"/>
      <c r="D1149" s="74" t="n"/>
      <c r="E1149" s="74" t="n"/>
      <c r="F1149" s="74" t="n"/>
      <c r="G1149" s="74" t="inlineStr">
        <is>
          <t>kg</t>
        </is>
      </c>
      <c r="H1149" s="76" t="n"/>
      <c r="I1149" s="73" t="n"/>
      <c r="J1149" s="73" t="n"/>
      <c r="K1149" s="74" t="n"/>
      <c r="L1149" s="74" t="n"/>
      <c r="M1149" s="64" t="e">
        <v>#N/A</v>
      </c>
    </row>
    <row r="1150" ht="29.1" customHeight="1">
      <c r="A1150" s="74" t="n"/>
      <c r="B1150" s="74" t="n"/>
      <c r="C1150" s="74" t="n"/>
      <c r="D1150" s="74" t="n"/>
      <c r="E1150" s="74" t="n"/>
      <c r="F1150" s="74" t="n"/>
      <c r="G1150" s="74" t="inlineStr">
        <is>
          <t>kg</t>
        </is>
      </c>
      <c r="H1150" s="76" t="n"/>
      <c r="I1150" s="73" t="n"/>
      <c r="J1150" s="73" t="n"/>
      <c r="K1150" s="74" t="n"/>
      <c r="L1150" s="74" t="n"/>
      <c r="M1150" s="64" t="e">
        <v>#N/A</v>
      </c>
    </row>
    <row r="1151" ht="29.1" customHeight="1">
      <c r="A1151" s="74" t="n"/>
      <c r="B1151" s="74" t="n"/>
      <c r="C1151" s="74" t="n"/>
      <c r="D1151" s="74" t="n"/>
      <c r="E1151" s="74" t="n"/>
      <c r="F1151" s="74" t="n"/>
      <c r="G1151" s="74" t="inlineStr">
        <is>
          <t>kg</t>
        </is>
      </c>
      <c r="H1151" s="76" t="n"/>
      <c r="I1151" s="73" t="n"/>
      <c r="J1151" s="73" t="n"/>
      <c r="K1151" s="74" t="n"/>
      <c r="L1151" s="74" t="n"/>
      <c r="M1151" s="64" t="e">
        <v>#N/A</v>
      </c>
    </row>
    <row r="1152" ht="29.1" customHeight="1">
      <c r="A1152" s="74" t="n"/>
      <c r="B1152" s="74" t="n"/>
      <c r="C1152" s="74" t="n"/>
      <c r="D1152" s="74" t="n"/>
      <c r="E1152" s="74" t="n"/>
      <c r="F1152" s="74" t="n"/>
      <c r="G1152" s="74" t="inlineStr">
        <is>
          <t>kg</t>
        </is>
      </c>
      <c r="H1152" s="76" t="n"/>
      <c r="I1152" s="73" t="n"/>
      <c r="J1152" s="73" t="n"/>
      <c r="K1152" s="74" t="n"/>
      <c r="L1152" s="74" t="n"/>
      <c r="M1152" s="64" t="e">
        <v>#N/A</v>
      </c>
    </row>
    <row r="1153" ht="29.1" customHeight="1">
      <c r="A1153" s="74" t="n"/>
      <c r="B1153" s="74" t="n"/>
      <c r="C1153" s="74" t="n"/>
      <c r="D1153" s="74" t="n"/>
      <c r="E1153" s="74" t="n"/>
      <c r="F1153" s="74" t="n"/>
      <c r="G1153" s="74" t="inlineStr">
        <is>
          <t>kg</t>
        </is>
      </c>
      <c r="H1153" s="76" t="n"/>
      <c r="I1153" s="73" t="n"/>
      <c r="J1153" s="73" t="n"/>
      <c r="K1153" s="74" t="n"/>
      <c r="L1153" s="74" t="n"/>
      <c r="M1153" s="64" t="e">
        <v>#N/A</v>
      </c>
    </row>
    <row r="1154" ht="29.1" customHeight="1">
      <c r="A1154" s="74" t="n"/>
      <c r="B1154" s="74" t="n"/>
      <c r="C1154" s="74" t="n"/>
      <c r="D1154" s="74" t="n"/>
      <c r="E1154" s="74" t="n"/>
      <c r="F1154" s="74" t="n"/>
      <c r="G1154" s="74" t="inlineStr">
        <is>
          <t>kg</t>
        </is>
      </c>
      <c r="H1154" s="76" t="n"/>
      <c r="I1154" s="73" t="n"/>
      <c r="J1154" s="73" t="n"/>
      <c r="K1154" s="74" t="n"/>
      <c r="L1154" s="74" t="n"/>
      <c r="M1154" s="64" t="e">
        <v>#N/A</v>
      </c>
    </row>
    <row r="1155" ht="29.1" customHeight="1">
      <c r="A1155" s="74" t="n"/>
      <c r="B1155" s="74" t="n"/>
      <c r="C1155" s="74" t="n"/>
      <c r="D1155" s="74" t="n"/>
      <c r="E1155" s="74" t="n"/>
      <c r="F1155" s="74" t="n"/>
      <c r="G1155" s="74" t="inlineStr">
        <is>
          <t>kg</t>
        </is>
      </c>
      <c r="H1155" s="76" t="n"/>
      <c r="I1155" s="73" t="n"/>
      <c r="J1155" s="73" t="n"/>
      <c r="K1155" s="74" t="n"/>
      <c r="L1155" s="74" t="n"/>
      <c r="M1155" s="64" t="e">
        <v>#N/A</v>
      </c>
    </row>
    <row r="1156" ht="29.1" customHeight="1">
      <c r="A1156" s="74" t="n"/>
      <c r="B1156" s="74" t="n"/>
      <c r="C1156" s="74" t="n"/>
      <c r="D1156" s="74" t="n"/>
      <c r="E1156" s="74" t="n"/>
      <c r="F1156" s="74" t="n"/>
      <c r="G1156" s="74" t="inlineStr">
        <is>
          <t>kg</t>
        </is>
      </c>
      <c r="H1156" s="76" t="n"/>
      <c r="I1156" s="73" t="n"/>
      <c r="J1156" s="73" t="n"/>
      <c r="K1156" s="74" t="n"/>
      <c r="L1156" s="74" t="n"/>
      <c r="M1156" s="64" t="e">
        <v>#N/A</v>
      </c>
    </row>
    <row r="1157" ht="29.1" customHeight="1">
      <c r="A1157" s="74" t="n"/>
      <c r="B1157" s="74" t="n"/>
      <c r="C1157" s="74" t="n"/>
      <c r="D1157" s="74" t="n"/>
      <c r="E1157" s="74" t="n"/>
      <c r="F1157" s="74" t="n"/>
      <c r="G1157" s="74" t="inlineStr">
        <is>
          <t>kg</t>
        </is>
      </c>
      <c r="H1157" s="76" t="n"/>
      <c r="I1157" s="73" t="n"/>
      <c r="J1157" s="73" t="n"/>
      <c r="K1157" s="74" t="n"/>
      <c r="L1157" s="74" t="n"/>
      <c r="M1157" s="64" t="e">
        <v>#N/A</v>
      </c>
    </row>
    <row r="1158" ht="29.1" customHeight="1">
      <c r="A1158" s="74" t="n"/>
      <c r="B1158" s="74" t="n"/>
      <c r="C1158" s="74" t="n"/>
      <c r="D1158" s="74" t="n"/>
      <c r="E1158" s="74" t="n"/>
      <c r="F1158" s="74" t="n"/>
      <c r="G1158" s="74" t="inlineStr">
        <is>
          <t>kg</t>
        </is>
      </c>
      <c r="H1158" s="76" t="n"/>
      <c r="I1158" s="73" t="n"/>
      <c r="J1158" s="73" t="n"/>
      <c r="K1158" s="74" t="n"/>
      <c r="L1158" s="74" t="n"/>
      <c r="M1158" s="64" t="e">
        <v>#N/A</v>
      </c>
    </row>
    <row r="1159" ht="29.1" customHeight="1">
      <c r="A1159" s="74" t="n"/>
      <c r="B1159" s="74" t="n"/>
      <c r="C1159" s="74" t="n"/>
      <c r="D1159" s="74" t="n"/>
      <c r="E1159" s="74" t="n"/>
      <c r="F1159" s="74" t="n"/>
      <c r="G1159" s="74" t="inlineStr">
        <is>
          <t>kg</t>
        </is>
      </c>
      <c r="H1159" s="76" t="n"/>
      <c r="I1159" s="73" t="n"/>
      <c r="J1159" s="73" t="n"/>
      <c r="K1159" s="74" t="n"/>
      <c r="L1159" s="74" t="n"/>
      <c r="M1159" s="64" t="e">
        <v>#N/A</v>
      </c>
    </row>
    <row r="1160" ht="29.1" customHeight="1">
      <c r="A1160" s="74" t="n"/>
      <c r="B1160" s="74" t="n"/>
      <c r="C1160" s="74" t="n"/>
      <c r="D1160" s="74" t="n"/>
      <c r="E1160" s="74" t="n"/>
      <c r="F1160" s="74" t="n"/>
      <c r="G1160" s="74" t="inlineStr">
        <is>
          <t>kg</t>
        </is>
      </c>
      <c r="H1160" s="76" t="n"/>
      <c r="I1160" s="73" t="n"/>
      <c r="J1160" s="73" t="n"/>
      <c r="K1160" s="74" t="n"/>
      <c r="L1160" s="74" t="n"/>
      <c r="M1160" s="64" t="e">
        <v>#N/A</v>
      </c>
    </row>
    <row r="1161" ht="29.1" customHeight="1">
      <c r="A1161" s="74" t="n"/>
      <c r="B1161" s="74" t="n"/>
      <c r="C1161" s="74" t="n"/>
      <c r="D1161" s="74" t="n"/>
      <c r="E1161" s="74" t="n"/>
      <c r="F1161" s="74" t="n"/>
      <c r="G1161" s="74" t="inlineStr">
        <is>
          <t>kg</t>
        </is>
      </c>
      <c r="H1161" s="76" t="n"/>
      <c r="I1161" s="73" t="n"/>
      <c r="J1161" s="73" t="n"/>
      <c r="K1161" s="74" t="n"/>
      <c r="L1161" s="74" t="n"/>
      <c r="M1161" s="64" t="e">
        <v>#N/A</v>
      </c>
    </row>
    <row r="1162" ht="29.1" customHeight="1">
      <c r="A1162" s="74" t="n"/>
      <c r="B1162" s="74" t="n"/>
      <c r="C1162" s="74" t="n"/>
      <c r="D1162" s="74" t="n"/>
      <c r="E1162" s="74" t="n"/>
      <c r="F1162" s="74" t="n"/>
      <c r="G1162" s="74" t="inlineStr">
        <is>
          <t>kg</t>
        </is>
      </c>
      <c r="H1162" s="76" t="n"/>
      <c r="I1162" s="73" t="n"/>
      <c r="J1162" s="73" t="n"/>
      <c r="K1162" s="74" t="n"/>
      <c r="L1162" s="74" t="n"/>
      <c r="M1162" s="64" t="e">
        <v>#N/A</v>
      </c>
    </row>
    <row r="1163" ht="29.1" customHeight="1">
      <c r="A1163" s="74" t="n"/>
      <c r="B1163" s="74" t="n"/>
      <c r="C1163" s="74" t="n"/>
      <c r="D1163" s="74" t="n"/>
      <c r="E1163" s="74" t="n"/>
      <c r="F1163" s="74" t="n"/>
      <c r="G1163" s="74" t="inlineStr">
        <is>
          <t>kg</t>
        </is>
      </c>
      <c r="H1163" s="76" t="n"/>
      <c r="I1163" s="73" t="n"/>
      <c r="J1163" s="73" t="n"/>
      <c r="K1163" s="74" t="n"/>
      <c r="L1163" s="74" t="n"/>
      <c r="M1163" s="64" t="e">
        <v>#N/A</v>
      </c>
    </row>
    <row r="1164" ht="29.1" customHeight="1">
      <c r="A1164" s="74" t="n"/>
      <c r="B1164" s="74" t="n"/>
      <c r="C1164" s="74" t="n"/>
      <c r="D1164" s="74" t="n"/>
      <c r="E1164" s="74" t="n"/>
      <c r="F1164" s="74" t="n"/>
      <c r="G1164" s="74" t="inlineStr">
        <is>
          <t>kg</t>
        </is>
      </c>
      <c r="H1164" s="76" t="n"/>
      <c r="I1164" s="73" t="n"/>
      <c r="J1164" s="73" t="n"/>
      <c r="K1164" s="74" t="n"/>
      <c r="L1164" s="74" t="n"/>
      <c r="M1164" s="64" t="e">
        <v>#N/A</v>
      </c>
    </row>
    <row r="1165" ht="29.1" customHeight="1">
      <c r="A1165" s="74" t="n"/>
      <c r="B1165" s="74" t="n"/>
      <c r="C1165" s="74" t="n"/>
      <c r="D1165" s="74" t="n"/>
      <c r="E1165" s="74" t="n"/>
      <c r="F1165" s="74" t="n"/>
      <c r="G1165" s="74" t="inlineStr">
        <is>
          <t>kg</t>
        </is>
      </c>
      <c r="H1165" s="76" t="n"/>
      <c r="I1165" s="73" t="n"/>
      <c r="J1165" s="73" t="n"/>
      <c r="K1165" s="74" t="n"/>
      <c r="L1165" s="74" t="n"/>
      <c r="M1165" s="64" t="e">
        <v>#N/A</v>
      </c>
    </row>
    <row r="1166" ht="29.1" customHeight="1">
      <c r="A1166" s="74" t="n"/>
      <c r="B1166" s="74" t="n"/>
      <c r="C1166" s="74" t="n"/>
      <c r="D1166" s="74" t="n"/>
      <c r="E1166" s="74" t="n"/>
      <c r="F1166" s="74" t="n"/>
      <c r="G1166" s="74" t="inlineStr">
        <is>
          <t>kg</t>
        </is>
      </c>
      <c r="H1166" s="76" t="n"/>
      <c r="I1166" s="73" t="n"/>
      <c r="J1166" s="73" t="n"/>
      <c r="K1166" s="74" t="n"/>
      <c r="L1166" s="74" t="n"/>
      <c r="M1166" s="64" t="e">
        <v>#N/A</v>
      </c>
    </row>
    <row r="1167" ht="29.1" customHeight="1">
      <c r="A1167" s="74" t="n"/>
      <c r="B1167" s="74" t="n"/>
      <c r="C1167" s="74" t="n"/>
      <c r="D1167" s="74" t="n"/>
      <c r="E1167" s="74" t="n"/>
      <c r="F1167" s="74" t="n"/>
      <c r="G1167" s="74" t="inlineStr">
        <is>
          <t>kg</t>
        </is>
      </c>
      <c r="H1167" s="76" t="n"/>
      <c r="I1167" s="73" t="n"/>
      <c r="J1167" s="73" t="n"/>
      <c r="K1167" s="74" t="n"/>
      <c r="L1167" s="74" t="n"/>
      <c r="M1167" s="64" t="e">
        <v>#N/A</v>
      </c>
    </row>
    <row r="1168" ht="29.1" customHeight="1">
      <c r="A1168" s="74" t="n"/>
      <c r="B1168" s="74" t="n"/>
      <c r="C1168" s="74" t="n"/>
      <c r="D1168" s="74" t="n"/>
      <c r="E1168" s="74" t="n"/>
      <c r="F1168" s="74" t="n"/>
      <c r="G1168" s="74" t="inlineStr">
        <is>
          <t>kg</t>
        </is>
      </c>
      <c r="H1168" s="76" t="n"/>
      <c r="I1168" s="73" t="n"/>
      <c r="J1168" s="73" t="n"/>
      <c r="K1168" s="74" t="n"/>
      <c r="L1168" s="74" t="n"/>
      <c r="M1168" s="64" t="e">
        <v>#N/A</v>
      </c>
    </row>
    <row r="1169" ht="29.1" customHeight="1">
      <c r="A1169" s="74" t="n"/>
      <c r="B1169" s="74" t="n"/>
      <c r="C1169" s="74" t="n"/>
      <c r="D1169" s="74" t="n"/>
      <c r="E1169" s="74" t="n"/>
      <c r="F1169" s="74" t="n"/>
      <c r="G1169" s="74" t="inlineStr">
        <is>
          <t>kg</t>
        </is>
      </c>
      <c r="H1169" s="76" t="n"/>
      <c r="I1169" s="73" t="n"/>
      <c r="J1169" s="73" t="n"/>
      <c r="K1169" s="74" t="n"/>
      <c r="L1169" s="74" t="n"/>
      <c r="M1169" s="64" t="e">
        <v>#N/A</v>
      </c>
    </row>
    <row r="1170" ht="29.1" customHeight="1">
      <c r="A1170" s="74" t="n"/>
      <c r="B1170" s="74" t="n"/>
      <c r="C1170" s="74" t="n"/>
      <c r="D1170" s="74" t="n"/>
      <c r="E1170" s="74" t="n"/>
      <c r="F1170" s="74" t="n"/>
      <c r="G1170" s="74" t="inlineStr">
        <is>
          <t>kg</t>
        </is>
      </c>
      <c r="H1170" s="76" t="n"/>
      <c r="I1170" s="73" t="n"/>
      <c r="J1170" s="73" t="n"/>
      <c r="K1170" s="74" t="n"/>
      <c r="L1170" s="74" t="n"/>
      <c r="M1170" s="64" t="e">
        <v>#N/A</v>
      </c>
    </row>
    <row r="1171" ht="29.1" customHeight="1">
      <c r="A1171" s="74" t="n"/>
      <c r="B1171" s="74" t="n"/>
      <c r="C1171" s="74" t="n"/>
      <c r="D1171" s="74" t="n"/>
      <c r="E1171" s="74" t="n"/>
      <c r="F1171" s="74" t="n"/>
      <c r="G1171" s="74" t="inlineStr">
        <is>
          <t>kg</t>
        </is>
      </c>
      <c r="H1171" s="76" t="n"/>
      <c r="I1171" s="73" t="n"/>
      <c r="J1171" s="73" t="n"/>
      <c r="K1171" s="74" t="n"/>
      <c r="L1171" s="74" t="n"/>
      <c r="M1171" s="64" t="e">
        <v>#N/A</v>
      </c>
    </row>
    <row r="1172" ht="29.1" customHeight="1">
      <c r="A1172" s="74" t="n"/>
      <c r="B1172" s="74" t="n"/>
      <c r="C1172" s="74" t="n"/>
      <c r="D1172" s="74" t="n"/>
      <c r="E1172" s="74" t="n"/>
      <c r="F1172" s="74" t="n"/>
      <c r="G1172" s="74" t="inlineStr">
        <is>
          <t>kg</t>
        </is>
      </c>
      <c r="H1172" s="76" t="n"/>
      <c r="I1172" s="73" t="n"/>
      <c r="J1172" s="73" t="n"/>
      <c r="K1172" s="74" t="n"/>
      <c r="L1172" s="74" t="n"/>
      <c r="M1172" s="64" t="e">
        <v>#N/A</v>
      </c>
    </row>
    <row r="1173" ht="29.1" customHeight="1">
      <c r="A1173" s="74" t="n"/>
      <c r="B1173" s="74" t="n"/>
      <c r="C1173" s="74" t="n"/>
      <c r="D1173" s="74" t="n"/>
      <c r="E1173" s="74" t="n"/>
      <c r="F1173" s="74" t="n"/>
      <c r="G1173" s="74" t="inlineStr">
        <is>
          <t>kg</t>
        </is>
      </c>
      <c r="H1173" s="76" t="n"/>
      <c r="I1173" s="73" t="n"/>
      <c r="J1173" s="73" t="n"/>
      <c r="K1173" s="74" t="n"/>
      <c r="L1173" s="74" t="n"/>
      <c r="M1173" s="64" t="e">
        <v>#N/A</v>
      </c>
    </row>
    <row r="1174" ht="29.1" customHeight="1">
      <c r="A1174" s="74" t="n"/>
      <c r="B1174" s="74" t="n"/>
      <c r="C1174" s="74" t="n"/>
      <c r="D1174" s="74" t="n"/>
      <c r="E1174" s="74" t="n"/>
      <c r="F1174" s="74" t="n"/>
      <c r="G1174" s="74" t="inlineStr">
        <is>
          <t>kg</t>
        </is>
      </c>
      <c r="H1174" s="76" t="n"/>
      <c r="I1174" s="73" t="n"/>
      <c r="J1174" s="73" t="n"/>
      <c r="K1174" s="74" t="n"/>
      <c r="L1174" s="74" t="n"/>
      <c r="M1174" s="64" t="e">
        <v>#N/A</v>
      </c>
    </row>
    <row r="1175" ht="29.1" customHeight="1">
      <c r="A1175" s="74" t="n"/>
      <c r="B1175" s="74" t="n"/>
      <c r="C1175" s="74" t="n"/>
      <c r="D1175" s="74" t="n"/>
      <c r="E1175" s="74" t="n"/>
      <c r="F1175" s="74" t="n"/>
      <c r="G1175" s="74" t="inlineStr">
        <is>
          <t>kg</t>
        </is>
      </c>
      <c r="H1175" s="76" t="n"/>
      <c r="I1175" s="73" t="n"/>
      <c r="J1175" s="73" t="n"/>
      <c r="K1175" s="74" t="n"/>
      <c r="L1175" s="74" t="n"/>
      <c r="M1175" s="64" t="e">
        <v>#N/A</v>
      </c>
    </row>
    <row r="1176" ht="29.1" customHeight="1">
      <c r="A1176" s="74" t="n"/>
      <c r="B1176" s="74" t="n"/>
      <c r="C1176" s="74" t="n"/>
      <c r="D1176" s="74" t="n"/>
      <c r="E1176" s="74" t="n"/>
      <c r="F1176" s="74" t="n"/>
      <c r="G1176" s="74" t="inlineStr">
        <is>
          <t>kg</t>
        </is>
      </c>
      <c r="H1176" s="76" t="n"/>
      <c r="I1176" s="73" t="n"/>
      <c r="J1176" s="73" t="n"/>
      <c r="K1176" s="74" t="n"/>
      <c r="L1176" s="74" t="n"/>
      <c r="M1176" s="64" t="e">
        <v>#N/A</v>
      </c>
    </row>
    <row r="1177" ht="29.1" customHeight="1">
      <c r="A1177" s="74" t="n"/>
      <c r="B1177" s="74" t="n"/>
      <c r="C1177" s="74" t="n"/>
      <c r="D1177" s="74" t="n"/>
      <c r="E1177" s="74" t="n"/>
      <c r="F1177" s="74" t="n"/>
      <c r="G1177" s="74" t="inlineStr">
        <is>
          <t>kg</t>
        </is>
      </c>
      <c r="H1177" s="76" t="n"/>
      <c r="I1177" s="73" t="n"/>
      <c r="J1177" s="73" t="n"/>
      <c r="K1177" s="74" t="n"/>
      <c r="L1177" s="74" t="n"/>
      <c r="M1177" s="64" t="e">
        <v>#N/A</v>
      </c>
    </row>
    <row r="1178" ht="29.1" customHeight="1">
      <c r="A1178" s="74" t="n"/>
      <c r="B1178" s="74" t="n"/>
      <c r="C1178" s="74" t="n"/>
      <c r="D1178" s="74" t="n"/>
      <c r="E1178" s="74" t="n"/>
      <c r="F1178" s="74" t="n"/>
      <c r="G1178" s="74" t="inlineStr">
        <is>
          <t>kg</t>
        </is>
      </c>
      <c r="H1178" s="76" t="n"/>
      <c r="I1178" s="73" t="n"/>
      <c r="J1178" s="73" t="n"/>
      <c r="K1178" s="74" t="n"/>
      <c r="L1178" s="74" t="n"/>
      <c r="M1178" s="64" t="e">
        <v>#N/A</v>
      </c>
    </row>
    <row r="1179" ht="29.1" customHeight="1">
      <c r="A1179" s="74" t="n"/>
      <c r="B1179" s="74" t="n"/>
      <c r="C1179" s="74" t="n"/>
      <c r="D1179" s="74" t="n"/>
      <c r="E1179" s="74" t="n"/>
      <c r="F1179" s="74" t="n"/>
      <c r="G1179" s="74" t="inlineStr">
        <is>
          <t>kg</t>
        </is>
      </c>
      <c r="H1179" s="76" t="n"/>
      <c r="I1179" s="73" t="n"/>
      <c r="J1179" s="73" t="n"/>
      <c r="K1179" s="74" t="n"/>
      <c r="L1179" s="74" t="n"/>
      <c r="M1179" s="64" t="e">
        <v>#N/A</v>
      </c>
    </row>
    <row r="1180" ht="29.1" customHeight="1">
      <c r="A1180" s="74" t="n"/>
      <c r="B1180" s="74" t="n"/>
      <c r="C1180" s="74" t="n"/>
      <c r="D1180" s="74" t="n"/>
      <c r="E1180" s="74" t="n"/>
      <c r="F1180" s="74" t="n"/>
      <c r="G1180" s="74" t="inlineStr">
        <is>
          <t>kg</t>
        </is>
      </c>
      <c r="H1180" s="76" t="n"/>
      <c r="I1180" s="73" t="n"/>
      <c r="J1180" s="73" t="n"/>
      <c r="K1180" s="74" t="n"/>
      <c r="L1180" s="74" t="n"/>
      <c r="M1180" s="64" t="e">
        <v>#N/A</v>
      </c>
    </row>
    <row r="1181" ht="29.1" customHeight="1">
      <c r="A1181" s="74" t="n"/>
      <c r="B1181" s="74" t="n"/>
      <c r="C1181" s="74" t="n"/>
      <c r="D1181" s="74" t="n"/>
      <c r="E1181" s="74" t="n"/>
      <c r="F1181" s="74" t="n"/>
      <c r="G1181" s="74" t="inlineStr">
        <is>
          <t>kg</t>
        </is>
      </c>
      <c r="H1181" s="76" t="n"/>
      <c r="I1181" s="73" t="n"/>
      <c r="J1181" s="73" t="n"/>
      <c r="K1181" s="74" t="n"/>
      <c r="L1181" s="74" t="n"/>
      <c r="M1181" s="64" t="e">
        <v>#N/A</v>
      </c>
    </row>
    <row r="1182" ht="29.1" customHeight="1">
      <c r="A1182" s="74" t="n"/>
      <c r="B1182" s="74" t="n"/>
      <c r="C1182" s="74" t="n"/>
      <c r="D1182" s="74" t="n"/>
      <c r="E1182" s="74" t="n"/>
      <c r="F1182" s="74" t="n"/>
      <c r="G1182" s="74" t="inlineStr">
        <is>
          <t>kg</t>
        </is>
      </c>
      <c r="H1182" s="76" t="n"/>
      <c r="I1182" s="73" t="n"/>
      <c r="J1182" s="73" t="n"/>
      <c r="K1182" s="74" t="n"/>
      <c r="L1182" s="74" t="n"/>
      <c r="M1182" s="64" t="e">
        <v>#N/A</v>
      </c>
    </row>
    <row r="1183" ht="29.1" customHeight="1">
      <c r="A1183" s="74" t="n"/>
      <c r="B1183" s="74" t="n"/>
      <c r="C1183" s="74" t="n"/>
      <c r="D1183" s="74" t="n"/>
      <c r="E1183" s="74" t="n"/>
      <c r="F1183" s="74" t="n"/>
      <c r="G1183" s="74" t="inlineStr">
        <is>
          <t>kg</t>
        </is>
      </c>
      <c r="H1183" s="76" t="n"/>
      <c r="I1183" s="73" t="n"/>
      <c r="J1183" s="73" t="n"/>
      <c r="K1183" s="74" t="n"/>
      <c r="L1183" s="74" t="n"/>
      <c r="M1183" s="64" t="e">
        <v>#N/A</v>
      </c>
    </row>
    <row r="1184" ht="29.1" customHeight="1">
      <c r="A1184" s="74" t="n"/>
      <c r="B1184" s="74" t="n"/>
      <c r="C1184" s="74" t="n"/>
      <c r="D1184" s="74" t="n"/>
      <c r="E1184" s="74" t="n"/>
      <c r="F1184" s="74" t="n"/>
      <c r="G1184" s="74" t="inlineStr">
        <is>
          <t>kg</t>
        </is>
      </c>
      <c r="H1184" s="76" t="n"/>
      <c r="I1184" s="73" t="n"/>
      <c r="J1184" s="73" t="n"/>
      <c r="K1184" s="74" t="n"/>
      <c r="L1184" s="74" t="n"/>
      <c r="M1184" s="64" t="e">
        <v>#N/A</v>
      </c>
    </row>
    <row r="1185" ht="29.1" customHeight="1">
      <c r="A1185" s="74" t="n"/>
      <c r="B1185" s="74" t="n"/>
      <c r="C1185" s="74" t="n"/>
      <c r="D1185" s="74" t="n"/>
      <c r="E1185" s="74" t="n"/>
      <c r="F1185" s="74" t="n"/>
      <c r="G1185" s="74" t="inlineStr">
        <is>
          <t>kg</t>
        </is>
      </c>
      <c r="H1185" s="76" t="n"/>
      <c r="I1185" s="73" t="n"/>
      <c r="J1185" s="73" t="n"/>
      <c r="K1185" s="74" t="n"/>
      <c r="L1185" s="74" t="n"/>
      <c r="M1185" s="64" t="e">
        <v>#N/A</v>
      </c>
    </row>
    <row r="1186" ht="29.1" customHeight="1">
      <c r="A1186" s="74" t="n"/>
      <c r="B1186" s="74" t="n"/>
      <c r="C1186" s="74" t="n"/>
      <c r="D1186" s="74" t="n"/>
      <c r="E1186" s="74" t="n"/>
      <c r="F1186" s="74" t="n"/>
      <c r="G1186" s="74" t="inlineStr">
        <is>
          <t>kg</t>
        </is>
      </c>
      <c r="H1186" s="76" t="n"/>
      <c r="I1186" s="73" t="n"/>
      <c r="J1186" s="73" t="n"/>
      <c r="K1186" s="74" t="n"/>
      <c r="L1186" s="74" t="n"/>
      <c r="M1186" s="64" t="e">
        <v>#N/A</v>
      </c>
    </row>
    <row r="1187" ht="29.1" customHeight="1">
      <c r="A1187" s="74" t="n"/>
      <c r="B1187" s="74" t="n"/>
      <c r="C1187" s="74" t="n"/>
      <c r="D1187" s="74" t="n"/>
      <c r="E1187" s="74" t="n"/>
      <c r="F1187" s="74" t="n"/>
      <c r="G1187" s="74" t="inlineStr">
        <is>
          <t>kg</t>
        </is>
      </c>
      <c r="H1187" s="76" t="n"/>
      <c r="I1187" s="73" t="n"/>
      <c r="J1187" s="73" t="n"/>
      <c r="K1187" s="74" t="n"/>
      <c r="L1187" s="74" t="n"/>
      <c r="M1187" s="64" t="e">
        <v>#N/A</v>
      </c>
    </row>
    <row r="1188" ht="29.1" customHeight="1">
      <c r="A1188" s="74" t="n"/>
      <c r="B1188" s="74" t="n"/>
      <c r="C1188" s="74" t="n"/>
      <c r="D1188" s="74" t="n"/>
      <c r="E1188" s="74" t="n"/>
      <c r="F1188" s="74" t="n"/>
      <c r="G1188" s="74" t="inlineStr">
        <is>
          <t>kg</t>
        </is>
      </c>
      <c r="H1188" s="76" t="n"/>
      <c r="I1188" s="73" t="n"/>
      <c r="J1188" s="73" t="n"/>
      <c r="K1188" s="74" t="n"/>
      <c r="L1188" s="74" t="n"/>
      <c r="M1188" s="64" t="e">
        <v>#N/A</v>
      </c>
    </row>
    <row r="1189" ht="29.1" customHeight="1">
      <c r="A1189" s="74" t="n"/>
      <c r="B1189" s="74" t="n"/>
      <c r="C1189" s="74" t="n"/>
      <c r="D1189" s="74" t="n"/>
      <c r="E1189" s="74" t="n"/>
      <c r="F1189" s="74" t="n"/>
      <c r="G1189" s="74" t="inlineStr">
        <is>
          <t>kg</t>
        </is>
      </c>
      <c r="H1189" s="76" t="n"/>
      <c r="I1189" s="73" t="n"/>
      <c r="J1189" s="73" t="n"/>
      <c r="K1189" s="74" t="n"/>
      <c r="L1189" s="74" t="n"/>
      <c r="M1189" s="64" t="e">
        <v>#N/A</v>
      </c>
    </row>
    <row r="1190" ht="29.1" customHeight="1">
      <c r="A1190" s="74" t="n"/>
      <c r="B1190" s="74" t="n"/>
      <c r="C1190" s="74" t="n"/>
      <c r="D1190" s="74" t="n"/>
      <c r="E1190" s="74" t="n"/>
      <c r="F1190" s="74" t="n"/>
      <c r="G1190" s="74" t="inlineStr">
        <is>
          <t>kg</t>
        </is>
      </c>
      <c r="H1190" s="76" t="n"/>
      <c r="I1190" s="73" t="n"/>
      <c r="J1190" s="73" t="n"/>
      <c r="K1190" s="74" t="n"/>
      <c r="L1190" s="74" t="n"/>
      <c r="M1190" s="64" t="e">
        <v>#N/A</v>
      </c>
    </row>
    <row r="1191" ht="29.1" customHeight="1">
      <c r="A1191" s="74" t="n"/>
      <c r="B1191" s="74" t="n"/>
      <c r="C1191" s="74" t="n"/>
      <c r="D1191" s="74" t="n"/>
      <c r="E1191" s="74" t="n"/>
      <c r="F1191" s="74" t="n"/>
      <c r="G1191" s="74" t="inlineStr">
        <is>
          <t>kg</t>
        </is>
      </c>
      <c r="H1191" s="76" t="n"/>
      <c r="I1191" s="73" t="n"/>
      <c r="J1191" s="73" t="n"/>
      <c r="K1191" s="74" t="n"/>
      <c r="L1191" s="74" t="n"/>
      <c r="M1191" s="64" t="e">
        <v>#N/A</v>
      </c>
    </row>
    <row r="1192" ht="29.1" customHeight="1">
      <c r="A1192" s="74" t="n"/>
      <c r="B1192" s="74" t="n"/>
      <c r="C1192" s="74" t="n"/>
      <c r="D1192" s="74" t="n"/>
      <c r="E1192" s="74" t="n"/>
      <c r="F1192" s="74" t="n"/>
      <c r="G1192" s="74" t="inlineStr">
        <is>
          <t>kg</t>
        </is>
      </c>
      <c r="H1192" s="76" t="n"/>
      <c r="I1192" s="73" t="n"/>
      <c r="J1192" s="73" t="n"/>
      <c r="K1192" s="74" t="n"/>
      <c r="L1192" s="74" t="n"/>
      <c r="M1192" s="64" t="e">
        <v>#N/A</v>
      </c>
    </row>
    <row r="1193" ht="29.1" customHeight="1">
      <c r="A1193" s="74" t="n"/>
      <c r="B1193" s="74" t="n"/>
      <c r="C1193" s="74" t="n"/>
      <c r="D1193" s="74" t="n"/>
      <c r="E1193" s="74" t="n"/>
      <c r="F1193" s="74" t="n"/>
      <c r="G1193" s="74" t="inlineStr">
        <is>
          <t>kg</t>
        </is>
      </c>
      <c r="H1193" s="76" t="n"/>
      <c r="I1193" s="73" t="n"/>
      <c r="J1193" s="73" t="n"/>
      <c r="K1193" s="74" t="n"/>
      <c r="L1193" s="74" t="n"/>
      <c r="M1193" s="64" t="e">
        <v>#N/A</v>
      </c>
    </row>
    <row r="1194" ht="29.1" customHeight="1">
      <c r="A1194" s="74" t="n"/>
      <c r="B1194" s="74" t="n"/>
      <c r="C1194" s="74" t="n"/>
      <c r="D1194" s="74" t="n"/>
      <c r="E1194" s="74" t="n"/>
      <c r="F1194" s="74" t="n"/>
      <c r="G1194" s="74" t="inlineStr">
        <is>
          <t>kg</t>
        </is>
      </c>
      <c r="H1194" s="76" t="n"/>
      <c r="I1194" s="73" t="n"/>
      <c r="J1194" s="73" t="n"/>
      <c r="K1194" s="74" t="n"/>
      <c r="L1194" s="74" t="n"/>
      <c r="M1194" s="64" t="e">
        <v>#N/A</v>
      </c>
    </row>
    <row r="1195" ht="29.1" customHeight="1">
      <c r="A1195" s="74" t="n"/>
      <c r="B1195" s="74" t="n"/>
      <c r="C1195" s="74" t="n"/>
      <c r="D1195" s="74" t="n"/>
      <c r="E1195" s="74" t="n"/>
      <c r="F1195" s="74" t="n"/>
      <c r="G1195" s="74" t="inlineStr">
        <is>
          <t>kg</t>
        </is>
      </c>
      <c r="H1195" s="76" t="n"/>
      <c r="I1195" s="73" t="n"/>
      <c r="J1195" s="73" t="n"/>
      <c r="K1195" s="74" t="n"/>
      <c r="L1195" s="74" t="n"/>
      <c r="M1195" s="64" t="e">
        <v>#N/A</v>
      </c>
    </row>
    <row r="1196" ht="29.1" customHeight="1">
      <c r="A1196" s="74" t="n"/>
      <c r="B1196" s="74" t="n"/>
      <c r="C1196" s="74" t="n"/>
      <c r="D1196" s="74" t="n"/>
      <c r="E1196" s="74" t="n"/>
      <c r="F1196" s="74" t="n"/>
      <c r="G1196" s="74" t="inlineStr">
        <is>
          <t>kg</t>
        </is>
      </c>
      <c r="H1196" s="76" t="n"/>
      <c r="I1196" s="73" t="n"/>
      <c r="J1196" s="73" t="n"/>
      <c r="K1196" s="74" t="n"/>
      <c r="L1196" s="74" t="n"/>
      <c r="M1196" s="64" t="e">
        <v>#N/A</v>
      </c>
    </row>
    <row r="1197" ht="29.1" customHeight="1">
      <c r="A1197" s="74" t="n"/>
      <c r="B1197" s="74" t="n"/>
      <c r="C1197" s="74" t="n"/>
      <c r="D1197" s="74" t="n"/>
      <c r="E1197" s="74" t="n"/>
      <c r="F1197" s="74" t="n"/>
      <c r="G1197" s="74" t="inlineStr">
        <is>
          <t>kg</t>
        </is>
      </c>
      <c r="H1197" s="76" t="n"/>
      <c r="I1197" s="73" t="n"/>
      <c r="J1197" s="73" t="n"/>
      <c r="K1197" s="74" t="n"/>
      <c r="L1197" s="74" t="n"/>
      <c r="M1197" s="64" t="e">
        <v>#N/A</v>
      </c>
    </row>
    <row r="1198" ht="29.1" customHeight="1">
      <c r="A1198" s="74" t="n"/>
      <c r="B1198" s="74" t="n"/>
      <c r="C1198" s="74" t="n"/>
      <c r="D1198" s="74" t="n"/>
      <c r="E1198" s="74" t="n"/>
      <c r="F1198" s="74" t="n"/>
      <c r="G1198" s="74" t="inlineStr">
        <is>
          <t>kg</t>
        </is>
      </c>
      <c r="H1198" s="76" t="n"/>
      <c r="I1198" s="73" t="n"/>
      <c r="J1198" s="73" t="n"/>
      <c r="K1198" s="74" t="n"/>
      <c r="L1198" s="74" t="n"/>
      <c r="M1198" s="64" t="e">
        <v>#N/A</v>
      </c>
    </row>
    <row r="1199" ht="29.1" customHeight="1">
      <c r="A1199" s="74" t="n"/>
      <c r="B1199" s="74" t="n"/>
      <c r="C1199" s="74" t="n"/>
      <c r="D1199" s="74" t="n"/>
      <c r="E1199" s="74" t="n"/>
      <c r="F1199" s="74" t="n"/>
      <c r="G1199" s="74" t="inlineStr">
        <is>
          <t>kg</t>
        </is>
      </c>
      <c r="H1199" s="76" t="n"/>
      <c r="I1199" s="73" t="n"/>
      <c r="J1199" s="73" t="n"/>
      <c r="K1199" s="74" t="n"/>
      <c r="L1199" s="74" t="n"/>
      <c r="M1199" s="64" t="e">
        <v>#N/A</v>
      </c>
    </row>
    <row r="1200" ht="29.1" customHeight="1">
      <c r="A1200" s="74" t="n"/>
      <c r="B1200" s="74" t="n"/>
      <c r="C1200" s="74" t="n"/>
      <c r="D1200" s="74" t="n"/>
      <c r="E1200" s="74" t="n"/>
      <c r="F1200" s="74" t="n"/>
      <c r="G1200" s="74" t="inlineStr">
        <is>
          <t>kg</t>
        </is>
      </c>
      <c r="H1200" s="76" t="n"/>
      <c r="I1200" s="73" t="n"/>
      <c r="J1200" s="73" t="n"/>
      <c r="K1200" s="74" t="n"/>
      <c r="L1200" s="74" t="n"/>
      <c r="M1200" s="64" t="e">
        <v>#N/A</v>
      </c>
    </row>
    <row r="1201" ht="29.1" customHeight="1">
      <c r="A1201" s="74" t="n"/>
      <c r="B1201" s="74" t="n"/>
      <c r="C1201" s="74" t="n"/>
      <c r="D1201" s="74" t="n"/>
      <c r="E1201" s="74" t="n"/>
      <c r="F1201" s="74" t="n"/>
      <c r="G1201" s="74" t="inlineStr">
        <is>
          <t>kg</t>
        </is>
      </c>
      <c r="H1201" s="76" t="n"/>
      <c r="I1201" s="73" t="n"/>
      <c r="J1201" s="73" t="n"/>
      <c r="K1201" s="74" t="n"/>
      <c r="L1201" s="74" t="n"/>
      <c r="M1201" s="64" t="e">
        <v>#N/A</v>
      </c>
    </row>
    <row r="1202" ht="29.1" customHeight="1">
      <c r="A1202" s="74" t="n"/>
      <c r="B1202" s="74" t="n"/>
      <c r="C1202" s="74" t="n"/>
      <c r="D1202" s="74" t="n"/>
      <c r="E1202" s="74" t="n"/>
      <c r="F1202" s="74" t="n"/>
      <c r="G1202" s="74" t="inlineStr">
        <is>
          <t>kg</t>
        </is>
      </c>
      <c r="H1202" s="76" t="n"/>
      <c r="I1202" s="73" t="n"/>
      <c r="J1202" s="73" t="n"/>
      <c r="K1202" s="74" t="n"/>
      <c r="L1202" s="74" t="n"/>
      <c r="M1202" s="64" t="e">
        <v>#N/A</v>
      </c>
    </row>
    <row r="1203" ht="29.1" customHeight="1">
      <c r="A1203" s="74" t="n"/>
      <c r="B1203" s="74" t="n"/>
      <c r="C1203" s="74" t="n"/>
      <c r="D1203" s="74" t="n"/>
      <c r="E1203" s="74" t="n"/>
      <c r="F1203" s="74" t="n"/>
      <c r="G1203" s="74" t="inlineStr">
        <is>
          <t>kg</t>
        </is>
      </c>
      <c r="H1203" s="76" t="n"/>
      <c r="I1203" s="73" t="n"/>
      <c r="J1203" s="73" t="n"/>
      <c r="K1203" s="74" t="n"/>
      <c r="L1203" s="74" t="n"/>
      <c r="M1203" s="64" t="e">
        <v>#N/A</v>
      </c>
    </row>
    <row r="1204" ht="29.1" customHeight="1">
      <c r="A1204" s="74" t="n"/>
      <c r="B1204" s="74" t="n"/>
      <c r="C1204" s="74" t="n"/>
      <c r="D1204" s="74" t="n"/>
      <c r="E1204" s="74" t="n"/>
      <c r="F1204" s="74" t="n"/>
      <c r="G1204" s="74" t="inlineStr">
        <is>
          <t>kg</t>
        </is>
      </c>
      <c r="H1204" s="76" t="n"/>
      <c r="I1204" s="73" t="n"/>
      <c r="J1204" s="73" t="n"/>
      <c r="K1204" s="74" t="n"/>
      <c r="L1204" s="74" t="n"/>
      <c r="M1204" s="64" t="e">
        <v>#N/A</v>
      </c>
    </row>
    <row r="1205" ht="29.1" customHeight="1">
      <c r="A1205" s="74" t="n"/>
      <c r="B1205" s="74" t="n"/>
      <c r="C1205" s="74" t="n"/>
      <c r="D1205" s="74" t="n"/>
      <c r="E1205" s="74" t="n"/>
      <c r="F1205" s="74" t="n"/>
      <c r="G1205" s="74" t="inlineStr">
        <is>
          <t>kg</t>
        </is>
      </c>
      <c r="H1205" s="76" t="n"/>
      <c r="I1205" s="73" t="n"/>
      <c r="J1205" s="73" t="n"/>
      <c r="K1205" s="74" t="n"/>
      <c r="L1205" s="74" t="n"/>
      <c r="M1205" s="64" t="e">
        <v>#N/A</v>
      </c>
    </row>
    <row r="1206" ht="29.1" customHeight="1">
      <c r="A1206" s="74" t="n"/>
      <c r="B1206" s="74" t="n"/>
      <c r="C1206" s="74" t="n"/>
      <c r="D1206" s="74" t="n"/>
      <c r="E1206" s="74" t="n"/>
      <c r="F1206" s="74" t="n"/>
      <c r="G1206" s="74" t="inlineStr">
        <is>
          <t>kg</t>
        </is>
      </c>
      <c r="H1206" s="76" t="n"/>
      <c r="I1206" s="73" t="n"/>
      <c r="J1206" s="73" t="n"/>
      <c r="K1206" s="74" t="n"/>
      <c r="L1206" s="74" t="n"/>
      <c r="M1206" s="64" t="e">
        <v>#N/A</v>
      </c>
    </row>
    <row r="1207" ht="29.1" customHeight="1">
      <c r="A1207" s="74" t="n"/>
      <c r="B1207" s="74" t="n"/>
      <c r="C1207" s="74" t="n"/>
      <c r="D1207" s="74" t="n"/>
      <c r="E1207" s="74" t="n"/>
      <c r="F1207" s="74" t="n"/>
      <c r="G1207" s="74" t="inlineStr">
        <is>
          <t>kg</t>
        </is>
      </c>
      <c r="H1207" s="76" t="n"/>
      <c r="I1207" s="73" t="n"/>
      <c r="J1207" s="73" t="n"/>
      <c r="K1207" s="74" t="n"/>
      <c r="L1207" s="74" t="n"/>
      <c r="M1207" s="64" t="e">
        <v>#N/A</v>
      </c>
    </row>
    <row r="1208" ht="29.1" customHeight="1">
      <c r="A1208" s="74" t="n"/>
      <c r="B1208" s="74" t="n"/>
      <c r="C1208" s="74" t="n"/>
      <c r="D1208" s="74" t="n"/>
      <c r="E1208" s="74" t="n"/>
      <c r="F1208" s="74" t="n"/>
      <c r="G1208" s="74" t="inlineStr">
        <is>
          <t>kg</t>
        </is>
      </c>
      <c r="H1208" s="76" t="n"/>
      <c r="I1208" s="73" t="n"/>
      <c r="J1208" s="73" t="n"/>
      <c r="K1208" s="74" t="n"/>
      <c r="L1208" s="74" t="n"/>
      <c r="M1208" s="64" t="e">
        <v>#N/A</v>
      </c>
    </row>
    <row r="1209" ht="29.1" customHeight="1">
      <c r="A1209" s="74" t="n"/>
      <c r="B1209" s="74" t="n"/>
      <c r="C1209" s="74" t="n"/>
      <c r="D1209" s="74" t="n"/>
      <c r="E1209" s="74" t="n"/>
      <c r="F1209" s="74" t="n"/>
      <c r="G1209" s="74" t="inlineStr">
        <is>
          <t>kg</t>
        </is>
      </c>
      <c r="H1209" s="76" t="n"/>
      <c r="I1209" s="73" t="n"/>
      <c r="J1209" s="73" t="n"/>
      <c r="K1209" s="74" t="n"/>
      <c r="L1209" s="74" t="n"/>
      <c r="M1209" s="64" t="e">
        <v>#N/A</v>
      </c>
    </row>
    <row r="1210" ht="29.1" customHeight="1">
      <c r="A1210" s="74" t="n"/>
      <c r="B1210" s="74" t="n"/>
      <c r="C1210" s="74" t="n"/>
      <c r="D1210" s="74" t="n"/>
      <c r="E1210" s="74" t="n"/>
      <c r="F1210" s="74" t="n"/>
      <c r="G1210" s="74" t="inlineStr">
        <is>
          <t>kg</t>
        </is>
      </c>
      <c r="H1210" s="76" t="n"/>
      <c r="I1210" s="73" t="n"/>
      <c r="J1210" s="73" t="n"/>
      <c r="K1210" s="74" t="n"/>
      <c r="L1210" s="74" t="n"/>
      <c r="M1210" s="64" t="e">
        <v>#N/A</v>
      </c>
    </row>
    <row r="1211" ht="29.1" customHeight="1">
      <c r="A1211" s="74" t="n"/>
      <c r="B1211" s="74" t="n"/>
      <c r="C1211" s="74" t="n"/>
      <c r="D1211" s="74" t="n"/>
      <c r="E1211" s="74" t="n"/>
      <c r="F1211" s="74" t="n"/>
      <c r="G1211" s="74" t="inlineStr">
        <is>
          <t>kg</t>
        </is>
      </c>
      <c r="H1211" s="76" t="n"/>
      <c r="I1211" s="73" t="n"/>
      <c r="J1211" s="73" t="n"/>
      <c r="K1211" s="74" t="n"/>
      <c r="L1211" s="74" t="n"/>
      <c r="M1211" s="64" t="e">
        <v>#N/A</v>
      </c>
    </row>
    <row r="1212" ht="29.1" customHeight="1">
      <c r="A1212" s="74" t="n"/>
      <c r="B1212" s="74" t="n"/>
      <c r="C1212" s="74" t="n"/>
      <c r="D1212" s="74" t="n"/>
      <c r="E1212" s="74" t="n"/>
      <c r="F1212" s="74" t="n"/>
      <c r="G1212" s="74" t="inlineStr">
        <is>
          <t>kg</t>
        </is>
      </c>
      <c r="H1212" s="76" t="n"/>
      <c r="I1212" s="73" t="n"/>
      <c r="J1212" s="73" t="n"/>
      <c r="K1212" s="74" t="n"/>
      <c r="L1212" s="74" t="n"/>
      <c r="M1212" s="64" t="e">
        <v>#N/A</v>
      </c>
    </row>
    <row r="1213" ht="29.1" customHeight="1">
      <c r="A1213" s="74" t="n"/>
      <c r="B1213" s="74" t="n"/>
      <c r="C1213" s="74" t="n"/>
      <c r="D1213" s="74" t="n"/>
      <c r="E1213" s="74" t="n"/>
      <c r="F1213" s="74" t="n"/>
      <c r="G1213" s="74" t="inlineStr">
        <is>
          <t>kg</t>
        </is>
      </c>
      <c r="H1213" s="76" t="n"/>
      <c r="I1213" s="73" t="n"/>
      <c r="J1213" s="73" t="n"/>
      <c r="K1213" s="74" t="n"/>
      <c r="L1213" s="74" t="n"/>
      <c r="M1213" s="64" t="e">
        <v>#N/A</v>
      </c>
    </row>
    <row r="1214" ht="29.1" customHeight="1">
      <c r="A1214" s="74" t="n"/>
      <c r="B1214" s="74" t="n"/>
      <c r="C1214" s="74" t="n"/>
      <c r="D1214" s="74" t="n"/>
      <c r="E1214" s="74" t="n"/>
      <c r="F1214" s="74" t="n"/>
      <c r="G1214" s="74" t="inlineStr">
        <is>
          <t>kg</t>
        </is>
      </c>
      <c r="H1214" s="76" t="n"/>
      <c r="I1214" s="73" t="n"/>
      <c r="J1214" s="73" t="n"/>
      <c r="K1214" s="74" t="n"/>
      <c r="L1214" s="74" t="n"/>
      <c r="M1214" s="64" t="e">
        <v>#N/A</v>
      </c>
    </row>
    <row r="1215" ht="29.1" customHeight="1">
      <c r="A1215" s="74" t="n"/>
      <c r="B1215" s="74" t="n"/>
      <c r="C1215" s="74" t="n"/>
      <c r="D1215" s="74" t="n"/>
      <c r="E1215" s="74" t="n"/>
      <c r="F1215" s="74" t="n"/>
      <c r="G1215" s="74" t="inlineStr">
        <is>
          <t>kg</t>
        </is>
      </c>
      <c r="H1215" s="76" t="n"/>
      <c r="I1215" s="73" t="n"/>
      <c r="J1215" s="73" t="n"/>
      <c r="K1215" s="74" t="n"/>
      <c r="L1215" s="74" t="n"/>
      <c r="M1215" s="64" t="e">
        <v>#N/A</v>
      </c>
    </row>
    <row r="1216" ht="29.1" customHeight="1">
      <c r="A1216" s="74" t="n"/>
      <c r="B1216" s="74" t="n"/>
      <c r="C1216" s="74" t="n"/>
      <c r="D1216" s="74" t="n"/>
      <c r="E1216" s="74" t="n"/>
      <c r="F1216" s="74" t="n"/>
      <c r="G1216" s="74" t="inlineStr">
        <is>
          <t>kg</t>
        </is>
      </c>
      <c r="H1216" s="76" t="n"/>
      <c r="I1216" s="73" t="n"/>
      <c r="J1216" s="73" t="n"/>
      <c r="K1216" s="74" t="n"/>
      <c r="L1216" s="74" t="n"/>
      <c r="M1216" s="64" t="e">
        <v>#N/A</v>
      </c>
    </row>
    <row r="1217" ht="29.1" customHeight="1">
      <c r="A1217" s="74" t="n"/>
      <c r="B1217" s="74" t="n"/>
      <c r="C1217" s="74" t="n"/>
      <c r="D1217" s="74" t="n"/>
      <c r="E1217" s="74" t="n"/>
      <c r="F1217" s="74" t="n"/>
      <c r="G1217" s="74" t="inlineStr">
        <is>
          <t>kg</t>
        </is>
      </c>
      <c r="H1217" s="76" t="n"/>
      <c r="I1217" s="73" t="n"/>
      <c r="J1217" s="73" t="n"/>
      <c r="K1217" s="74" t="n"/>
      <c r="L1217" s="74" t="n"/>
      <c r="M1217" s="64" t="e">
        <v>#N/A</v>
      </c>
    </row>
    <row r="1218" ht="29.1" customHeight="1">
      <c r="A1218" s="74" t="n"/>
      <c r="B1218" s="74" t="n"/>
      <c r="C1218" s="74" t="n"/>
      <c r="D1218" s="74" t="n"/>
      <c r="E1218" s="74" t="n"/>
      <c r="F1218" s="74" t="n"/>
      <c r="G1218" s="74" t="inlineStr">
        <is>
          <t>kg</t>
        </is>
      </c>
      <c r="H1218" s="76" t="n"/>
      <c r="I1218" s="73" t="n"/>
      <c r="J1218" s="73" t="n"/>
      <c r="K1218" s="74" t="n"/>
      <c r="L1218" s="74" t="n"/>
      <c r="M1218" s="64" t="e">
        <v>#N/A</v>
      </c>
    </row>
    <row r="1219" ht="29.1" customHeight="1">
      <c r="A1219" s="74" t="n"/>
      <c r="B1219" s="74" t="n"/>
      <c r="C1219" s="74" t="n"/>
      <c r="D1219" s="74" t="n"/>
      <c r="E1219" s="74" t="n"/>
      <c r="F1219" s="74" t="n"/>
      <c r="G1219" s="74" t="inlineStr">
        <is>
          <t>kg</t>
        </is>
      </c>
      <c r="H1219" s="76" t="n"/>
      <c r="I1219" s="73" t="n"/>
      <c r="J1219" s="73" t="n"/>
      <c r="K1219" s="74" t="n"/>
      <c r="L1219" s="74" t="n"/>
      <c r="M1219" s="64" t="e">
        <v>#N/A</v>
      </c>
    </row>
    <row r="1220" ht="29.1" customHeight="1">
      <c r="A1220" s="74" t="n"/>
      <c r="B1220" s="74" t="n"/>
      <c r="C1220" s="74" t="n"/>
      <c r="D1220" s="74" t="n"/>
      <c r="E1220" s="74" t="n"/>
      <c r="F1220" s="74" t="n"/>
      <c r="G1220" s="74" t="inlineStr">
        <is>
          <t>kg</t>
        </is>
      </c>
      <c r="H1220" s="76" t="n"/>
      <c r="I1220" s="73" t="n"/>
      <c r="J1220" s="73" t="n"/>
      <c r="K1220" s="74" t="n"/>
      <c r="L1220" s="74" t="n"/>
      <c r="M1220" s="64" t="e">
        <v>#N/A</v>
      </c>
    </row>
    <row r="1221" ht="29.1" customHeight="1">
      <c r="A1221" s="74" t="n"/>
      <c r="B1221" s="74" t="n"/>
      <c r="C1221" s="74" t="n"/>
      <c r="D1221" s="74" t="n"/>
      <c r="E1221" s="74" t="n"/>
      <c r="F1221" s="74" t="n"/>
      <c r="G1221" s="74" t="inlineStr">
        <is>
          <t>kg</t>
        </is>
      </c>
      <c r="H1221" s="76" t="n"/>
      <c r="I1221" s="73" t="n"/>
      <c r="J1221" s="73" t="n"/>
      <c r="K1221" s="74" t="n"/>
      <c r="L1221" s="74" t="n"/>
      <c r="M1221" s="64" t="e">
        <v>#N/A</v>
      </c>
    </row>
    <row r="1222" ht="29.1" customHeight="1">
      <c r="A1222" s="74" t="n"/>
      <c r="B1222" s="74" t="n"/>
      <c r="C1222" s="74" t="n"/>
      <c r="D1222" s="74" t="n"/>
      <c r="E1222" s="74" t="n"/>
      <c r="F1222" s="74" t="n"/>
      <c r="G1222" s="74" t="inlineStr">
        <is>
          <t>kg</t>
        </is>
      </c>
      <c r="H1222" s="76" t="n"/>
      <c r="I1222" s="73" t="n"/>
      <c r="J1222" s="73" t="n"/>
      <c r="K1222" s="74" t="n"/>
      <c r="L1222" s="74" t="n"/>
      <c r="M1222" s="64" t="e">
        <v>#N/A</v>
      </c>
    </row>
    <row r="1223" ht="29.1" customHeight="1">
      <c r="A1223" s="74" t="n"/>
      <c r="B1223" s="74" t="n"/>
      <c r="C1223" s="74" t="n"/>
      <c r="D1223" s="74" t="n"/>
      <c r="E1223" s="74" t="n"/>
      <c r="F1223" s="74" t="n"/>
      <c r="G1223" s="74" t="inlineStr">
        <is>
          <t>kg</t>
        </is>
      </c>
      <c r="H1223" s="76" t="n"/>
      <c r="I1223" s="73" t="n"/>
      <c r="J1223" s="73" t="n"/>
      <c r="K1223" s="74" t="n"/>
      <c r="L1223" s="74" t="n"/>
      <c r="M1223" s="64" t="e">
        <v>#N/A</v>
      </c>
    </row>
    <row r="1224" ht="29.1" customHeight="1">
      <c r="A1224" s="74" t="n"/>
      <c r="B1224" s="74" t="n"/>
      <c r="C1224" s="74" t="n"/>
      <c r="D1224" s="74" t="n"/>
      <c r="E1224" s="74" t="n"/>
      <c r="F1224" s="74" t="n"/>
      <c r="G1224" s="74" t="inlineStr">
        <is>
          <t>kg</t>
        </is>
      </c>
      <c r="H1224" s="76" t="n"/>
      <c r="I1224" s="73" t="n"/>
      <c r="J1224" s="73" t="n"/>
      <c r="K1224" s="74" t="n"/>
      <c r="L1224" s="74" t="n"/>
      <c r="M1224" s="64" t="e">
        <v>#N/A</v>
      </c>
    </row>
    <row r="1225" ht="29.1" customHeight="1">
      <c r="A1225" s="74" t="n"/>
      <c r="B1225" s="74" t="n"/>
      <c r="C1225" s="74" t="n"/>
      <c r="D1225" s="74" t="n"/>
      <c r="E1225" s="74" t="n"/>
      <c r="F1225" s="74" t="n"/>
      <c r="G1225" s="74" t="inlineStr">
        <is>
          <t>kg</t>
        </is>
      </c>
      <c r="H1225" s="76" t="n"/>
      <c r="I1225" s="73" t="n"/>
      <c r="J1225" s="73" t="n"/>
      <c r="K1225" s="74" t="n"/>
      <c r="L1225" s="74" t="n"/>
      <c r="M1225" s="64" t="e">
        <v>#N/A</v>
      </c>
    </row>
    <row r="1226" ht="29.1" customHeight="1">
      <c r="A1226" s="74" t="n"/>
      <c r="B1226" s="74" t="n"/>
      <c r="C1226" s="74" t="n"/>
      <c r="D1226" s="74" t="n"/>
      <c r="E1226" s="74" t="n"/>
      <c r="F1226" s="74" t="n"/>
      <c r="G1226" s="74" t="inlineStr">
        <is>
          <t>kg</t>
        </is>
      </c>
      <c r="H1226" s="76" t="n"/>
      <c r="I1226" s="73" t="n"/>
      <c r="J1226" s="73" t="n"/>
      <c r="K1226" s="74" t="n"/>
      <c r="L1226" s="74" t="n"/>
      <c r="M1226" s="64" t="e">
        <v>#N/A</v>
      </c>
    </row>
    <row r="1227" ht="29.1" customHeight="1">
      <c r="A1227" s="74" t="n"/>
      <c r="B1227" s="74" t="n"/>
      <c r="C1227" s="74" t="n"/>
      <c r="D1227" s="74" t="n"/>
      <c r="E1227" s="74" t="n"/>
      <c r="F1227" s="74" t="n"/>
      <c r="G1227" s="74" t="inlineStr">
        <is>
          <t>kg</t>
        </is>
      </c>
      <c r="H1227" s="76" t="n"/>
      <c r="I1227" s="73" t="n"/>
      <c r="J1227" s="73" t="n"/>
      <c r="K1227" s="74" t="n"/>
      <c r="L1227" s="74" t="n"/>
      <c r="M1227" s="64" t="e">
        <v>#N/A</v>
      </c>
    </row>
    <row r="1228" ht="29.1" customHeight="1">
      <c r="A1228" s="74" t="n"/>
      <c r="B1228" s="74" t="n"/>
      <c r="C1228" s="74" t="n"/>
      <c r="D1228" s="74" t="n"/>
      <c r="E1228" s="74" t="n"/>
      <c r="F1228" s="74" t="n"/>
      <c r="G1228" s="74" t="inlineStr">
        <is>
          <t>kg</t>
        </is>
      </c>
      <c r="H1228" s="76" t="n"/>
      <c r="I1228" s="73" t="n"/>
      <c r="J1228" s="73" t="n"/>
      <c r="K1228" s="74" t="n"/>
      <c r="L1228" s="74" t="n"/>
      <c r="M1228" s="64" t="e">
        <v>#N/A</v>
      </c>
    </row>
    <row r="1229" ht="29.1" customHeight="1">
      <c r="A1229" s="74" t="n"/>
      <c r="B1229" s="74" t="n"/>
      <c r="C1229" s="74" t="n"/>
      <c r="D1229" s="74" t="n"/>
      <c r="E1229" s="74" t="n"/>
      <c r="F1229" s="74" t="n"/>
      <c r="G1229" s="74" t="inlineStr">
        <is>
          <t>kg</t>
        </is>
      </c>
      <c r="H1229" s="76" t="n"/>
      <c r="I1229" s="73" t="n"/>
      <c r="J1229" s="73" t="n"/>
      <c r="K1229" s="74" t="n"/>
      <c r="L1229" s="74" t="n"/>
      <c r="M1229" s="64" t="e">
        <v>#N/A</v>
      </c>
    </row>
    <row r="1230" ht="29.1" customHeight="1">
      <c r="A1230" s="74" t="n"/>
      <c r="B1230" s="74" t="n"/>
      <c r="C1230" s="74" t="n"/>
      <c r="D1230" s="74" t="n"/>
      <c r="E1230" s="74" t="n"/>
      <c r="F1230" s="74" t="n"/>
      <c r="G1230" s="74" t="inlineStr">
        <is>
          <t>kg</t>
        </is>
      </c>
      <c r="H1230" s="76" t="n"/>
      <c r="I1230" s="73" t="n"/>
      <c r="J1230" s="73" t="n"/>
      <c r="K1230" s="74" t="n"/>
      <c r="L1230" s="74" t="n"/>
      <c r="M1230" s="64" t="e">
        <v>#N/A</v>
      </c>
    </row>
    <row r="1231" ht="29.1" customHeight="1">
      <c r="A1231" s="74" t="n"/>
      <c r="B1231" s="74" t="n"/>
      <c r="C1231" s="74" t="n"/>
      <c r="D1231" s="74" t="n"/>
      <c r="E1231" s="74" t="n"/>
      <c r="F1231" s="74" t="n"/>
      <c r="G1231" s="74" t="inlineStr">
        <is>
          <t>kg</t>
        </is>
      </c>
      <c r="H1231" s="76" t="n"/>
      <c r="I1231" s="73" t="n"/>
      <c r="J1231" s="73" t="n"/>
      <c r="K1231" s="74" t="n"/>
      <c r="L1231" s="74" t="n"/>
      <c r="M1231" s="64" t="e">
        <v>#N/A</v>
      </c>
    </row>
    <row r="1232" ht="29.1" customHeight="1">
      <c r="A1232" s="74" t="n"/>
      <c r="B1232" s="74" t="n"/>
      <c r="C1232" s="74" t="n"/>
      <c r="D1232" s="74" t="n"/>
      <c r="E1232" s="74" t="n"/>
      <c r="F1232" s="74" t="n"/>
      <c r="G1232" s="74" t="inlineStr">
        <is>
          <t>kg</t>
        </is>
      </c>
      <c r="H1232" s="76" t="n"/>
      <c r="I1232" s="73" t="n"/>
      <c r="J1232" s="73" t="n"/>
      <c r="K1232" s="74" t="n"/>
      <c r="L1232" s="74" t="n"/>
      <c r="M1232" s="64" t="e">
        <v>#N/A</v>
      </c>
    </row>
    <row r="1233" ht="29.1" customHeight="1">
      <c r="A1233" s="74" t="n"/>
      <c r="B1233" s="74" t="n"/>
      <c r="C1233" s="74" t="n"/>
      <c r="D1233" s="74" t="n"/>
      <c r="E1233" s="74" t="n"/>
      <c r="F1233" s="74" t="n"/>
      <c r="G1233" s="74" t="inlineStr">
        <is>
          <t>kg</t>
        </is>
      </c>
      <c r="H1233" s="76" t="n"/>
      <c r="I1233" s="73" t="n"/>
      <c r="J1233" s="73" t="n"/>
      <c r="K1233" s="74" t="n"/>
      <c r="L1233" s="74" t="n"/>
      <c r="M1233" s="64" t="e">
        <v>#N/A</v>
      </c>
    </row>
    <row r="1234" ht="29.1" customHeight="1">
      <c r="A1234" s="74" t="n"/>
      <c r="B1234" s="74" t="n"/>
      <c r="C1234" s="74" t="n"/>
      <c r="D1234" s="74" t="n"/>
      <c r="E1234" s="74" t="n"/>
      <c r="F1234" s="74" t="n"/>
      <c r="G1234" s="74" t="inlineStr">
        <is>
          <t>kg</t>
        </is>
      </c>
      <c r="H1234" s="76" t="n"/>
      <c r="I1234" s="73" t="n"/>
      <c r="J1234" s="73" t="n"/>
      <c r="K1234" s="74" t="n"/>
      <c r="L1234" s="74" t="n"/>
      <c r="M1234" s="64" t="e">
        <v>#N/A</v>
      </c>
    </row>
    <row r="1235" ht="29.1" customHeight="1">
      <c r="A1235" s="74" t="n"/>
      <c r="B1235" s="74" t="n"/>
      <c r="C1235" s="74" t="n"/>
      <c r="D1235" s="74" t="n"/>
      <c r="E1235" s="74" t="n"/>
      <c r="F1235" s="74" t="n"/>
      <c r="G1235" s="74" t="inlineStr">
        <is>
          <t>kg</t>
        </is>
      </c>
      <c r="H1235" s="76" t="n"/>
      <c r="I1235" s="73" t="n"/>
      <c r="J1235" s="73" t="n"/>
      <c r="K1235" s="74" t="n"/>
      <c r="L1235" s="74" t="n"/>
      <c r="M1235" s="64" t="e">
        <v>#N/A</v>
      </c>
    </row>
    <row r="1236" ht="29.1" customHeight="1">
      <c r="A1236" s="74" t="n"/>
      <c r="B1236" s="74" t="n"/>
      <c r="C1236" s="74" t="n"/>
      <c r="D1236" s="74" t="n"/>
      <c r="E1236" s="74" t="n"/>
      <c r="F1236" s="74" t="n"/>
      <c r="G1236" s="74" t="inlineStr">
        <is>
          <t>kg</t>
        </is>
      </c>
      <c r="H1236" s="76" t="n"/>
      <c r="I1236" s="73" t="n"/>
      <c r="J1236" s="73" t="n"/>
      <c r="K1236" s="74" t="n"/>
      <c r="L1236" s="74" t="n"/>
      <c r="M1236" s="64" t="e">
        <v>#N/A</v>
      </c>
    </row>
    <row r="1237" ht="29.1" customHeight="1">
      <c r="A1237" s="74" t="n"/>
      <c r="B1237" s="74" t="n"/>
      <c r="C1237" s="74" t="n"/>
      <c r="D1237" s="74" t="n"/>
      <c r="E1237" s="74" t="n"/>
      <c r="F1237" s="74" t="n"/>
      <c r="G1237" s="74" t="inlineStr">
        <is>
          <t>kg</t>
        </is>
      </c>
      <c r="H1237" s="76" t="n"/>
      <c r="I1237" s="73" t="n"/>
      <c r="J1237" s="73" t="n"/>
      <c r="K1237" s="74" t="n"/>
      <c r="L1237" s="74" t="n"/>
      <c r="M1237" s="64" t="e">
        <v>#N/A</v>
      </c>
    </row>
    <row r="1238" ht="29.1" customHeight="1">
      <c r="A1238" s="74" t="n"/>
      <c r="B1238" s="74" t="n"/>
      <c r="C1238" s="74" t="n"/>
      <c r="D1238" s="74" t="n"/>
      <c r="E1238" s="74" t="n"/>
      <c r="F1238" s="74" t="n"/>
      <c r="G1238" s="74" t="inlineStr">
        <is>
          <t>kg</t>
        </is>
      </c>
      <c r="H1238" s="76" t="n"/>
      <c r="I1238" s="73" t="n"/>
      <c r="J1238" s="73" t="n"/>
      <c r="K1238" s="74" t="n"/>
      <c r="L1238" s="74" t="n"/>
      <c r="M1238" s="64" t="e">
        <v>#N/A</v>
      </c>
    </row>
    <row r="1239" ht="29.1" customHeight="1">
      <c r="A1239" s="74" t="n"/>
      <c r="B1239" s="74" t="n"/>
      <c r="C1239" s="74" t="n"/>
      <c r="D1239" s="74" t="n"/>
      <c r="E1239" s="74" t="n"/>
      <c r="F1239" s="74" t="n"/>
      <c r="G1239" s="74" t="inlineStr">
        <is>
          <t>kg</t>
        </is>
      </c>
      <c r="H1239" s="76" t="n"/>
      <c r="I1239" s="73" t="n"/>
      <c r="J1239" s="73" t="n"/>
      <c r="K1239" s="74" t="n"/>
      <c r="L1239" s="74" t="n"/>
      <c r="M1239" s="64" t="e">
        <v>#N/A</v>
      </c>
    </row>
    <row r="1240" ht="29.1" customHeight="1">
      <c r="A1240" s="74" t="n"/>
      <c r="B1240" s="74" t="n"/>
      <c r="C1240" s="74" t="n"/>
      <c r="D1240" s="74" t="n"/>
      <c r="E1240" s="74" t="n"/>
      <c r="F1240" s="74" t="n"/>
      <c r="G1240" s="74" t="inlineStr">
        <is>
          <t>kg</t>
        </is>
      </c>
      <c r="H1240" s="76" t="n"/>
      <c r="I1240" s="73" t="n"/>
      <c r="J1240" s="73" t="n"/>
      <c r="K1240" s="74" t="n"/>
      <c r="L1240" s="74" t="n"/>
      <c r="M1240" s="64" t="e">
        <v>#N/A</v>
      </c>
    </row>
    <row r="1241" ht="29.1" customHeight="1">
      <c r="A1241" s="74" t="n"/>
      <c r="B1241" s="74" t="n"/>
      <c r="C1241" s="74" t="n"/>
      <c r="D1241" s="74" t="n"/>
      <c r="E1241" s="74" t="n"/>
      <c r="F1241" s="74" t="n"/>
      <c r="G1241" s="74" t="inlineStr">
        <is>
          <t>kg</t>
        </is>
      </c>
      <c r="H1241" s="76" t="n"/>
      <c r="I1241" s="73" t="n"/>
      <c r="J1241" s="73" t="n"/>
      <c r="K1241" s="74" t="n"/>
      <c r="L1241" s="74" t="n"/>
      <c r="M1241" s="64" t="e">
        <v>#N/A</v>
      </c>
    </row>
    <row r="1242" ht="29.1" customHeight="1">
      <c r="A1242" s="74" t="n"/>
      <c r="B1242" s="74" t="n"/>
      <c r="C1242" s="74" t="n"/>
      <c r="D1242" s="74" t="n"/>
      <c r="E1242" s="74" t="n"/>
      <c r="F1242" s="74" t="n"/>
      <c r="G1242" s="74" t="inlineStr">
        <is>
          <t>kg</t>
        </is>
      </c>
      <c r="H1242" s="76" t="n"/>
      <c r="I1242" s="73" t="n"/>
      <c r="J1242" s="73" t="n"/>
      <c r="K1242" s="74" t="n"/>
      <c r="L1242" s="74" t="n"/>
      <c r="M1242" s="64" t="e">
        <v>#N/A</v>
      </c>
    </row>
    <row r="1243" ht="29.1" customHeight="1">
      <c r="A1243" s="74" t="n"/>
      <c r="B1243" s="74" t="n"/>
      <c r="C1243" s="74" t="n"/>
      <c r="D1243" s="74" t="n"/>
      <c r="E1243" s="74" t="n"/>
      <c r="F1243" s="74" t="n"/>
      <c r="G1243" s="74" t="inlineStr">
        <is>
          <t>kg</t>
        </is>
      </c>
      <c r="H1243" s="76" t="n"/>
      <c r="I1243" s="73" t="n"/>
      <c r="J1243" s="73" t="n"/>
      <c r="K1243" s="74" t="n"/>
      <c r="L1243" s="74" t="n"/>
      <c r="M1243" s="64" t="e">
        <v>#N/A</v>
      </c>
    </row>
    <row r="1244" ht="29.1" customHeight="1">
      <c r="A1244" s="74" t="n"/>
      <c r="B1244" s="74" t="n"/>
      <c r="C1244" s="74" t="n"/>
      <c r="D1244" s="74" t="n"/>
      <c r="E1244" s="74" t="n"/>
      <c r="F1244" s="74" t="n"/>
      <c r="G1244" s="74" t="inlineStr">
        <is>
          <t>kg</t>
        </is>
      </c>
      <c r="H1244" s="76" t="n"/>
      <c r="I1244" s="73" t="n"/>
      <c r="J1244" s="73" t="n"/>
      <c r="K1244" s="74" t="n"/>
      <c r="L1244" s="74" t="n"/>
      <c r="M1244" s="64" t="e">
        <v>#N/A</v>
      </c>
    </row>
    <row r="1245" ht="29.1" customHeight="1">
      <c r="A1245" s="74" t="n"/>
      <c r="B1245" s="74" t="n"/>
      <c r="C1245" s="74" t="n"/>
      <c r="D1245" s="74" t="n"/>
      <c r="E1245" s="74" t="n"/>
      <c r="F1245" s="74" t="n"/>
      <c r="G1245" s="74" t="inlineStr">
        <is>
          <t>kg</t>
        </is>
      </c>
      <c r="H1245" s="76" t="n"/>
      <c r="I1245" s="73" t="n"/>
      <c r="J1245" s="73" t="n"/>
      <c r="K1245" s="74" t="n"/>
      <c r="L1245" s="74" t="n"/>
      <c r="M1245" s="64" t="e">
        <v>#N/A</v>
      </c>
    </row>
    <row r="1246" ht="29.1" customHeight="1">
      <c r="A1246" s="74" t="n"/>
      <c r="B1246" s="74" t="n"/>
      <c r="C1246" s="74" t="n"/>
      <c r="D1246" s="74" t="n"/>
      <c r="E1246" s="74" t="n"/>
      <c r="F1246" s="74" t="n"/>
      <c r="G1246" s="74" t="inlineStr">
        <is>
          <t>kg</t>
        </is>
      </c>
      <c r="H1246" s="76" t="n"/>
      <c r="I1246" s="73" t="n"/>
      <c r="J1246" s="73" t="n"/>
      <c r="K1246" s="74" t="n"/>
      <c r="L1246" s="74" t="n"/>
      <c r="M1246" s="64" t="e">
        <v>#N/A</v>
      </c>
    </row>
    <row r="1247" ht="29.1" customHeight="1">
      <c r="A1247" s="74" t="n"/>
      <c r="B1247" s="74" t="n"/>
      <c r="C1247" s="74" t="n"/>
      <c r="D1247" s="74" t="n"/>
      <c r="E1247" s="74" t="n"/>
      <c r="F1247" s="74" t="n"/>
      <c r="G1247" s="74" t="inlineStr">
        <is>
          <t>kg</t>
        </is>
      </c>
      <c r="H1247" s="76" t="n"/>
      <c r="I1247" s="73" t="n"/>
      <c r="J1247" s="73" t="n"/>
      <c r="K1247" s="74" t="n"/>
      <c r="L1247" s="74" t="n"/>
      <c r="M1247" s="64" t="e">
        <v>#N/A</v>
      </c>
    </row>
    <row r="1248" ht="29.1" customHeight="1">
      <c r="A1248" s="74" t="n"/>
      <c r="B1248" s="74" t="n"/>
      <c r="C1248" s="74" t="n"/>
      <c r="D1248" s="74" t="n"/>
      <c r="E1248" s="74" t="n"/>
      <c r="F1248" s="74" t="n"/>
      <c r="G1248" s="74" t="inlineStr">
        <is>
          <t>kg</t>
        </is>
      </c>
      <c r="H1248" s="76" t="n"/>
      <c r="I1248" s="73" t="n"/>
      <c r="J1248" s="73" t="n"/>
      <c r="K1248" s="74" t="n"/>
      <c r="L1248" s="74" t="n"/>
      <c r="M1248" s="64" t="e">
        <v>#N/A</v>
      </c>
    </row>
    <row r="1249" ht="29.1" customHeight="1">
      <c r="A1249" s="74" t="n"/>
      <c r="B1249" s="74" t="n"/>
      <c r="C1249" s="74" t="n"/>
      <c r="D1249" s="74" t="n"/>
      <c r="E1249" s="74" t="n"/>
      <c r="F1249" s="74" t="n"/>
      <c r="G1249" s="74" t="inlineStr">
        <is>
          <t>kg</t>
        </is>
      </c>
      <c r="H1249" s="76" t="n"/>
      <c r="I1249" s="73" t="n"/>
      <c r="J1249" s="73" t="n"/>
      <c r="K1249" s="74" t="n"/>
      <c r="L1249" s="74" t="n"/>
      <c r="M1249" s="64" t="e">
        <v>#N/A</v>
      </c>
    </row>
    <row r="1250" ht="29.1" customHeight="1">
      <c r="A1250" s="74" t="n"/>
      <c r="B1250" s="74" t="n"/>
      <c r="C1250" s="74" t="n"/>
      <c r="D1250" s="74" t="n"/>
      <c r="E1250" s="74" t="n"/>
      <c r="F1250" s="74" t="n"/>
      <c r="G1250" s="74" t="inlineStr">
        <is>
          <t>kg</t>
        </is>
      </c>
      <c r="H1250" s="76" t="n"/>
      <c r="I1250" s="73" t="n"/>
      <c r="J1250" s="73" t="n"/>
      <c r="K1250" s="74" t="n"/>
      <c r="L1250" s="74" t="n"/>
      <c r="M1250" s="64" t="e">
        <v>#N/A</v>
      </c>
    </row>
    <row r="1251" ht="29.1" customHeight="1">
      <c r="A1251" s="74" t="n"/>
      <c r="B1251" s="74" t="n"/>
      <c r="C1251" s="74" t="n"/>
      <c r="D1251" s="74" t="n"/>
      <c r="E1251" s="74" t="n"/>
      <c r="F1251" s="74" t="n"/>
      <c r="G1251" s="74" t="inlineStr">
        <is>
          <t>kg</t>
        </is>
      </c>
      <c r="H1251" s="76" t="n"/>
      <c r="I1251" s="73" t="n"/>
      <c r="J1251" s="73" t="n"/>
      <c r="K1251" s="74" t="n"/>
      <c r="L1251" s="74" t="n"/>
      <c r="M1251" s="64" t="e">
        <v>#N/A</v>
      </c>
    </row>
    <row r="1252" ht="29.1" customHeight="1">
      <c r="A1252" s="74" t="n"/>
      <c r="B1252" s="74" t="n"/>
      <c r="C1252" s="74" t="n"/>
      <c r="D1252" s="74" t="n"/>
      <c r="E1252" s="74" t="n"/>
      <c r="F1252" s="74" t="n"/>
      <c r="G1252" s="74" t="inlineStr">
        <is>
          <t>kg</t>
        </is>
      </c>
      <c r="H1252" s="76" t="n"/>
      <c r="I1252" s="73" t="n"/>
      <c r="J1252" s="73" t="n"/>
      <c r="K1252" s="74" t="n"/>
      <c r="L1252" s="74" t="n"/>
      <c r="M1252" s="64" t="e">
        <v>#N/A</v>
      </c>
    </row>
    <row r="1253" ht="29.1" customHeight="1">
      <c r="A1253" s="74" t="n"/>
      <c r="B1253" s="74" t="n"/>
      <c r="C1253" s="74" t="n"/>
      <c r="D1253" s="74" t="n"/>
      <c r="E1253" s="74" t="n"/>
      <c r="F1253" s="74" t="n"/>
      <c r="G1253" s="74" t="inlineStr">
        <is>
          <t>kg</t>
        </is>
      </c>
      <c r="H1253" s="76" t="n"/>
      <c r="I1253" s="73" t="n"/>
      <c r="J1253" s="73" t="n"/>
      <c r="K1253" s="74" t="n"/>
      <c r="L1253" s="74" t="n"/>
      <c r="M1253" s="64" t="e">
        <v>#N/A</v>
      </c>
    </row>
    <row r="1254" ht="29.1" customHeight="1">
      <c r="A1254" s="74" t="n"/>
      <c r="B1254" s="74" t="n"/>
      <c r="C1254" s="74" t="n"/>
      <c r="D1254" s="74" t="n"/>
      <c r="E1254" s="74" t="n"/>
      <c r="F1254" s="74" t="n"/>
      <c r="G1254" s="74" t="inlineStr">
        <is>
          <t>kg</t>
        </is>
      </c>
      <c r="H1254" s="76" t="n"/>
      <c r="I1254" s="73" t="n"/>
      <c r="J1254" s="73" t="n"/>
      <c r="K1254" s="74" t="n"/>
      <c r="L1254" s="74" t="n"/>
      <c r="M1254" s="64" t="e">
        <v>#N/A</v>
      </c>
    </row>
    <row r="1255" ht="29.1" customHeight="1">
      <c r="A1255" s="74" t="n"/>
      <c r="B1255" s="74" t="n"/>
      <c r="C1255" s="74" t="n"/>
      <c r="D1255" s="74" t="n"/>
      <c r="E1255" s="74" t="n"/>
      <c r="F1255" s="74" t="n"/>
      <c r="G1255" s="74" t="inlineStr">
        <is>
          <t>kg</t>
        </is>
      </c>
      <c r="H1255" s="76" t="n"/>
      <c r="I1255" s="73" t="n"/>
      <c r="J1255" s="73" t="n"/>
      <c r="K1255" s="74" t="n"/>
      <c r="L1255" s="74" t="n"/>
      <c r="M1255" s="64" t="e">
        <v>#N/A</v>
      </c>
    </row>
    <row r="1256" ht="29.1" customHeight="1">
      <c r="A1256" s="74" t="n"/>
      <c r="B1256" s="74" t="n"/>
      <c r="C1256" s="74" t="n"/>
      <c r="D1256" s="74" t="n"/>
      <c r="E1256" s="74" t="n"/>
      <c r="F1256" s="74" t="n"/>
      <c r="G1256" s="74" t="inlineStr">
        <is>
          <t>kg</t>
        </is>
      </c>
      <c r="H1256" s="76" t="n"/>
      <c r="I1256" s="73" t="n"/>
      <c r="J1256" s="73" t="n"/>
      <c r="K1256" s="74" t="n"/>
      <c r="L1256" s="74" t="n"/>
      <c r="M1256" s="64" t="e">
        <v>#N/A</v>
      </c>
    </row>
    <row r="1257" ht="29.1" customHeight="1">
      <c r="A1257" s="74" t="n"/>
      <c r="B1257" s="74" t="n"/>
      <c r="C1257" s="74" t="n"/>
      <c r="D1257" s="74" t="n"/>
      <c r="E1257" s="74" t="n"/>
      <c r="F1257" s="74" t="n"/>
      <c r="G1257" s="74" t="inlineStr">
        <is>
          <t>kg</t>
        </is>
      </c>
      <c r="H1257" s="76" t="n"/>
      <c r="I1257" s="73" t="n"/>
      <c r="J1257" s="73" t="n"/>
      <c r="K1257" s="74" t="n"/>
      <c r="L1257" s="74" t="n"/>
      <c r="M1257" s="64" t="e">
        <v>#N/A</v>
      </c>
    </row>
    <row r="1258" ht="29.1" customHeight="1">
      <c r="A1258" s="74" t="n"/>
      <c r="B1258" s="74" t="n"/>
      <c r="C1258" s="74" t="n"/>
      <c r="D1258" s="74" t="n"/>
      <c r="E1258" s="74" t="n"/>
      <c r="F1258" s="74" t="n"/>
      <c r="G1258" s="74" t="inlineStr">
        <is>
          <t>kg</t>
        </is>
      </c>
      <c r="H1258" s="76" t="n"/>
      <c r="I1258" s="73" t="n"/>
      <c r="J1258" s="73" t="n"/>
      <c r="K1258" s="74" t="n"/>
      <c r="L1258" s="74" t="n"/>
      <c r="M1258" s="64" t="e">
        <v>#N/A</v>
      </c>
    </row>
    <row r="1259" ht="29.1" customHeight="1">
      <c r="A1259" s="74" t="n"/>
      <c r="B1259" s="74" t="n"/>
      <c r="C1259" s="74" t="n"/>
      <c r="D1259" s="74" t="n"/>
      <c r="E1259" s="74" t="n"/>
      <c r="F1259" s="74" t="n"/>
      <c r="G1259" s="74" t="inlineStr">
        <is>
          <t>kg</t>
        </is>
      </c>
      <c r="H1259" s="76" t="n"/>
      <c r="I1259" s="73" t="n"/>
      <c r="J1259" s="73" t="n"/>
      <c r="K1259" s="74" t="n"/>
      <c r="L1259" s="74" t="n"/>
      <c r="M1259" s="64" t="e">
        <v>#N/A</v>
      </c>
    </row>
    <row r="1260" ht="29.1" customHeight="1">
      <c r="A1260" s="74" t="n"/>
      <c r="B1260" s="74" t="n"/>
      <c r="C1260" s="74" t="n"/>
      <c r="D1260" s="74" t="n"/>
      <c r="E1260" s="74" t="n"/>
      <c r="F1260" s="74" t="n"/>
      <c r="G1260" s="74" t="inlineStr">
        <is>
          <t>kg</t>
        </is>
      </c>
      <c r="H1260" s="76" t="n"/>
      <c r="I1260" s="73" t="n"/>
      <c r="J1260" s="73" t="n"/>
      <c r="K1260" s="74" t="n"/>
      <c r="L1260" s="74" t="n"/>
      <c r="M1260" s="64" t="e">
        <v>#N/A</v>
      </c>
    </row>
    <row r="1261" ht="29.1" customHeight="1">
      <c r="A1261" s="74" t="n"/>
      <c r="B1261" s="74" t="n"/>
      <c r="C1261" s="74" t="n"/>
      <c r="D1261" s="74" t="n"/>
      <c r="E1261" s="74" t="n"/>
      <c r="F1261" s="74" t="n"/>
      <c r="G1261" s="74" t="inlineStr">
        <is>
          <t>kg</t>
        </is>
      </c>
      <c r="H1261" s="76" t="n"/>
      <c r="I1261" s="73" t="n"/>
      <c r="J1261" s="73" t="n"/>
      <c r="K1261" s="74" t="n"/>
      <c r="L1261" s="74" t="n"/>
      <c r="M1261" s="64" t="e">
        <v>#N/A</v>
      </c>
    </row>
    <row r="1262" ht="29.1" customHeight="1">
      <c r="A1262" s="74" t="n"/>
      <c r="B1262" s="74" t="n"/>
      <c r="C1262" s="74" t="n"/>
      <c r="D1262" s="74" t="n"/>
      <c r="E1262" s="74" t="n"/>
      <c r="F1262" s="74" t="n"/>
      <c r="G1262" s="74" t="inlineStr">
        <is>
          <t>kg</t>
        </is>
      </c>
      <c r="H1262" s="76" t="n"/>
      <c r="I1262" s="73" t="n"/>
      <c r="J1262" s="73" t="n"/>
      <c r="K1262" s="74" t="n"/>
      <c r="L1262" s="74" t="n"/>
      <c r="M1262" s="64" t="e">
        <v>#N/A</v>
      </c>
    </row>
    <row r="1263" ht="29.1" customHeight="1">
      <c r="A1263" s="74" t="n"/>
      <c r="B1263" s="74" t="n"/>
      <c r="C1263" s="74" t="n"/>
      <c r="D1263" s="74" t="n"/>
      <c r="E1263" s="74" t="n"/>
      <c r="F1263" s="74" t="n"/>
      <c r="G1263" s="74" t="inlineStr">
        <is>
          <t>kg</t>
        </is>
      </c>
      <c r="H1263" s="76" t="n"/>
      <c r="I1263" s="73" t="n"/>
      <c r="J1263" s="73" t="n"/>
      <c r="K1263" s="74" t="n"/>
      <c r="L1263" s="74" t="n"/>
      <c r="M1263" s="64" t="e">
        <v>#N/A</v>
      </c>
    </row>
    <row r="1264" ht="29.1" customHeight="1">
      <c r="A1264" s="74" t="n"/>
      <c r="B1264" s="74" t="n"/>
      <c r="C1264" s="74" t="n"/>
      <c r="D1264" s="74" t="n"/>
      <c r="E1264" s="74" t="n"/>
      <c r="F1264" s="74" t="n"/>
      <c r="G1264" s="74" t="inlineStr">
        <is>
          <t>kg</t>
        </is>
      </c>
      <c r="H1264" s="76" t="n"/>
      <c r="I1264" s="73" t="n"/>
      <c r="J1264" s="73" t="n"/>
      <c r="K1264" s="74" t="n"/>
      <c r="L1264" s="74" t="n"/>
      <c r="M1264" s="64" t="e">
        <v>#N/A</v>
      </c>
    </row>
    <row r="1265" ht="29.1" customHeight="1">
      <c r="A1265" s="74" t="n"/>
      <c r="B1265" s="74" t="n"/>
      <c r="C1265" s="74" t="n"/>
      <c r="D1265" s="74" t="n"/>
      <c r="E1265" s="74" t="n"/>
      <c r="F1265" s="74" t="n"/>
      <c r="G1265" s="74" t="inlineStr">
        <is>
          <t>kg</t>
        </is>
      </c>
      <c r="H1265" s="76" t="n"/>
      <c r="I1265" s="73" t="n"/>
      <c r="J1265" s="73" t="n"/>
      <c r="K1265" s="74" t="n"/>
      <c r="L1265" s="74" t="n"/>
      <c r="M1265" s="64" t="e">
        <v>#N/A</v>
      </c>
    </row>
    <row r="1266" ht="29.1" customHeight="1">
      <c r="A1266" s="74" t="n"/>
      <c r="B1266" s="74" t="n"/>
      <c r="C1266" s="74" t="n"/>
      <c r="D1266" s="74" t="n"/>
      <c r="E1266" s="74" t="n"/>
      <c r="F1266" s="74" t="n"/>
      <c r="G1266" s="74" t="inlineStr">
        <is>
          <t>kg</t>
        </is>
      </c>
      <c r="H1266" s="76" t="n"/>
      <c r="I1266" s="73" t="n"/>
      <c r="J1266" s="73" t="n"/>
      <c r="K1266" s="74" t="n"/>
      <c r="L1266" s="74" t="n"/>
      <c r="M1266" s="64" t="e">
        <v>#N/A</v>
      </c>
    </row>
    <row r="1267" ht="29.1" customHeight="1">
      <c r="A1267" s="74" t="n"/>
      <c r="B1267" s="74" t="n"/>
      <c r="C1267" s="74" t="n"/>
      <c r="D1267" s="74" t="n"/>
      <c r="E1267" s="74" t="n"/>
      <c r="F1267" s="74" t="n"/>
      <c r="G1267" s="74" t="inlineStr">
        <is>
          <t>kg</t>
        </is>
      </c>
      <c r="H1267" s="76" t="n"/>
      <c r="I1267" s="73" t="n"/>
      <c r="J1267" s="73" t="n"/>
      <c r="K1267" s="74" t="n"/>
      <c r="L1267" s="74" t="n"/>
      <c r="M1267" s="64" t="e">
        <v>#N/A</v>
      </c>
    </row>
    <row r="1268" ht="29.1" customHeight="1">
      <c r="A1268" s="74" t="n"/>
      <c r="B1268" s="74" t="n"/>
      <c r="C1268" s="74" t="n"/>
      <c r="D1268" s="74" t="n"/>
      <c r="E1268" s="74" t="n"/>
      <c r="F1268" s="74" t="n"/>
      <c r="G1268" s="74" t="inlineStr">
        <is>
          <t>kg</t>
        </is>
      </c>
      <c r="H1268" s="76" t="n"/>
      <c r="I1268" s="73" t="n"/>
      <c r="J1268" s="73" t="n"/>
      <c r="K1268" s="74" t="n"/>
      <c r="L1268" s="74" t="n"/>
      <c r="M1268" s="64" t="e">
        <v>#N/A</v>
      </c>
    </row>
    <row r="1269" ht="29.1" customHeight="1">
      <c r="A1269" s="74" t="n"/>
      <c r="B1269" s="74" t="n"/>
      <c r="C1269" s="74" t="n"/>
      <c r="D1269" s="74" t="n"/>
      <c r="E1269" s="74" t="n"/>
      <c r="F1269" s="74" t="n"/>
      <c r="G1269" s="74" t="inlineStr">
        <is>
          <t>kg</t>
        </is>
      </c>
      <c r="H1269" s="76" t="n"/>
      <c r="I1269" s="73" t="n"/>
      <c r="J1269" s="73" t="n"/>
      <c r="K1269" s="74" t="n"/>
      <c r="L1269" s="74" t="n"/>
      <c r="M1269" s="64" t="e">
        <v>#N/A</v>
      </c>
    </row>
    <row r="1270" ht="29.1" customHeight="1">
      <c r="A1270" s="74" t="n"/>
      <c r="B1270" s="74" t="n"/>
      <c r="C1270" s="74" t="n"/>
      <c r="D1270" s="74" t="n"/>
      <c r="E1270" s="74" t="n"/>
      <c r="F1270" s="74" t="n"/>
      <c r="G1270" s="74" t="inlineStr">
        <is>
          <t>kg</t>
        </is>
      </c>
      <c r="H1270" s="76" t="n"/>
      <c r="I1270" s="73" t="n"/>
      <c r="J1270" s="73" t="n"/>
      <c r="K1270" s="74" t="n"/>
      <c r="L1270" s="74" t="n"/>
      <c r="M1270" s="64" t="e">
        <v>#N/A</v>
      </c>
    </row>
    <row r="1271" ht="29.1" customHeight="1">
      <c r="A1271" s="74" t="n"/>
      <c r="B1271" s="74" t="n"/>
      <c r="C1271" s="74" t="n"/>
      <c r="D1271" s="74" t="n"/>
      <c r="E1271" s="74" t="n"/>
      <c r="F1271" s="74" t="n"/>
      <c r="G1271" s="74" t="inlineStr">
        <is>
          <t>kg</t>
        </is>
      </c>
      <c r="H1271" s="76" t="n"/>
      <c r="I1271" s="73" t="n"/>
      <c r="J1271" s="73" t="n"/>
      <c r="K1271" s="74" t="n"/>
      <c r="L1271" s="74" t="n"/>
      <c r="M1271" s="64" t="e">
        <v>#N/A</v>
      </c>
    </row>
    <row r="1272" ht="29.1" customHeight="1">
      <c r="A1272" s="74" t="n"/>
      <c r="B1272" s="74" t="n"/>
      <c r="C1272" s="74" t="n"/>
      <c r="D1272" s="74" t="n"/>
      <c r="E1272" s="74" t="n"/>
      <c r="F1272" s="74" t="n"/>
      <c r="G1272" s="74" t="inlineStr">
        <is>
          <t>kg</t>
        </is>
      </c>
      <c r="H1272" s="76" t="n"/>
      <c r="I1272" s="73" t="n"/>
      <c r="J1272" s="73" t="n"/>
      <c r="K1272" s="74" t="n"/>
      <c r="L1272" s="74" t="n"/>
      <c r="M1272" s="64" t="e">
        <v>#N/A</v>
      </c>
    </row>
    <row r="1273" ht="29.1" customHeight="1">
      <c r="A1273" s="74" t="n"/>
      <c r="B1273" s="74" t="n"/>
      <c r="C1273" s="74" t="n"/>
      <c r="D1273" s="74" t="n"/>
      <c r="E1273" s="74" t="n"/>
      <c r="F1273" s="74" t="n"/>
      <c r="G1273" s="74" t="inlineStr">
        <is>
          <t>kg</t>
        </is>
      </c>
      <c r="H1273" s="76" t="n"/>
      <c r="I1273" s="73" t="n"/>
      <c r="J1273" s="73" t="n"/>
      <c r="K1273" s="74" t="n"/>
      <c r="L1273" s="74" t="n"/>
      <c r="M1273" s="64" t="e">
        <v>#N/A</v>
      </c>
    </row>
    <row r="1274" ht="29.1" customHeight="1">
      <c r="A1274" s="74" t="n"/>
      <c r="B1274" s="74" t="n"/>
      <c r="C1274" s="74" t="n"/>
      <c r="D1274" s="74" t="n"/>
      <c r="E1274" s="74" t="n"/>
      <c r="F1274" s="74" t="n"/>
      <c r="G1274" s="74" t="inlineStr">
        <is>
          <t>kg</t>
        </is>
      </c>
      <c r="H1274" s="76" t="n"/>
      <c r="I1274" s="73" t="n"/>
      <c r="J1274" s="73" t="n"/>
      <c r="K1274" s="74" t="n"/>
      <c r="L1274" s="74" t="n"/>
      <c r="M1274" s="64" t="e">
        <v>#N/A</v>
      </c>
    </row>
    <row r="1275" ht="29.1" customHeight="1">
      <c r="A1275" s="74" t="n"/>
      <c r="B1275" s="74" t="n"/>
      <c r="C1275" s="74" t="n"/>
      <c r="D1275" s="74" t="n"/>
      <c r="E1275" s="74" t="n"/>
      <c r="F1275" s="74" t="n"/>
      <c r="G1275" s="74" t="inlineStr">
        <is>
          <t>kg</t>
        </is>
      </c>
      <c r="H1275" s="76" t="n"/>
      <c r="I1275" s="73" t="n"/>
      <c r="J1275" s="73" t="n"/>
      <c r="K1275" s="74" t="n"/>
      <c r="L1275" s="74" t="n"/>
      <c r="M1275" s="64" t="e">
        <v>#N/A</v>
      </c>
    </row>
    <row r="1276" ht="29.1" customHeight="1">
      <c r="A1276" s="74" t="n"/>
      <c r="B1276" s="74" t="n"/>
      <c r="C1276" s="74" t="n"/>
      <c r="D1276" s="74" t="n"/>
      <c r="E1276" s="74" t="n"/>
      <c r="F1276" s="74" t="n"/>
      <c r="G1276" s="74" t="inlineStr">
        <is>
          <t>kg</t>
        </is>
      </c>
      <c r="H1276" s="76" t="n"/>
      <c r="I1276" s="73" t="n"/>
      <c r="J1276" s="73" t="n"/>
      <c r="K1276" s="74" t="n"/>
      <c r="L1276" s="74" t="n"/>
      <c r="M1276" s="64" t="e">
        <v>#N/A</v>
      </c>
    </row>
    <row r="1277" ht="29.1" customHeight="1">
      <c r="A1277" s="74" t="n"/>
      <c r="B1277" s="74" t="n"/>
      <c r="C1277" s="74" t="n"/>
      <c r="D1277" s="74" t="n"/>
      <c r="E1277" s="74" t="n"/>
      <c r="F1277" s="74" t="n"/>
      <c r="G1277" s="74" t="inlineStr">
        <is>
          <t>kg</t>
        </is>
      </c>
      <c r="H1277" s="76" t="n"/>
      <c r="I1277" s="73" t="n"/>
      <c r="J1277" s="73" t="n"/>
      <c r="K1277" s="74" t="n"/>
      <c r="L1277" s="74" t="n"/>
      <c r="M1277" s="64" t="e">
        <v>#N/A</v>
      </c>
    </row>
    <row r="1278" ht="29.1" customHeight="1">
      <c r="A1278" s="74" t="n"/>
      <c r="B1278" s="74" t="n"/>
      <c r="C1278" s="74" t="n"/>
      <c r="D1278" s="74" t="n"/>
      <c r="E1278" s="74" t="n"/>
      <c r="F1278" s="74" t="n"/>
      <c r="G1278" s="74" t="inlineStr">
        <is>
          <t>kg</t>
        </is>
      </c>
      <c r="H1278" s="76" t="n"/>
      <c r="I1278" s="73" t="n"/>
      <c r="J1278" s="73" t="n"/>
      <c r="K1278" s="74" t="n"/>
      <c r="L1278" s="74" t="n"/>
      <c r="M1278" s="64" t="e">
        <v>#N/A</v>
      </c>
    </row>
    <row r="1279" ht="29.1" customHeight="1">
      <c r="A1279" s="74" t="n"/>
      <c r="B1279" s="74" t="n"/>
      <c r="C1279" s="74" t="n"/>
      <c r="D1279" s="74" t="n"/>
      <c r="E1279" s="74" t="n"/>
      <c r="F1279" s="74" t="n"/>
      <c r="G1279" s="74" t="inlineStr">
        <is>
          <t>kg</t>
        </is>
      </c>
      <c r="H1279" s="76" t="n"/>
      <c r="I1279" s="73" t="n"/>
      <c r="J1279" s="73" t="n"/>
      <c r="K1279" s="74" t="n"/>
      <c r="L1279" s="74" t="n"/>
      <c r="M1279" s="64" t="e">
        <v>#N/A</v>
      </c>
    </row>
    <row r="1280" ht="29.1" customHeight="1">
      <c r="A1280" s="74" t="n"/>
      <c r="B1280" s="74" t="n"/>
      <c r="C1280" s="74" t="n"/>
      <c r="D1280" s="74" t="n"/>
      <c r="E1280" s="74" t="n"/>
      <c r="F1280" s="74" t="n"/>
      <c r="G1280" s="74" t="inlineStr">
        <is>
          <t>kg</t>
        </is>
      </c>
      <c r="H1280" s="76" t="n"/>
      <c r="I1280" s="73" t="n"/>
      <c r="J1280" s="73" t="n"/>
      <c r="K1280" s="74" t="n"/>
      <c r="L1280" s="74" t="n"/>
      <c r="M1280" s="64" t="e">
        <v>#N/A</v>
      </c>
    </row>
    <row r="1281" ht="29.1" customHeight="1">
      <c r="A1281" s="74" t="n"/>
      <c r="B1281" s="74" t="n"/>
      <c r="C1281" s="74" t="n"/>
      <c r="D1281" s="74" t="n"/>
      <c r="E1281" s="74" t="n"/>
      <c r="F1281" s="74" t="n"/>
      <c r="G1281" s="74" t="inlineStr">
        <is>
          <t>kg</t>
        </is>
      </c>
      <c r="H1281" s="76" t="n"/>
      <c r="I1281" s="73" t="n"/>
      <c r="J1281" s="73" t="n"/>
      <c r="K1281" s="74" t="n"/>
      <c r="L1281" s="74" t="n"/>
      <c r="M1281" s="64" t="e">
        <v>#N/A</v>
      </c>
    </row>
    <row r="1282" ht="29.1" customHeight="1">
      <c r="A1282" s="74" t="n"/>
      <c r="B1282" s="74" t="n"/>
      <c r="C1282" s="74" t="n"/>
      <c r="D1282" s="74" t="n"/>
      <c r="E1282" s="74" t="n"/>
      <c r="F1282" s="74" t="n"/>
      <c r="G1282" s="74" t="inlineStr">
        <is>
          <t>kg</t>
        </is>
      </c>
      <c r="H1282" s="76" t="n"/>
      <c r="I1282" s="73" t="n"/>
      <c r="J1282" s="73" t="n"/>
      <c r="K1282" s="74" t="n"/>
      <c r="L1282" s="74" t="n"/>
      <c r="M1282" s="64" t="e">
        <v>#N/A</v>
      </c>
    </row>
    <row r="1283" ht="29.1" customHeight="1">
      <c r="A1283" s="74" t="n"/>
      <c r="B1283" s="74" t="n"/>
      <c r="C1283" s="74" t="n"/>
      <c r="D1283" s="74" t="n"/>
      <c r="E1283" s="74" t="n"/>
      <c r="F1283" s="74" t="n"/>
      <c r="G1283" s="74" t="inlineStr">
        <is>
          <t>kg</t>
        </is>
      </c>
      <c r="H1283" s="76" t="n"/>
      <c r="I1283" s="73" t="n"/>
      <c r="J1283" s="73" t="n"/>
      <c r="K1283" s="74" t="n"/>
      <c r="L1283" s="74" t="n"/>
      <c r="M1283" s="64" t="e">
        <v>#N/A</v>
      </c>
    </row>
    <row r="1284" ht="29.1" customHeight="1">
      <c r="A1284" s="74" t="n"/>
      <c r="B1284" s="74" t="n"/>
      <c r="C1284" s="74" t="n"/>
      <c r="D1284" s="74" t="n"/>
      <c r="E1284" s="74" t="n"/>
      <c r="F1284" s="74" t="n"/>
      <c r="G1284" s="74" t="inlineStr">
        <is>
          <t>kg</t>
        </is>
      </c>
      <c r="H1284" s="76" t="n"/>
      <c r="I1284" s="73" t="n"/>
      <c r="J1284" s="73" t="n"/>
      <c r="K1284" s="74" t="n"/>
      <c r="L1284" s="74" t="n"/>
      <c r="M1284" s="64" t="e">
        <v>#N/A</v>
      </c>
    </row>
    <row r="1285" ht="29.1" customHeight="1">
      <c r="A1285" s="74" t="n"/>
      <c r="B1285" s="74" t="n"/>
      <c r="C1285" s="74" t="n"/>
      <c r="D1285" s="74" t="n"/>
      <c r="E1285" s="74" t="n"/>
      <c r="F1285" s="74" t="n"/>
      <c r="G1285" s="74" t="inlineStr">
        <is>
          <t>kg</t>
        </is>
      </c>
      <c r="H1285" s="76" t="n"/>
      <c r="I1285" s="73" t="n"/>
      <c r="J1285" s="73" t="n"/>
      <c r="K1285" s="74" t="n"/>
      <c r="L1285" s="74" t="n"/>
      <c r="M1285" s="64" t="e">
        <v>#N/A</v>
      </c>
    </row>
    <row r="1286" ht="29.1" customHeight="1">
      <c r="A1286" s="74" t="n"/>
      <c r="B1286" s="74" t="n"/>
      <c r="C1286" s="74" t="n"/>
      <c r="D1286" s="74" t="n"/>
      <c r="E1286" s="74" t="n"/>
      <c r="F1286" s="74" t="n"/>
      <c r="G1286" s="74" t="inlineStr">
        <is>
          <t>kg</t>
        </is>
      </c>
      <c r="H1286" s="76" t="n"/>
      <c r="I1286" s="73" t="n"/>
      <c r="J1286" s="73" t="n"/>
      <c r="K1286" s="74" t="n"/>
      <c r="L1286" s="74" t="n"/>
      <c r="M1286" s="64" t="e">
        <v>#N/A</v>
      </c>
    </row>
    <row r="1287" ht="29.1" customHeight="1">
      <c r="A1287" s="74" t="n"/>
      <c r="B1287" s="74" t="n"/>
      <c r="C1287" s="74" t="n"/>
      <c r="D1287" s="74" t="n"/>
      <c r="E1287" s="74" t="n"/>
      <c r="F1287" s="74" t="n"/>
      <c r="G1287" s="74" t="inlineStr">
        <is>
          <t>kg</t>
        </is>
      </c>
      <c r="H1287" s="76" t="n"/>
      <c r="I1287" s="73" t="n"/>
      <c r="J1287" s="73" t="n"/>
      <c r="K1287" s="74" t="n"/>
      <c r="L1287" s="74" t="n"/>
      <c r="M1287" s="64" t="e">
        <v>#N/A</v>
      </c>
    </row>
    <row r="1288" ht="29.1" customHeight="1">
      <c r="A1288" s="74" t="n"/>
      <c r="B1288" s="74" t="n"/>
      <c r="C1288" s="74" t="n"/>
      <c r="D1288" s="74" t="n"/>
      <c r="E1288" s="74" t="n"/>
      <c r="F1288" s="74" t="n"/>
      <c r="G1288" s="74" t="inlineStr">
        <is>
          <t>kg</t>
        </is>
      </c>
      <c r="H1288" s="76" t="n"/>
      <c r="I1288" s="73" t="n"/>
      <c r="J1288" s="73" t="n"/>
      <c r="K1288" s="74" t="n"/>
      <c r="L1288" s="74" t="n"/>
      <c r="M1288" s="64" t="e">
        <v>#N/A</v>
      </c>
    </row>
    <row r="1289" ht="29.1" customHeight="1">
      <c r="A1289" s="74" t="n"/>
      <c r="B1289" s="74" t="n"/>
      <c r="C1289" s="74" t="n"/>
      <c r="D1289" s="74" t="n"/>
      <c r="E1289" s="74" t="n"/>
      <c r="F1289" s="74" t="n"/>
      <c r="G1289" s="74" t="inlineStr">
        <is>
          <t>kg</t>
        </is>
      </c>
      <c r="H1289" s="76" t="n"/>
      <c r="I1289" s="73" t="n"/>
      <c r="J1289" s="73" t="n"/>
      <c r="K1289" s="74" t="n"/>
      <c r="L1289" s="74" t="n"/>
      <c r="M1289" s="64" t="e">
        <v>#N/A</v>
      </c>
    </row>
    <row r="1290" ht="29.1" customHeight="1">
      <c r="A1290" s="74" t="n"/>
      <c r="B1290" s="74" t="n"/>
      <c r="C1290" s="74" t="n"/>
      <c r="D1290" s="74" t="n"/>
      <c r="E1290" s="74" t="n"/>
      <c r="F1290" s="74" t="n"/>
      <c r="G1290" s="74" t="inlineStr">
        <is>
          <t>kg</t>
        </is>
      </c>
      <c r="H1290" s="76" t="n"/>
      <c r="I1290" s="73" t="n"/>
      <c r="J1290" s="73" t="n"/>
      <c r="K1290" s="74" t="n"/>
      <c r="L1290" s="74" t="n"/>
      <c r="M1290" s="64" t="e">
        <v>#N/A</v>
      </c>
    </row>
    <row r="1291" ht="29.1" customHeight="1">
      <c r="A1291" s="74" t="n"/>
      <c r="B1291" s="74" t="n"/>
      <c r="C1291" s="74" t="n"/>
      <c r="D1291" s="74" t="n"/>
      <c r="E1291" s="74" t="n"/>
      <c r="F1291" s="74" t="n"/>
      <c r="G1291" s="74" t="inlineStr">
        <is>
          <t>kg</t>
        </is>
      </c>
      <c r="H1291" s="76" t="n"/>
      <c r="I1291" s="73" t="n"/>
      <c r="J1291" s="73" t="n"/>
      <c r="K1291" s="74" t="n"/>
      <c r="L1291" s="74" t="n"/>
      <c r="M1291" s="64" t="e">
        <v>#N/A</v>
      </c>
    </row>
    <row r="1292" ht="29.1" customHeight="1">
      <c r="A1292" s="74" t="n"/>
      <c r="B1292" s="74" t="n"/>
      <c r="C1292" s="74" t="n"/>
      <c r="D1292" s="74" t="n"/>
      <c r="E1292" s="74" t="n"/>
      <c r="F1292" s="74" t="n"/>
      <c r="G1292" s="74" t="inlineStr">
        <is>
          <t>kg</t>
        </is>
      </c>
      <c r="H1292" s="76" t="n"/>
      <c r="I1292" s="73" t="n"/>
      <c r="J1292" s="73" t="n"/>
      <c r="K1292" s="74" t="n"/>
      <c r="L1292" s="74" t="n"/>
      <c r="M1292" s="64" t="e">
        <v>#N/A</v>
      </c>
    </row>
    <row r="1293" ht="29.1" customHeight="1">
      <c r="A1293" s="74" t="n"/>
      <c r="B1293" s="74" t="n"/>
      <c r="C1293" s="74" t="n"/>
      <c r="D1293" s="74" t="n"/>
      <c r="E1293" s="74" t="n"/>
      <c r="F1293" s="74" t="n"/>
      <c r="G1293" s="74" t="inlineStr">
        <is>
          <t>kg</t>
        </is>
      </c>
      <c r="H1293" s="76" t="n"/>
      <c r="I1293" s="73" t="n"/>
      <c r="J1293" s="73" t="n"/>
      <c r="K1293" s="74" t="n"/>
      <c r="L1293" s="74" t="n"/>
      <c r="M1293" s="64" t="e">
        <v>#N/A</v>
      </c>
    </row>
    <row r="1294" ht="29.1" customHeight="1">
      <c r="A1294" s="74" t="n"/>
      <c r="B1294" s="74" t="n"/>
      <c r="C1294" s="74" t="n"/>
      <c r="D1294" s="74" t="n"/>
      <c r="E1294" s="74" t="n"/>
      <c r="F1294" s="74" t="n"/>
      <c r="G1294" s="74" t="inlineStr">
        <is>
          <t>kg</t>
        </is>
      </c>
      <c r="H1294" s="76" t="n"/>
      <c r="I1294" s="73" t="n"/>
      <c r="J1294" s="73" t="n"/>
      <c r="K1294" s="74" t="n"/>
      <c r="L1294" s="74" t="n"/>
      <c r="M1294" s="64" t="e">
        <v>#N/A</v>
      </c>
    </row>
    <row r="1295" ht="29.1" customHeight="1">
      <c r="A1295" s="74" t="n"/>
      <c r="B1295" s="74" t="n"/>
      <c r="C1295" s="74" t="n"/>
      <c r="D1295" s="74" t="n"/>
      <c r="E1295" s="74" t="n"/>
      <c r="F1295" s="74" t="n"/>
      <c r="G1295" s="74" t="inlineStr">
        <is>
          <t>kg</t>
        </is>
      </c>
      <c r="H1295" s="76" t="n"/>
      <c r="I1295" s="73" t="n"/>
      <c r="J1295" s="73" t="n"/>
      <c r="K1295" s="74" t="n"/>
      <c r="L1295" s="74" t="n"/>
      <c r="M1295" s="64" t="e">
        <v>#N/A</v>
      </c>
    </row>
    <row r="1296" ht="29.1" customHeight="1">
      <c r="A1296" s="74" t="n"/>
      <c r="B1296" s="74" t="n"/>
      <c r="C1296" s="74" t="n"/>
      <c r="D1296" s="74" t="n"/>
      <c r="E1296" s="74" t="n"/>
      <c r="F1296" s="74" t="n"/>
      <c r="G1296" s="74" t="inlineStr">
        <is>
          <t>kg</t>
        </is>
      </c>
      <c r="H1296" s="76" t="n"/>
      <c r="I1296" s="73" t="n"/>
      <c r="J1296" s="73" t="n"/>
      <c r="K1296" s="74" t="n"/>
      <c r="L1296" s="74" t="n"/>
      <c r="M1296" s="64" t="e">
        <v>#N/A</v>
      </c>
    </row>
    <row r="1297" ht="29.1" customHeight="1">
      <c r="A1297" s="74" t="n"/>
      <c r="B1297" s="74" t="n"/>
      <c r="C1297" s="74" t="n"/>
      <c r="D1297" s="74" t="n"/>
      <c r="E1297" s="74" t="n"/>
      <c r="F1297" s="74" t="n"/>
      <c r="G1297" s="74" t="inlineStr">
        <is>
          <t>kg</t>
        </is>
      </c>
      <c r="H1297" s="76" t="n"/>
      <c r="I1297" s="73" t="n"/>
      <c r="J1297" s="73" t="n"/>
      <c r="K1297" s="74" t="n"/>
      <c r="L1297" s="74" t="n"/>
      <c r="M1297" s="64" t="e">
        <v>#N/A</v>
      </c>
    </row>
    <row r="1298" ht="29.1" customHeight="1">
      <c r="A1298" s="74" t="n"/>
      <c r="B1298" s="74" t="n"/>
      <c r="C1298" s="74" t="n"/>
      <c r="D1298" s="74" t="n"/>
      <c r="E1298" s="74" t="n"/>
      <c r="F1298" s="74" t="n"/>
      <c r="G1298" s="74" t="inlineStr">
        <is>
          <t>kg</t>
        </is>
      </c>
      <c r="H1298" s="76" t="n"/>
      <c r="I1298" s="73" t="n"/>
      <c r="J1298" s="73" t="n"/>
      <c r="K1298" s="74" t="n"/>
      <c r="L1298" s="74" t="n"/>
      <c r="M1298" s="64" t="e">
        <v>#N/A</v>
      </c>
    </row>
    <row r="1299" ht="29.1" customHeight="1">
      <c r="A1299" s="74" t="n"/>
      <c r="B1299" s="74" t="n"/>
      <c r="C1299" s="74" t="n"/>
      <c r="D1299" s="74" t="n"/>
      <c r="E1299" s="74" t="n"/>
      <c r="F1299" s="74" t="n"/>
      <c r="G1299" s="74" t="inlineStr">
        <is>
          <t>kg</t>
        </is>
      </c>
      <c r="H1299" s="76" t="n"/>
      <c r="I1299" s="73" t="n"/>
      <c r="J1299" s="73" t="n"/>
      <c r="K1299" s="74" t="n"/>
      <c r="L1299" s="74" t="n"/>
      <c r="M1299" s="64" t="e">
        <v>#N/A</v>
      </c>
    </row>
    <row r="1300" ht="29.1" customHeight="1">
      <c r="A1300" s="74" t="n"/>
      <c r="B1300" s="74" t="n"/>
      <c r="C1300" s="74" t="n"/>
      <c r="D1300" s="74" t="n"/>
      <c r="E1300" s="74" t="n"/>
      <c r="F1300" s="74" t="n"/>
      <c r="G1300" s="74" t="inlineStr">
        <is>
          <t>kg</t>
        </is>
      </c>
      <c r="H1300" s="76" t="n"/>
      <c r="I1300" s="73" t="n"/>
      <c r="J1300" s="73" t="n"/>
      <c r="K1300" s="74" t="n"/>
      <c r="L1300" s="74" t="n"/>
      <c r="M1300" s="64" t="e">
        <v>#N/A</v>
      </c>
    </row>
    <row r="1301" ht="29.1" customHeight="1">
      <c r="A1301" s="74" t="n"/>
      <c r="B1301" s="74" t="n"/>
      <c r="C1301" s="74" t="n"/>
      <c r="D1301" s="74" t="n"/>
      <c r="E1301" s="74" t="n"/>
      <c r="F1301" s="74" t="n"/>
      <c r="G1301" s="74" t="inlineStr">
        <is>
          <t>kg</t>
        </is>
      </c>
      <c r="H1301" s="76" t="n"/>
      <c r="I1301" s="73" t="n"/>
      <c r="J1301" s="73" t="n"/>
      <c r="K1301" s="74" t="n"/>
      <c r="L1301" s="74" t="n"/>
      <c r="M1301" s="64" t="e">
        <v>#N/A</v>
      </c>
    </row>
    <row r="1302" ht="29.1" customHeight="1">
      <c r="A1302" s="74" t="n"/>
      <c r="B1302" s="74" t="n"/>
      <c r="C1302" s="74" t="n"/>
      <c r="D1302" s="74" t="n"/>
      <c r="E1302" s="74" t="n"/>
      <c r="F1302" s="74" t="n"/>
      <c r="G1302" s="74" t="inlineStr">
        <is>
          <t>kg</t>
        </is>
      </c>
      <c r="H1302" s="76" t="n"/>
      <c r="I1302" s="73" t="n"/>
      <c r="J1302" s="73" t="n"/>
      <c r="K1302" s="74" t="n"/>
      <c r="L1302" s="74" t="n"/>
      <c r="M1302" s="64" t="e">
        <v>#N/A</v>
      </c>
    </row>
    <row r="1303" ht="29.1" customHeight="1">
      <c r="A1303" s="74" t="n"/>
      <c r="B1303" s="74" t="n"/>
      <c r="C1303" s="74" t="n"/>
      <c r="D1303" s="74" t="n"/>
      <c r="E1303" s="74" t="n"/>
      <c r="F1303" s="74" t="n"/>
      <c r="G1303" s="74" t="inlineStr">
        <is>
          <t>kg</t>
        </is>
      </c>
      <c r="H1303" s="76" t="n"/>
      <c r="I1303" s="73" t="n"/>
      <c r="J1303" s="73" t="n"/>
      <c r="K1303" s="74" t="n"/>
      <c r="L1303" s="74" t="n"/>
      <c r="M1303" s="64" t="e">
        <v>#N/A</v>
      </c>
    </row>
    <row r="1304" ht="29.1" customHeight="1">
      <c r="A1304" s="74" t="n"/>
      <c r="B1304" s="74" t="n"/>
      <c r="C1304" s="74" t="n"/>
      <c r="D1304" s="74" t="n"/>
      <c r="E1304" s="74" t="n"/>
      <c r="F1304" s="74" t="n"/>
      <c r="G1304" s="74" t="inlineStr">
        <is>
          <t>kg</t>
        </is>
      </c>
      <c r="H1304" s="76" t="n"/>
      <c r="I1304" s="73" t="n"/>
      <c r="J1304" s="73" t="n"/>
      <c r="K1304" s="74" t="n"/>
      <c r="L1304" s="74" t="n"/>
      <c r="M1304" s="64" t="e">
        <v>#N/A</v>
      </c>
    </row>
    <row r="1305" ht="29.1" customHeight="1">
      <c r="A1305" s="74" t="n"/>
      <c r="B1305" s="74" t="n"/>
      <c r="C1305" s="74" t="n"/>
      <c r="D1305" s="74" t="n"/>
      <c r="E1305" s="74" t="n"/>
      <c r="F1305" s="74" t="n"/>
      <c r="G1305" s="74" t="inlineStr">
        <is>
          <t>kg</t>
        </is>
      </c>
      <c r="H1305" s="76" t="n"/>
      <c r="I1305" s="73" t="n"/>
      <c r="J1305" s="73" t="n"/>
      <c r="K1305" s="74" t="n"/>
      <c r="L1305" s="74" t="n"/>
      <c r="M1305" s="64" t="e">
        <v>#N/A</v>
      </c>
    </row>
    <row r="1306" ht="29.1" customHeight="1">
      <c r="A1306" s="74" t="n"/>
      <c r="B1306" s="74" t="n"/>
      <c r="C1306" s="74" t="n"/>
      <c r="D1306" s="74" t="n"/>
      <c r="E1306" s="74" t="n"/>
      <c r="F1306" s="74" t="n"/>
      <c r="G1306" s="74" t="inlineStr">
        <is>
          <t>kg</t>
        </is>
      </c>
      <c r="H1306" s="76" t="n"/>
      <c r="I1306" s="73" t="n"/>
      <c r="J1306" s="73" t="n"/>
      <c r="K1306" s="74" t="n"/>
      <c r="L1306" s="74" t="n"/>
      <c r="M1306" s="64" t="e">
        <v>#N/A</v>
      </c>
    </row>
    <row r="1307" ht="29.1" customHeight="1">
      <c r="A1307" s="74" t="n"/>
      <c r="B1307" s="74" t="n"/>
      <c r="C1307" s="74" t="n"/>
      <c r="D1307" s="74" t="n"/>
      <c r="E1307" s="74" t="n"/>
      <c r="F1307" s="74" t="n"/>
      <c r="G1307" s="74" t="inlineStr">
        <is>
          <t>kg</t>
        </is>
      </c>
      <c r="H1307" s="76" t="n"/>
      <c r="I1307" s="73" t="n"/>
      <c r="J1307" s="73" t="n"/>
      <c r="K1307" s="74" t="n"/>
      <c r="L1307" s="74" t="n"/>
      <c r="M1307" s="64" t="e">
        <v>#N/A</v>
      </c>
    </row>
    <row r="1308" ht="29.1" customHeight="1">
      <c r="A1308" s="74" t="n"/>
      <c r="B1308" s="74" t="n"/>
      <c r="C1308" s="74" t="n"/>
      <c r="D1308" s="74" t="n"/>
      <c r="E1308" s="74" t="n"/>
      <c r="F1308" s="74" t="n"/>
      <c r="G1308" s="74" t="inlineStr">
        <is>
          <t>kg</t>
        </is>
      </c>
      <c r="H1308" s="76" t="n"/>
      <c r="I1308" s="73" t="n"/>
      <c r="J1308" s="73" t="n"/>
      <c r="K1308" s="74" t="n"/>
      <c r="L1308" s="74" t="n"/>
      <c r="M1308" s="64" t="e">
        <v>#N/A</v>
      </c>
    </row>
    <row r="1309" ht="29.1" customHeight="1">
      <c r="A1309" s="74" t="n"/>
      <c r="B1309" s="74" t="n"/>
      <c r="C1309" s="74" t="n"/>
      <c r="D1309" s="74" t="n"/>
      <c r="E1309" s="74" t="n"/>
      <c r="F1309" s="74" t="n"/>
      <c r="G1309" s="74" t="inlineStr">
        <is>
          <t>kg</t>
        </is>
      </c>
      <c r="H1309" s="76" t="n"/>
      <c r="I1309" s="73" t="n"/>
      <c r="J1309" s="73" t="n"/>
      <c r="K1309" s="74" t="n"/>
      <c r="L1309" s="74" t="n"/>
      <c r="M1309" s="64" t="e">
        <v>#N/A</v>
      </c>
    </row>
    <row r="1310" ht="29.1" customHeight="1">
      <c r="A1310" s="74" t="n"/>
      <c r="B1310" s="74" t="n"/>
      <c r="C1310" s="74" t="n"/>
      <c r="D1310" s="74" t="n"/>
      <c r="E1310" s="74" t="n"/>
      <c r="F1310" s="74" t="n"/>
      <c r="G1310" s="74" t="inlineStr">
        <is>
          <t>kg</t>
        </is>
      </c>
      <c r="H1310" s="76" t="n"/>
      <c r="I1310" s="73" t="n"/>
      <c r="J1310" s="73" t="n"/>
      <c r="K1310" s="74" t="n"/>
      <c r="L1310" s="74" t="n"/>
      <c r="M1310" s="64" t="e">
        <v>#N/A</v>
      </c>
    </row>
    <row r="1311" ht="29.1" customHeight="1">
      <c r="A1311" s="74" t="n"/>
      <c r="B1311" s="74" t="n"/>
      <c r="C1311" s="74" t="n"/>
      <c r="D1311" s="74" t="n"/>
      <c r="E1311" s="74" t="n"/>
      <c r="F1311" s="74" t="n"/>
      <c r="G1311" s="74" t="inlineStr">
        <is>
          <t>kg</t>
        </is>
      </c>
      <c r="H1311" s="76" t="n"/>
      <c r="I1311" s="73" t="n"/>
      <c r="J1311" s="73" t="n"/>
      <c r="K1311" s="74" t="n"/>
      <c r="L1311" s="74" t="n"/>
      <c r="M1311" s="64" t="e">
        <v>#N/A</v>
      </c>
    </row>
    <row r="1312" ht="29.1" customHeight="1">
      <c r="A1312" s="74" t="n"/>
      <c r="B1312" s="74" t="n"/>
      <c r="C1312" s="74" t="n"/>
      <c r="D1312" s="74" t="n"/>
      <c r="E1312" s="74" t="n"/>
      <c r="F1312" s="74" t="n"/>
      <c r="G1312" s="74" t="inlineStr">
        <is>
          <t>kg</t>
        </is>
      </c>
      <c r="H1312" s="76" t="n"/>
      <c r="I1312" s="73" t="n"/>
      <c r="J1312" s="73" t="n"/>
      <c r="K1312" s="74" t="n"/>
      <c r="L1312" s="74" t="n"/>
      <c r="M1312" s="64" t="e">
        <v>#N/A</v>
      </c>
    </row>
    <row r="1313" ht="29.1" customHeight="1">
      <c r="A1313" s="74" t="n"/>
      <c r="B1313" s="74" t="n"/>
      <c r="C1313" s="74" t="n"/>
      <c r="D1313" s="74" t="n"/>
      <c r="E1313" s="74" t="n"/>
      <c r="F1313" s="74" t="n"/>
      <c r="G1313" s="74" t="inlineStr">
        <is>
          <t>kg</t>
        </is>
      </c>
      <c r="H1313" s="76" t="n"/>
      <c r="I1313" s="73" t="n"/>
      <c r="J1313" s="73" t="n"/>
      <c r="K1313" s="74" t="n"/>
      <c r="L1313" s="74" t="n"/>
      <c r="M1313" s="64" t="e">
        <v>#N/A</v>
      </c>
    </row>
    <row r="1314" ht="29.1" customHeight="1">
      <c r="A1314" s="74" t="n"/>
      <c r="B1314" s="74" t="n"/>
      <c r="C1314" s="74" t="n"/>
      <c r="D1314" s="74" t="n"/>
      <c r="E1314" s="74" t="n"/>
      <c r="F1314" s="74" t="n"/>
      <c r="G1314" s="74" t="inlineStr">
        <is>
          <t>kg</t>
        </is>
      </c>
      <c r="H1314" s="76" t="n"/>
      <c r="I1314" s="73" t="n"/>
      <c r="J1314" s="73" t="n"/>
      <c r="K1314" s="74" t="n"/>
      <c r="L1314" s="74" t="n"/>
      <c r="M1314" s="64" t="e">
        <v>#N/A</v>
      </c>
    </row>
    <row r="1315" ht="29.1" customHeight="1">
      <c r="A1315" s="74" t="n"/>
      <c r="B1315" s="74" t="n"/>
      <c r="C1315" s="74" t="n"/>
      <c r="D1315" s="74" t="n"/>
      <c r="E1315" s="74" t="n"/>
      <c r="F1315" s="74" t="n"/>
      <c r="G1315" s="74" t="inlineStr">
        <is>
          <t>kg</t>
        </is>
      </c>
      <c r="H1315" s="76" t="n"/>
      <c r="I1315" s="73" t="n"/>
      <c r="J1315" s="73" t="n"/>
      <c r="K1315" s="74" t="n"/>
      <c r="L1315" s="74" t="n"/>
      <c r="M1315" s="64" t="e">
        <v>#N/A</v>
      </c>
    </row>
    <row r="1316" ht="29.1" customHeight="1">
      <c r="A1316" s="74" t="n"/>
      <c r="B1316" s="74" t="n"/>
      <c r="C1316" s="74" t="n"/>
      <c r="D1316" s="74" t="n"/>
      <c r="E1316" s="74" t="n"/>
      <c r="F1316" s="74" t="n"/>
      <c r="G1316" s="74" t="inlineStr">
        <is>
          <t>kg</t>
        </is>
      </c>
      <c r="H1316" s="76" t="n"/>
      <c r="I1316" s="73" t="n"/>
      <c r="J1316" s="73" t="n"/>
      <c r="K1316" s="74" t="n"/>
      <c r="L1316" s="74" t="n"/>
      <c r="M1316" s="64" t="e">
        <v>#N/A</v>
      </c>
    </row>
    <row r="1317" ht="29.1" customHeight="1">
      <c r="A1317" s="74" t="n"/>
      <c r="B1317" s="74" t="n"/>
      <c r="C1317" s="74" t="n"/>
      <c r="D1317" s="74" t="n"/>
      <c r="E1317" s="74" t="n"/>
      <c r="F1317" s="74" t="n"/>
      <c r="G1317" s="74" t="inlineStr">
        <is>
          <t>kg</t>
        </is>
      </c>
      <c r="H1317" s="76" t="n"/>
      <c r="I1317" s="73" t="n"/>
      <c r="J1317" s="73" t="n"/>
      <c r="K1317" s="74" t="n"/>
      <c r="L1317" s="74" t="n"/>
      <c r="M1317" s="64" t="e">
        <v>#N/A</v>
      </c>
    </row>
    <row r="1318" ht="15.6" customHeight="1">
      <c r="A1318" s="74" t="n"/>
      <c r="B1318" s="74" t="n"/>
      <c r="C1318" s="74" t="n"/>
      <c r="D1318" s="74" t="n"/>
      <c r="E1318" s="74" t="n"/>
      <c r="F1318" s="74" t="n"/>
      <c r="G1318" s="74" t="inlineStr">
        <is>
          <t>kg</t>
        </is>
      </c>
      <c r="H1318" s="76" t="n"/>
      <c r="I1318" s="73" t="n"/>
      <c r="J1318" s="73" t="n"/>
      <c r="K1318" s="74" t="n"/>
      <c r="L1318" s="74" t="n"/>
      <c r="M1318" s="64" t="e">
        <v>#N/A</v>
      </c>
    </row>
    <row r="1319" ht="29.1" customHeight="1">
      <c r="A1319" s="74" t="n"/>
      <c r="B1319" s="74" t="n"/>
      <c r="C1319" s="74" t="n"/>
      <c r="D1319" s="74" t="n"/>
      <c r="E1319" s="74" t="n"/>
      <c r="F1319" s="74" t="n"/>
      <c r="G1319" s="74" t="inlineStr">
        <is>
          <t>kg</t>
        </is>
      </c>
      <c r="H1319" s="76" t="n"/>
      <c r="I1319" s="73" t="n"/>
      <c r="J1319" s="73" t="n"/>
      <c r="K1319" s="74" t="n"/>
      <c r="L1319" s="74" t="n"/>
      <c r="M1319" s="64" t="e">
        <v>#N/A</v>
      </c>
    </row>
    <row r="1320" ht="29.1" customHeight="1">
      <c r="A1320" s="74" t="n"/>
      <c r="B1320" s="74" t="n"/>
      <c r="C1320" s="74" t="n"/>
      <c r="D1320" s="74" t="n"/>
      <c r="E1320" s="74" t="n"/>
      <c r="F1320" s="74" t="n"/>
      <c r="G1320" s="74" t="inlineStr">
        <is>
          <t>kg</t>
        </is>
      </c>
      <c r="H1320" s="76" t="n"/>
      <c r="I1320" s="73" t="n"/>
      <c r="J1320" s="73" t="n"/>
      <c r="K1320" s="74" t="n"/>
      <c r="L1320" s="74" t="n"/>
      <c r="M1320" s="64" t="e">
        <v>#N/A</v>
      </c>
    </row>
    <row r="1321" ht="29.1" customHeight="1">
      <c r="A1321" s="74" t="n"/>
      <c r="B1321" s="74" t="n"/>
      <c r="C1321" s="74" t="n"/>
      <c r="D1321" s="74" t="n"/>
      <c r="E1321" s="74" t="n"/>
      <c r="F1321" s="74" t="n"/>
      <c r="G1321" s="74" t="inlineStr">
        <is>
          <t>kg</t>
        </is>
      </c>
      <c r="H1321" s="76" t="n"/>
      <c r="I1321" s="73" t="n"/>
      <c r="J1321" s="73" t="n"/>
      <c r="K1321" s="74" t="n"/>
      <c r="L1321" s="74" t="n"/>
      <c r="M1321" s="64" t="e">
        <v>#N/A</v>
      </c>
    </row>
    <row r="1322" ht="29.1" customHeight="1">
      <c r="A1322" s="74" t="n"/>
      <c r="B1322" s="74" t="n"/>
      <c r="C1322" s="74" t="n"/>
      <c r="D1322" s="74" t="n"/>
      <c r="E1322" s="74" t="n"/>
      <c r="F1322" s="74" t="n"/>
      <c r="G1322" s="74" t="inlineStr">
        <is>
          <t>kg</t>
        </is>
      </c>
      <c r="H1322" s="76" t="n"/>
      <c r="I1322" s="73" t="n"/>
      <c r="J1322" s="73" t="n"/>
      <c r="K1322" s="74" t="n"/>
      <c r="L1322" s="74" t="n"/>
      <c r="M1322" s="64" t="e">
        <v>#N/A</v>
      </c>
    </row>
    <row r="1323" ht="29.1" customHeight="1">
      <c r="A1323" s="74" t="n"/>
      <c r="B1323" s="74" t="n"/>
      <c r="C1323" s="74" t="n"/>
      <c r="D1323" s="74" t="n"/>
      <c r="E1323" s="74" t="n"/>
      <c r="F1323" s="74" t="n"/>
      <c r="G1323" s="74" t="inlineStr">
        <is>
          <t>kg</t>
        </is>
      </c>
      <c r="H1323" s="76" t="n"/>
      <c r="I1323" s="73" t="n"/>
      <c r="J1323" s="73" t="n"/>
      <c r="K1323" s="74" t="n"/>
      <c r="L1323" s="74" t="n"/>
      <c r="M1323" s="64" t="e">
        <v>#N/A</v>
      </c>
    </row>
    <row r="1324" ht="29.1" customHeight="1">
      <c r="A1324" s="74" t="n"/>
      <c r="B1324" s="74" t="n"/>
      <c r="C1324" s="74" t="n"/>
      <c r="D1324" s="74" t="n"/>
      <c r="E1324" s="74" t="n"/>
      <c r="F1324" s="74" t="n"/>
      <c r="G1324" s="74" t="inlineStr">
        <is>
          <t>kg</t>
        </is>
      </c>
      <c r="H1324" s="76" t="n"/>
      <c r="I1324" s="73" t="n"/>
      <c r="J1324" s="73" t="n"/>
      <c r="K1324" s="74" t="n"/>
      <c r="L1324" s="74" t="n"/>
      <c r="M1324" s="64" t="e">
        <v>#N/A</v>
      </c>
    </row>
    <row r="1325" ht="29.1" customHeight="1">
      <c r="A1325" s="74" t="n"/>
      <c r="B1325" s="74" t="n"/>
      <c r="C1325" s="74" t="n"/>
      <c r="D1325" s="74" t="n"/>
      <c r="E1325" s="74" t="n"/>
      <c r="F1325" s="74" t="n"/>
      <c r="G1325" s="74" t="inlineStr">
        <is>
          <t>kg</t>
        </is>
      </c>
      <c r="H1325" s="76" t="n"/>
      <c r="I1325" s="73" t="n"/>
      <c r="J1325" s="73" t="n"/>
      <c r="K1325" s="74" t="n"/>
      <c r="L1325" s="74" t="n"/>
      <c r="M1325" s="64" t="e">
        <v>#N/A</v>
      </c>
    </row>
    <row r="1326" ht="29.1" customHeight="1">
      <c r="A1326" s="74" t="n"/>
      <c r="B1326" s="74" t="n"/>
      <c r="C1326" s="74" t="n"/>
      <c r="D1326" s="74" t="n"/>
      <c r="E1326" s="74" t="n"/>
      <c r="F1326" s="74" t="n"/>
      <c r="G1326" s="74" t="inlineStr">
        <is>
          <t>kg</t>
        </is>
      </c>
      <c r="H1326" s="76" t="n"/>
      <c r="I1326" s="73" t="n"/>
      <c r="J1326" s="73" t="n"/>
      <c r="K1326" s="74" t="n"/>
      <c r="L1326" s="74" t="n"/>
      <c r="M1326" s="64" t="e">
        <v>#N/A</v>
      </c>
    </row>
    <row r="1327" ht="29.1" customHeight="1">
      <c r="A1327" s="74" t="n"/>
      <c r="B1327" s="74" t="n"/>
      <c r="C1327" s="74" t="n"/>
      <c r="D1327" s="74" t="n"/>
      <c r="E1327" s="74" t="n"/>
      <c r="F1327" s="74" t="n"/>
      <c r="G1327" s="74" t="inlineStr">
        <is>
          <t>kg</t>
        </is>
      </c>
      <c r="H1327" s="76" t="n"/>
      <c r="I1327" s="73" t="n"/>
      <c r="J1327" s="73" t="n"/>
      <c r="K1327" s="74" t="n"/>
      <c r="L1327" s="74" t="n"/>
      <c r="M1327" s="64" t="e">
        <v>#N/A</v>
      </c>
    </row>
    <row r="1328" ht="29.1" customHeight="1">
      <c r="A1328" s="74" t="n"/>
      <c r="B1328" s="74" t="n"/>
      <c r="C1328" s="74" t="n"/>
      <c r="D1328" s="74" t="n"/>
      <c r="E1328" s="74" t="n"/>
      <c r="F1328" s="74" t="n"/>
      <c r="G1328" s="74" t="inlineStr">
        <is>
          <t>kg</t>
        </is>
      </c>
      <c r="H1328" s="76" t="n"/>
      <c r="I1328" s="73" t="n"/>
      <c r="J1328" s="73" t="n"/>
      <c r="K1328" s="74" t="n"/>
      <c r="L1328" s="74" t="n"/>
      <c r="M1328" s="64" t="e">
        <v>#N/A</v>
      </c>
    </row>
    <row r="1329" ht="29.1" customHeight="1">
      <c r="A1329" s="74" t="n"/>
      <c r="B1329" s="74" t="n"/>
      <c r="C1329" s="74" t="n"/>
      <c r="D1329" s="74" t="n"/>
      <c r="E1329" s="74" t="n"/>
      <c r="F1329" s="74" t="n"/>
      <c r="G1329" s="74" t="inlineStr">
        <is>
          <t>kg</t>
        </is>
      </c>
      <c r="H1329" s="76" t="n"/>
      <c r="I1329" s="73" t="n"/>
      <c r="J1329" s="73" t="n"/>
      <c r="K1329" s="74" t="n"/>
      <c r="L1329" s="74" t="n"/>
      <c r="M1329" s="64" t="e">
        <v>#N/A</v>
      </c>
    </row>
    <row r="1330" ht="29.1" customHeight="1">
      <c r="A1330" s="74" t="n"/>
      <c r="B1330" s="74" t="n"/>
      <c r="C1330" s="74" t="n"/>
      <c r="D1330" s="74" t="n"/>
      <c r="E1330" s="74" t="n"/>
      <c r="F1330" s="74" t="n"/>
      <c r="G1330" s="74" t="inlineStr">
        <is>
          <t>kg</t>
        </is>
      </c>
      <c r="H1330" s="76" t="n"/>
      <c r="I1330" s="73" t="n"/>
      <c r="J1330" s="73" t="n"/>
      <c r="K1330" s="74" t="n"/>
      <c r="L1330" s="74" t="n"/>
      <c r="M1330" s="64" t="e">
        <v>#N/A</v>
      </c>
    </row>
    <row r="1331" ht="29.1" customHeight="1">
      <c r="A1331" s="74" t="n"/>
      <c r="B1331" s="74" t="n"/>
      <c r="C1331" s="74" t="n"/>
      <c r="D1331" s="74" t="n"/>
      <c r="E1331" s="74" t="n"/>
      <c r="F1331" s="74" t="n"/>
      <c r="G1331" s="74" t="inlineStr">
        <is>
          <t>kg</t>
        </is>
      </c>
      <c r="H1331" s="76" t="n"/>
      <c r="I1331" s="73" t="n"/>
      <c r="J1331" s="73" t="n"/>
      <c r="K1331" s="74" t="n"/>
      <c r="L1331" s="74" t="n"/>
      <c r="M1331" s="64" t="e">
        <v>#N/A</v>
      </c>
    </row>
    <row r="1332" ht="29.1" customHeight="1">
      <c r="A1332" s="74" t="n"/>
      <c r="B1332" s="74" t="n"/>
      <c r="C1332" s="74" t="n"/>
      <c r="D1332" s="74" t="n"/>
      <c r="E1332" s="74" t="n"/>
      <c r="F1332" s="74" t="n"/>
      <c r="G1332" s="74" t="inlineStr">
        <is>
          <t>kg</t>
        </is>
      </c>
      <c r="H1332" s="76" t="n"/>
      <c r="I1332" s="73" t="n"/>
      <c r="J1332" s="73" t="n"/>
      <c r="K1332" s="74" t="n"/>
      <c r="L1332" s="74" t="n"/>
      <c r="M1332" s="64" t="e">
        <v>#N/A</v>
      </c>
    </row>
    <row r="1333" ht="29.1" customHeight="1">
      <c r="A1333" s="74" t="n"/>
      <c r="B1333" s="74" t="n"/>
      <c r="C1333" s="74" t="n"/>
      <c r="D1333" s="74" t="n"/>
      <c r="E1333" s="74" t="n"/>
      <c r="F1333" s="74" t="n"/>
      <c r="G1333" s="74" t="inlineStr">
        <is>
          <t>kg</t>
        </is>
      </c>
      <c r="H1333" s="76" t="n"/>
      <c r="I1333" s="73" t="n"/>
      <c r="J1333" s="73" t="n"/>
      <c r="K1333" s="74" t="n"/>
      <c r="L1333" s="74" t="n"/>
      <c r="M1333" s="64" t="e">
        <v>#N/A</v>
      </c>
    </row>
    <row r="1334" ht="29.1" customHeight="1">
      <c r="A1334" s="74" t="n"/>
      <c r="B1334" s="74" t="n"/>
      <c r="C1334" s="74" t="n"/>
      <c r="D1334" s="74" t="n"/>
      <c r="E1334" s="74" t="n"/>
      <c r="F1334" s="74" t="n"/>
      <c r="G1334" s="74" t="inlineStr">
        <is>
          <t>kg</t>
        </is>
      </c>
      <c r="H1334" s="76" t="n"/>
      <c r="I1334" s="73" t="n"/>
      <c r="J1334" s="73" t="n"/>
      <c r="K1334" s="74" t="n"/>
      <c r="L1334" s="74" t="n"/>
      <c r="M1334" s="64" t="e">
        <v>#N/A</v>
      </c>
    </row>
    <row r="1335" ht="29.1" customHeight="1">
      <c r="A1335" s="74" t="n"/>
      <c r="B1335" s="74" t="n"/>
      <c r="C1335" s="74" t="n"/>
      <c r="D1335" s="74" t="n"/>
      <c r="E1335" s="74" t="n"/>
      <c r="F1335" s="74" t="n"/>
      <c r="G1335" s="74" t="inlineStr">
        <is>
          <t>kg</t>
        </is>
      </c>
      <c r="H1335" s="76" t="n"/>
      <c r="I1335" s="73" t="n"/>
      <c r="J1335" s="73" t="n"/>
      <c r="K1335" s="74" t="n"/>
      <c r="L1335" s="74" t="n"/>
      <c r="M1335" s="64" t="e">
        <v>#N/A</v>
      </c>
    </row>
    <row r="1336" ht="29.1" customHeight="1">
      <c r="A1336" s="74" t="n"/>
      <c r="B1336" s="74" t="n"/>
      <c r="C1336" s="74" t="n"/>
      <c r="D1336" s="74" t="n"/>
      <c r="E1336" s="74" t="n"/>
      <c r="F1336" s="74" t="n"/>
      <c r="G1336" s="74" t="inlineStr">
        <is>
          <t>kg</t>
        </is>
      </c>
      <c r="H1336" s="76" t="n"/>
      <c r="I1336" s="73" t="n"/>
      <c r="J1336" s="73" t="n"/>
      <c r="K1336" s="74" t="n"/>
      <c r="L1336" s="74" t="n"/>
      <c r="M1336" s="64" t="e">
        <v>#N/A</v>
      </c>
    </row>
    <row r="1337" ht="29.1" customHeight="1">
      <c r="A1337" s="74" t="n"/>
      <c r="B1337" s="74" t="n"/>
      <c r="C1337" s="74" t="n"/>
      <c r="D1337" s="74" t="n"/>
      <c r="E1337" s="74" t="n"/>
      <c r="F1337" s="74" t="n"/>
      <c r="G1337" s="74" t="inlineStr">
        <is>
          <t>kg</t>
        </is>
      </c>
      <c r="H1337" s="76" t="n"/>
      <c r="I1337" s="73" t="n"/>
      <c r="J1337" s="73" t="n"/>
      <c r="K1337" s="74" t="n"/>
      <c r="L1337" s="74" t="n"/>
      <c r="M1337" s="64" t="e">
        <v>#N/A</v>
      </c>
    </row>
    <row r="1338" ht="29.1" customHeight="1">
      <c r="A1338" s="74" t="n"/>
      <c r="B1338" s="74" t="n"/>
      <c r="C1338" s="74" t="n"/>
      <c r="D1338" s="74" t="n"/>
      <c r="E1338" s="74" t="n"/>
      <c r="F1338" s="74" t="n"/>
      <c r="G1338" s="74" t="inlineStr">
        <is>
          <t>kg</t>
        </is>
      </c>
      <c r="H1338" s="76" t="n"/>
      <c r="I1338" s="73" t="n"/>
      <c r="J1338" s="73" t="n"/>
      <c r="K1338" s="74" t="n"/>
      <c r="L1338" s="74" t="n"/>
      <c r="M1338" s="64" t="e">
        <v>#N/A</v>
      </c>
    </row>
    <row r="1339" ht="29.1" customHeight="1">
      <c r="A1339" s="74" t="n"/>
      <c r="B1339" s="74" t="n"/>
      <c r="C1339" s="74" t="n"/>
      <c r="D1339" s="74" t="n"/>
      <c r="E1339" s="74" t="n"/>
      <c r="F1339" s="74" t="n"/>
      <c r="G1339" s="74" t="inlineStr">
        <is>
          <t>kg</t>
        </is>
      </c>
      <c r="H1339" s="76" t="n"/>
      <c r="I1339" s="73" t="n"/>
      <c r="J1339" s="73" t="n"/>
      <c r="K1339" s="74" t="n"/>
      <c r="L1339" s="74" t="n"/>
      <c r="M1339" s="64" t="e">
        <v>#N/A</v>
      </c>
    </row>
    <row r="1340" ht="29.1" customHeight="1">
      <c r="A1340" s="74" t="n"/>
      <c r="B1340" s="74" t="n"/>
      <c r="C1340" s="74" t="n"/>
      <c r="D1340" s="74" t="n"/>
      <c r="E1340" s="74" t="n"/>
      <c r="F1340" s="74" t="n"/>
      <c r="G1340" s="74" t="inlineStr">
        <is>
          <t>kg</t>
        </is>
      </c>
      <c r="H1340" s="76" t="n"/>
      <c r="I1340" s="73" t="n"/>
      <c r="J1340" s="73" t="n"/>
      <c r="K1340" s="74" t="n"/>
      <c r="L1340" s="74" t="n"/>
      <c r="M1340" s="64" t="e">
        <v>#N/A</v>
      </c>
    </row>
    <row r="1341" ht="29.1" customHeight="1">
      <c r="A1341" s="74" t="n"/>
      <c r="B1341" s="74" t="n"/>
      <c r="C1341" s="74" t="n"/>
      <c r="D1341" s="74" t="n"/>
      <c r="E1341" s="74" t="n"/>
      <c r="F1341" s="74" t="n"/>
      <c r="G1341" s="74" t="inlineStr">
        <is>
          <t>kg</t>
        </is>
      </c>
      <c r="H1341" s="76" t="n"/>
      <c r="I1341" s="73" t="n"/>
      <c r="J1341" s="73" t="n"/>
      <c r="K1341" s="74" t="n"/>
      <c r="L1341" s="74" t="n"/>
      <c r="M1341" s="64" t="e">
        <v>#N/A</v>
      </c>
    </row>
    <row r="1342" ht="29.1" customHeight="1">
      <c r="A1342" s="74" t="n"/>
      <c r="B1342" s="74" t="n"/>
      <c r="C1342" s="74" t="n"/>
      <c r="D1342" s="74" t="n"/>
      <c r="E1342" s="74" t="n"/>
      <c r="F1342" s="74" t="n"/>
      <c r="G1342" s="74" t="inlineStr">
        <is>
          <t>kg</t>
        </is>
      </c>
      <c r="H1342" s="76" t="n"/>
      <c r="I1342" s="73" t="n"/>
      <c r="J1342" s="73" t="n"/>
      <c r="K1342" s="74" t="n"/>
      <c r="L1342" s="74" t="n"/>
      <c r="M1342" s="64" t="e">
        <v>#N/A</v>
      </c>
    </row>
    <row r="1343" ht="29.1" customHeight="1">
      <c r="A1343" s="74" t="n"/>
      <c r="B1343" s="74" t="n"/>
      <c r="C1343" s="74" t="n"/>
      <c r="D1343" s="74" t="n"/>
      <c r="E1343" s="74" t="n"/>
      <c r="F1343" s="74" t="n"/>
      <c r="G1343" s="74" t="inlineStr">
        <is>
          <t>kg</t>
        </is>
      </c>
      <c r="H1343" s="76" t="n"/>
      <c r="I1343" s="73" t="n"/>
      <c r="J1343" s="73" t="n"/>
      <c r="K1343" s="74" t="n"/>
      <c r="L1343" s="74" t="n"/>
      <c r="M1343" s="64" t="e">
        <v>#N/A</v>
      </c>
    </row>
    <row r="1344" ht="29.1" customHeight="1">
      <c r="A1344" s="74" t="n"/>
      <c r="B1344" s="74" t="n"/>
      <c r="C1344" s="74" t="n"/>
      <c r="D1344" s="74" t="n"/>
      <c r="E1344" s="74" t="n"/>
      <c r="F1344" s="74" t="n"/>
      <c r="G1344" s="74" t="inlineStr">
        <is>
          <t>kg</t>
        </is>
      </c>
      <c r="H1344" s="76" t="n"/>
      <c r="I1344" s="73" t="n"/>
      <c r="J1344" s="73" t="n"/>
      <c r="K1344" s="74" t="n"/>
      <c r="L1344" s="74" t="n"/>
      <c r="M1344" s="64" t="e">
        <v>#N/A</v>
      </c>
    </row>
    <row r="1345" ht="29.1" customHeight="1">
      <c r="A1345" s="74" t="n"/>
      <c r="B1345" s="74" t="n"/>
      <c r="C1345" s="74" t="n"/>
      <c r="D1345" s="74" t="n"/>
      <c r="E1345" s="74" t="n"/>
      <c r="F1345" s="74" t="n"/>
      <c r="G1345" s="74" t="inlineStr">
        <is>
          <t>kg</t>
        </is>
      </c>
      <c r="H1345" s="76" t="n"/>
      <c r="I1345" s="73" t="n"/>
      <c r="J1345" s="73" t="n"/>
      <c r="K1345" s="74" t="n"/>
      <c r="L1345" s="74" t="n"/>
      <c r="M1345" s="64" t="e">
        <v>#N/A</v>
      </c>
    </row>
    <row r="1346" ht="29.1" customHeight="1">
      <c r="A1346" s="74" t="n"/>
      <c r="B1346" s="74" t="n"/>
      <c r="C1346" s="74" t="n"/>
      <c r="D1346" s="74" t="n"/>
      <c r="E1346" s="74" t="n"/>
      <c r="F1346" s="74" t="n"/>
      <c r="G1346" s="74" t="inlineStr">
        <is>
          <t>kg</t>
        </is>
      </c>
      <c r="H1346" s="76" t="n"/>
      <c r="I1346" s="73" t="n"/>
      <c r="J1346" s="73" t="n"/>
      <c r="K1346" s="74" t="n"/>
      <c r="L1346" s="74" t="n"/>
      <c r="M1346" s="64" t="e">
        <v>#N/A</v>
      </c>
    </row>
    <row r="1347" ht="29.1" customHeight="1">
      <c r="A1347" s="74" t="n"/>
      <c r="B1347" s="74" t="n"/>
      <c r="C1347" s="74" t="n"/>
      <c r="D1347" s="74" t="n"/>
      <c r="E1347" s="74" t="n"/>
      <c r="F1347" s="74" t="n"/>
      <c r="G1347" s="74" t="inlineStr">
        <is>
          <t>kg</t>
        </is>
      </c>
      <c r="H1347" s="76" t="n"/>
      <c r="I1347" s="73" t="n"/>
      <c r="J1347" s="73" t="n"/>
      <c r="K1347" s="74" t="n"/>
      <c r="L1347" s="74" t="n"/>
      <c r="M1347" s="64" t="e">
        <v>#N/A</v>
      </c>
    </row>
    <row r="1348" ht="29.1" customHeight="1">
      <c r="A1348" s="74" t="n"/>
      <c r="B1348" s="74" t="n"/>
      <c r="C1348" s="74" t="n"/>
      <c r="D1348" s="74" t="n"/>
      <c r="E1348" s="74" t="n"/>
      <c r="F1348" s="74" t="n"/>
      <c r="G1348" s="74" t="inlineStr">
        <is>
          <t>kg</t>
        </is>
      </c>
      <c r="H1348" s="76" t="n"/>
      <c r="I1348" s="73" t="n"/>
      <c r="J1348" s="73" t="n"/>
      <c r="K1348" s="74" t="n"/>
      <c r="L1348" s="74" t="n"/>
      <c r="M1348" s="64" t="e">
        <v>#N/A</v>
      </c>
    </row>
    <row r="1349" ht="29.1" customHeight="1">
      <c r="A1349" s="74" t="n"/>
      <c r="B1349" s="74" t="n"/>
      <c r="C1349" s="74" t="n"/>
      <c r="D1349" s="74" t="n"/>
      <c r="E1349" s="74" t="n"/>
      <c r="F1349" s="74" t="n"/>
      <c r="G1349" s="74" t="inlineStr">
        <is>
          <t>kg</t>
        </is>
      </c>
      <c r="H1349" s="76" t="n"/>
      <c r="I1349" s="73" t="n"/>
      <c r="J1349" s="73" t="n"/>
      <c r="K1349" s="74" t="n"/>
      <c r="L1349" s="74" t="n"/>
      <c r="M1349" s="64" t="e">
        <v>#N/A</v>
      </c>
    </row>
    <row r="1350" ht="29.1" customHeight="1">
      <c r="A1350" s="74" t="n"/>
      <c r="B1350" s="74" t="n"/>
      <c r="C1350" s="74" t="n"/>
      <c r="D1350" s="74" t="n"/>
      <c r="E1350" s="74" t="n"/>
      <c r="F1350" s="74" t="n"/>
      <c r="G1350" s="74" t="inlineStr">
        <is>
          <t>kg</t>
        </is>
      </c>
      <c r="H1350" s="76" t="n"/>
      <c r="I1350" s="73" t="n"/>
      <c r="J1350" s="73" t="n"/>
      <c r="K1350" s="74" t="n"/>
      <c r="L1350" s="74" t="n"/>
      <c r="M1350" s="64" t="e">
        <v>#N/A</v>
      </c>
    </row>
    <row r="1351" ht="29.1" customHeight="1">
      <c r="A1351" s="74" t="n"/>
      <c r="B1351" s="74" t="n"/>
      <c r="C1351" s="74" t="n"/>
      <c r="D1351" s="74" t="n"/>
      <c r="E1351" s="74" t="n"/>
      <c r="F1351" s="74" t="n"/>
      <c r="G1351" s="74" t="inlineStr">
        <is>
          <t>kg</t>
        </is>
      </c>
      <c r="H1351" s="76" t="n"/>
      <c r="I1351" s="73" t="n"/>
      <c r="J1351" s="73" t="n"/>
      <c r="K1351" s="74" t="n"/>
      <c r="L1351" s="74" t="n"/>
      <c r="M1351" s="64" t="e">
        <v>#N/A</v>
      </c>
    </row>
    <row r="1352" ht="29.1" customHeight="1">
      <c r="A1352" s="74" t="n"/>
      <c r="B1352" s="74" t="n"/>
      <c r="C1352" s="74" t="n"/>
      <c r="D1352" s="74" t="n"/>
      <c r="E1352" s="74" t="n"/>
      <c r="F1352" s="74" t="n"/>
      <c r="G1352" s="74" t="inlineStr">
        <is>
          <t>kg</t>
        </is>
      </c>
      <c r="H1352" s="76" t="n"/>
      <c r="I1352" s="73" t="n"/>
      <c r="J1352" s="73" t="n"/>
      <c r="K1352" s="74" t="n"/>
      <c r="L1352" s="74" t="n"/>
      <c r="M1352" s="64" t="e">
        <v>#N/A</v>
      </c>
    </row>
    <row r="1353" ht="29.1" customHeight="1">
      <c r="A1353" s="74" t="n"/>
      <c r="B1353" s="74" t="n"/>
      <c r="C1353" s="74" t="n"/>
      <c r="D1353" s="74" t="n"/>
      <c r="E1353" s="74" t="n"/>
      <c r="F1353" s="74" t="n"/>
      <c r="G1353" s="74" t="inlineStr">
        <is>
          <t>kg</t>
        </is>
      </c>
      <c r="H1353" s="76" t="n"/>
      <c r="I1353" s="73" t="n"/>
      <c r="J1353" s="73" t="n"/>
      <c r="K1353" s="74" t="n"/>
      <c r="L1353" s="74" t="n"/>
      <c r="M1353" s="64" t="e">
        <v>#N/A</v>
      </c>
    </row>
    <row r="1354" ht="29.1" customHeight="1">
      <c r="A1354" s="74" t="n"/>
      <c r="B1354" s="74" t="n"/>
      <c r="C1354" s="74" t="n"/>
      <c r="D1354" s="74" t="n"/>
      <c r="E1354" s="74" t="n"/>
      <c r="F1354" s="74" t="n"/>
      <c r="G1354" s="74" t="inlineStr">
        <is>
          <t>kg</t>
        </is>
      </c>
      <c r="H1354" s="76" t="n"/>
      <c r="I1354" s="73" t="n"/>
      <c r="J1354" s="73" t="n"/>
      <c r="K1354" s="74" t="n"/>
      <c r="L1354" s="74" t="n"/>
      <c r="M1354" s="64" t="e">
        <v>#N/A</v>
      </c>
    </row>
    <row r="1355" ht="29.1" customHeight="1">
      <c r="A1355" s="74" t="n"/>
      <c r="B1355" s="74" t="n"/>
      <c r="C1355" s="74" t="n"/>
      <c r="D1355" s="74" t="n"/>
      <c r="E1355" s="74" t="n"/>
      <c r="F1355" s="74" t="n"/>
      <c r="G1355" s="74" t="inlineStr">
        <is>
          <t>kg</t>
        </is>
      </c>
      <c r="H1355" s="76" t="n"/>
      <c r="I1355" s="73" t="n"/>
      <c r="J1355" s="73" t="n"/>
      <c r="K1355" s="74" t="n"/>
      <c r="L1355" s="74" t="n"/>
      <c r="M1355" s="64" t="e">
        <v>#N/A</v>
      </c>
    </row>
    <row r="1356" ht="29.1" customHeight="1">
      <c r="A1356" s="74" t="n"/>
      <c r="B1356" s="74" t="n"/>
      <c r="C1356" s="74" t="n"/>
      <c r="D1356" s="74" t="n"/>
      <c r="E1356" s="74" t="n"/>
      <c r="F1356" s="74" t="n"/>
      <c r="G1356" s="74" t="inlineStr">
        <is>
          <t>kg</t>
        </is>
      </c>
      <c r="H1356" s="76" t="n"/>
      <c r="I1356" s="73" t="n"/>
      <c r="J1356" s="73" t="n"/>
      <c r="K1356" s="74" t="n"/>
      <c r="L1356" s="74" t="n"/>
      <c r="M1356" s="64" t="e">
        <v>#N/A</v>
      </c>
    </row>
    <row r="1357" ht="29.1" customHeight="1">
      <c r="A1357" s="74" t="n"/>
      <c r="B1357" s="74" t="n"/>
      <c r="C1357" s="74" t="n"/>
      <c r="D1357" s="74" t="n"/>
      <c r="E1357" s="74" t="n"/>
      <c r="F1357" s="74" t="n"/>
      <c r="G1357" s="74" t="inlineStr">
        <is>
          <t>kg</t>
        </is>
      </c>
      <c r="H1357" s="76" t="n"/>
      <c r="I1357" s="73" t="n"/>
      <c r="J1357" s="73" t="n"/>
      <c r="K1357" s="74" t="n"/>
      <c r="L1357" s="74" t="n"/>
      <c r="M1357" s="64" t="e">
        <v>#N/A</v>
      </c>
    </row>
    <row r="1358" ht="29.1" customHeight="1">
      <c r="A1358" s="74" t="n"/>
      <c r="B1358" s="74" t="n"/>
      <c r="C1358" s="74" t="n"/>
      <c r="D1358" s="74" t="n"/>
      <c r="E1358" s="74" t="n"/>
      <c r="F1358" s="74" t="n"/>
      <c r="G1358" s="74" t="inlineStr">
        <is>
          <t>kg</t>
        </is>
      </c>
      <c r="H1358" s="76" t="n"/>
      <c r="I1358" s="73" t="n"/>
      <c r="J1358" s="73" t="n"/>
      <c r="K1358" s="74" t="n"/>
      <c r="L1358" s="74" t="n"/>
      <c r="M1358" s="64" t="e">
        <v>#N/A</v>
      </c>
    </row>
    <row r="1359" ht="29.1" customHeight="1">
      <c r="A1359" s="74" t="n"/>
      <c r="B1359" s="74" t="n"/>
      <c r="C1359" s="74" t="n"/>
      <c r="D1359" s="74" t="n"/>
      <c r="E1359" s="74" t="n"/>
      <c r="F1359" s="74" t="n"/>
      <c r="G1359" s="74" t="inlineStr">
        <is>
          <t>kg</t>
        </is>
      </c>
      <c r="H1359" s="76" t="n"/>
      <c r="I1359" s="73" t="n"/>
      <c r="J1359" s="73" t="n"/>
      <c r="K1359" s="74" t="n"/>
      <c r="L1359" s="74" t="n"/>
      <c r="M1359" s="64" t="e">
        <v>#N/A</v>
      </c>
    </row>
    <row r="1360" ht="29.1" customHeight="1">
      <c r="A1360" s="74" t="n"/>
      <c r="B1360" s="74" t="n"/>
      <c r="C1360" s="74" t="n"/>
      <c r="D1360" s="74" t="n"/>
      <c r="E1360" s="74" t="n"/>
      <c r="F1360" s="74" t="n"/>
      <c r="G1360" s="74" t="inlineStr">
        <is>
          <t>kg</t>
        </is>
      </c>
      <c r="H1360" s="76" t="n"/>
      <c r="I1360" s="73" t="n"/>
      <c r="J1360" s="73" t="n"/>
      <c r="K1360" s="74" t="n"/>
      <c r="L1360" s="74" t="n"/>
      <c r="M1360" s="64" t="e">
        <v>#N/A</v>
      </c>
    </row>
    <row r="1361" ht="29.1" customHeight="1">
      <c r="A1361" s="74" t="n"/>
      <c r="B1361" s="74" t="n"/>
      <c r="C1361" s="74" t="n"/>
      <c r="D1361" s="74" t="n"/>
      <c r="E1361" s="74" t="n"/>
      <c r="F1361" s="74" t="n"/>
      <c r="G1361" s="74" t="inlineStr">
        <is>
          <t>kg</t>
        </is>
      </c>
      <c r="H1361" s="76" t="n"/>
      <c r="I1361" s="73" t="n"/>
      <c r="J1361" s="73" t="n"/>
      <c r="K1361" s="74" t="n"/>
      <c r="L1361" s="74" t="n"/>
      <c r="M1361" s="64" t="e">
        <v>#N/A</v>
      </c>
    </row>
    <row r="1362" ht="29.1" customHeight="1">
      <c r="A1362" s="74" t="n"/>
      <c r="B1362" s="74" t="n"/>
      <c r="C1362" s="74" t="n"/>
      <c r="D1362" s="74" t="n"/>
      <c r="E1362" s="74" t="n"/>
      <c r="F1362" s="74" t="n"/>
      <c r="G1362" s="74" t="inlineStr">
        <is>
          <t>kg</t>
        </is>
      </c>
      <c r="H1362" s="76" t="n"/>
      <c r="I1362" s="73" t="n"/>
      <c r="J1362" s="73" t="n"/>
      <c r="K1362" s="74" t="n"/>
      <c r="L1362" s="74" t="n"/>
      <c r="M1362" s="64" t="e">
        <v>#N/A</v>
      </c>
    </row>
    <row r="1363" ht="29.1" customHeight="1">
      <c r="A1363" s="74" t="n"/>
      <c r="B1363" s="74" t="n"/>
      <c r="C1363" s="74" t="n"/>
      <c r="D1363" s="74" t="n"/>
      <c r="E1363" s="74" t="n"/>
      <c r="F1363" s="74" t="n"/>
      <c r="G1363" s="74" t="inlineStr">
        <is>
          <t>kg</t>
        </is>
      </c>
      <c r="H1363" s="76" t="n"/>
      <c r="I1363" s="73" t="n"/>
      <c r="J1363" s="73" t="n"/>
      <c r="K1363" s="74" t="n"/>
      <c r="L1363" s="74" t="n"/>
      <c r="M1363" s="64" t="e">
        <v>#N/A</v>
      </c>
    </row>
    <row r="1364" ht="29.1" customHeight="1">
      <c r="A1364" s="74" t="n"/>
      <c r="B1364" s="74" t="n"/>
      <c r="C1364" s="74" t="n"/>
      <c r="D1364" s="74" t="n"/>
      <c r="E1364" s="74" t="n"/>
      <c r="F1364" s="74" t="n"/>
      <c r="G1364" s="74" t="inlineStr">
        <is>
          <t>kg</t>
        </is>
      </c>
      <c r="H1364" s="76" t="n"/>
      <c r="I1364" s="73" t="n"/>
      <c r="J1364" s="73" t="n"/>
      <c r="K1364" s="74" t="n"/>
      <c r="L1364" s="74" t="n"/>
      <c r="M1364" s="64" t="e">
        <v>#N/A</v>
      </c>
    </row>
    <row r="1365" ht="29.1" customHeight="1">
      <c r="A1365" s="74" t="n"/>
      <c r="B1365" s="74" t="n"/>
      <c r="C1365" s="74" t="n"/>
      <c r="D1365" s="74" t="n"/>
      <c r="E1365" s="74" t="n"/>
      <c r="F1365" s="74" t="n"/>
      <c r="G1365" s="74" t="inlineStr">
        <is>
          <t>kg</t>
        </is>
      </c>
      <c r="H1365" s="76" t="n"/>
      <c r="I1365" s="73" t="n"/>
      <c r="J1365" s="73" t="n"/>
      <c r="K1365" s="74" t="n"/>
      <c r="L1365" s="74" t="n"/>
      <c r="M1365" s="64" t="e">
        <v>#N/A</v>
      </c>
    </row>
    <row r="1366" ht="29.1" customHeight="1">
      <c r="A1366" s="74" t="n"/>
      <c r="B1366" s="74" t="n"/>
      <c r="C1366" s="74" t="n"/>
      <c r="D1366" s="74" t="n"/>
      <c r="E1366" s="74" t="n"/>
      <c r="F1366" s="74" t="n"/>
      <c r="G1366" s="74" t="inlineStr">
        <is>
          <t>kg</t>
        </is>
      </c>
      <c r="H1366" s="76" t="n"/>
      <c r="I1366" s="73" t="n"/>
      <c r="J1366" s="73" t="n"/>
      <c r="K1366" s="74" t="n"/>
      <c r="L1366" s="74" t="n"/>
      <c r="M1366" s="64" t="e">
        <v>#N/A</v>
      </c>
    </row>
    <row r="1367" ht="29.1" customHeight="1">
      <c r="A1367" s="74" t="n"/>
      <c r="B1367" s="74" t="n"/>
      <c r="C1367" s="74" t="n"/>
      <c r="D1367" s="74" t="n"/>
      <c r="E1367" s="74" t="n"/>
      <c r="F1367" s="74" t="n"/>
      <c r="G1367" s="74" t="inlineStr">
        <is>
          <t>kg</t>
        </is>
      </c>
      <c r="H1367" s="76" t="n"/>
      <c r="I1367" s="73" t="n"/>
      <c r="J1367" s="73" t="n"/>
      <c r="K1367" s="74" t="n"/>
      <c r="L1367" s="74" t="n"/>
      <c r="M1367" s="64" t="e">
        <v>#N/A</v>
      </c>
    </row>
    <row r="1368" ht="29.1" customHeight="1">
      <c r="A1368" s="74" t="n"/>
      <c r="B1368" s="74" t="n"/>
      <c r="C1368" s="74" t="n"/>
      <c r="D1368" s="74" t="n"/>
      <c r="E1368" s="74" t="n"/>
      <c r="F1368" s="74" t="n"/>
      <c r="G1368" s="74" t="inlineStr">
        <is>
          <t>kg</t>
        </is>
      </c>
      <c r="H1368" s="76" t="n"/>
      <c r="I1368" s="73" t="n"/>
      <c r="J1368" s="73" t="n"/>
      <c r="K1368" s="74" t="n"/>
      <c r="L1368" s="74" t="n"/>
      <c r="M1368" s="64" t="e">
        <v>#N/A</v>
      </c>
    </row>
    <row r="1369" ht="29.1" customHeight="1">
      <c r="A1369" s="74" t="n"/>
      <c r="B1369" s="74" t="n"/>
      <c r="C1369" s="74" t="n"/>
      <c r="D1369" s="74" t="n"/>
      <c r="E1369" s="74" t="n"/>
      <c r="F1369" s="74" t="n"/>
      <c r="G1369" s="74" t="inlineStr">
        <is>
          <t>kg</t>
        </is>
      </c>
      <c r="H1369" s="76" t="n"/>
      <c r="I1369" s="73" t="n"/>
      <c r="J1369" s="73" t="n"/>
      <c r="K1369" s="74" t="n"/>
      <c r="L1369" s="74" t="n"/>
      <c r="M1369" s="64" t="e">
        <v>#N/A</v>
      </c>
    </row>
    <row r="1370" ht="29.1" customHeight="1">
      <c r="A1370" s="74" t="n"/>
      <c r="B1370" s="74" t="n"/>
      <c r="C1370" s="74" t="n"/>
      <c r="D1370" s="74" t="n"/>
      <c r="E1370" s="74" t="n"/>
      <c r="F1370" s="74" t="n"/>
      <c r="G1370" s="74" t="inlineStr">
        <is>
          <t>kg</t>
        </is>
      </c>
      <c r="H1370" s="76" t="n"/>
      <c r="I1370" s="73" t="n"/>
      <c r="J1370" s="73" t="n"/>
      <c r="K1370" s="74" t="n"/>
      <c r="L1370" s="74" t="n"/>
      <c r="M1370" s="64" t="e">
        <v>#N/A</v>
      </c>
    </row>
    <row r="1371" ht="29.1" customHeight="1">
      <c r="A1371" s="74" t="n"/>
      <c r="B1371" s="74" t="n"/>
      <c r="C1371" s="74" t="n"/>
      <c r="D1371" s="74" t="n"/>
      <c r="E1371" s="74" t="n"/>
      <c r="F1371" s="74" t="n"/>
      <c r="G1371" s="74" t="inlineStr">
        <is>
          <t>kg</t>
        </is>
      </c>
      <c r="H1371" s="76" t="n"/>
      <c r="I1371" s="73" t="n"/>
      <c r="J1371" s="73" t="n"/>
      <c r="K1371" s="74" t="n"/>
      <c r="L1371" s="74" t="n"/>
      <c r="M1371" s="64" t="e">
        <v>#N/A</v>
      </c>
    </row>
    <row r="1372" ht="29.1" customHeight="1">
      <c r="A1372" s="74" t="n"/>
      <c r="B1372" s="74" t="n"/>
      <c r="C1372" s="74" t="n"/>
      <c r="D1372" s="74" t="n"/>
      <c r="E1372" s="74" t="n"/>
      <c r="F1372" s="74" t="n"/>
      <c r="G1372" s="74" t="inlineStr">
        <is>
          <t>kg</t>
        </is>
      </c>
      <c r="H1372" s="76" t="n"/>
      <c r="I1372" s="73" t="n"/>
      <c r="J1372" s="73" t="n"/>
      <c r="K1372" s="74" t="n"/>
      <c r="L1372" s="74" t="n"/>
      <c r="M1372" s="64" t="e">
        <v>#N/A</v>
      </c>
    </row>
    <row r="1373" ht="29.1" customHeight="1">
      <c r="A1373" s="74" t="n"/>
      <c r="B1373" s="74" t="n"/>
      <c r="C1373" s="74" t="n"/>
      <c r="D1373" s="74" t="n"/>
      <c r="E1373" s="74" t="n"/>
      <c r="F1373" s="74" t="n"/>
      <c r="G1373" s="74" t="inlineStr">
        <is>
          <t>kg</t>
        </is>
      </c>
      <c r="H1373" s="76" t="n"/>
      <c r="I1373" s="73" t="n"/>
      <c r="J1373" s="73" t="n"/>
      <c r="K1373" s="74" t="n"/>
      <c r="L1373" s="74" t="n"/>
      <c r="M1373" s="64" t="e">
        <v>#N/A</v>
      </c>
    </row>
    <row r="1374" ht="29.1" customHeight="1">
      <c r="A1374" s="74" t="n"/>
      <c r="B1374" s="74" t="n"/>
      <c r="C1374" s="74" t="n"/>
      <c r="D1374" s="74" t="n"/>
      <c r="E1374" s="74" t="n"/>
      <c r="F1374" s="74" t="n"/>
      <c r="G1374" s="74" t="inlineStr">
        <is>
          <t>kg</t>
        </is>
      </c>
      <c r="H1374" s="76" t="n"/>
      <c r="I1374" s="73" t="n"/>
      <c r="J1374" s="73" t="n"/>
      <c r="K1374" s="74" t="n"/>
      <c r="L1374" s="74" t="n"/>
      <c r="M1374" s="64" t="e">
        <v>#N/A</v>
      </c>
    </row>
    <row r="1375" ht="29.1" customHeight="1">
      <c r="A1375" s="74" t="n"/>
      <c r="B1375" s="74" t="n"/>
      <c r="C1375" s="74" t="n"/>
      <c r="D1375" s="74" t="n"/>
      <c r="E1375" s="74" t="n"/>
      <c r="F1375" s="74" t="n"/>
      <c r="G1375" s="74" t="inlineStr">
        <is>
          <t>kg</t>
        </is>
      </c>
      <c r="H1375" s="76" t="n"/>
      <c r="I1375" s="73" t="n"/>
      <c r="J1375" s="73" t="n"/>
      <c r="K1375" s="74" t="n"/>
      <c r="L1375" s="74" t="n"/>
      <c r="M1375" s="64" t="e">
        <v>#N/A</v>
      </c>
    </row>
    <row r="1376" ht="29.1" customHeight="1">
      <c r="A1376" s="74" t="n"/>
      <c r="B1376" s="74" t="n"/>
      <c r="C1376" s="74" t="n"/>
      <c r="D1376" s="74" t="n"/>
      <c r="E1376" s="74" t="n"/>
      <c r="F1376" s="74" t="n"/>
      <c r="G1376" s="74" t="inlineStr">
        <is>
          <t>kg</t>
        </is>
      </c>
      <c r="H1376" s="76" t="n"/>
      <c r="I1376" s="73" t="n"/>
      <c r="J1376" s="73" t="n"/>
      <c r="K1376" s="74" t="n"/>
      <c r="L1376" s="74" t="n"/>
      <c r="M1376" s="64" t="e">
        <v>#N/A</v>
      </c>
    </row>
    <row r="1377" ht="29.1" customHeight="1">
      <c r="A1377" s="74" t="n"/>
      <c r="B1377" s="74" t="n"/>
      <c r="C1377" s="74" t="n"/>
      <c r="D1377" s="74" t="n"/>
      <c r="E1377" s="74" t="n"/>
      <c r="F1377" s="74" t="n"/>
      <c r="G1377" s="74" t="inlineStr">
        <is>
          <t>kg</t>
        </is>
      </c>
      <c r="H1377" s="76" t="n"/>
      <c r="I1377" s="73" t="n"/>
      <c r="J1377" s="73" t="n"/>
      <c r="K1377" s="74" t="n"/>
      <c r="L1377" s="74" t="n"/>
      <c r="M1377" s="64" t="e">
        <v>#N/A</v>
      </c>
    </row>
    <row r="1378" ht="29.1" customHeight="1">
      <c r="A1378" s="74" t="n"/>
      <c r="B1378" s="74" t="n"/>
      <c r="C1378" s="74" t="n"/>
      <c r="D1378" s="74" t="n"/>
      <c r="E1378" s="74" t="n"/>
      <c r="F1378" s="74" t="n"/>
      <c r="G1378" s="74" t="inlineStr">
        <is>
          <t>kg</t>
        </is>
      </c>
      <c r="H1378" s="76" t="n"/>
      <c r="I1378" s="73" t="n"/>
      <c r="J1378" s="73" t="n"/>
      <c r="K1378" s="74" t="n"/>
      <c r="L1378" s="74" t="n"/>
      <c r="M1378" s="64" t="e">
        <v>#N/A</v>
      </c>
    </row>
    <row r="1379" ht="29.1" customHeight="1">
      <c r="A1379" s="74" t="n"/>
      <c r="B1379" s="74" t="n"/>
      <c r="C1379" s="74" t="n"/>
      <c r="D1379" s="74" t="n"/>
      <c r="E1379" s="74" t="n"/>
      <c r="F1379" s="74" t="n"/>
      <c r="G1379" s="74" t="inlineStr">
        <is>
          <t>kg</t>
        </is>
      </c>
      <c r="H1379" s="76" t="n"/>
      <c r="I1379" s="73" t="n"/>
      <c r="J1379" s="73" t="n"/>
      <c r="K1379" s="74" t="n"/>
      <c r="L1379" s="74" t="n"/>
      <c r="M1379" s="64" t="e">
        <v>#N/A</v>
      </c>
    </row>
    <row r="1380" ht="29.1" customHeight="1">
      <c r="A1380" s="74" t="n"/>
      <c r="B1380" s="74" t="n"/>
      <c r="C1380" s="74" t="n"/>
      <c r="D1380" s="74" t="n"/>
      <c r="E1380" s="74" t="n"/>
      <c r="F1380" s="74" t="n"/>
      <c r="G1380" s="74" t="inlineStr">
        <is>
          <t>kg</t>
        </is>
      </c>
      <c r="H1380" s="76" t="n"/>
      <c r="I1380" s="73" t="n"/>
      <c r="J1380" s="73" t="n"/>
      <c r="K1380" s="74" t="n"/>
      <c r="L1380" s="74" t="n"/>
      <c r="M1380" s="64" t="e">
        <v>#N/A</v>
      </c>
    </row>
    <row r="1381" ht="29.1" customHeight="1">
      <c r="A1381" s="74" t="n"/>
      <c r="B1381" s="74" t="n"/>
      <c r="C1381" s="74" t="n"/>
      <c r="D1381" s="74" t="n"/>
      <c r="E1381" s="74" t="n"/>
      <c r="F1381" s="74" t="n"/>
      <c r="G1381" s="74" t="inlineStr">
        <is>
          <t>kg</t>
        </is>
      </c>
      <c r="H1381" s="76" t="n"/>
      <c r="I1381" s="73" t="n"/>
      <c r="J1381" s="73" t="n"/>
      <c r="K1381" s="74" t="n"/>
      <c r="L1381" s="74" t="n"/>
      <c r="M1381" s="64" t="e">
        <v>#N/A</v>
      </c>
    </row>
    <row r="1382" ht="29.1" customHeight="1">
      <c r="A1382" s="74" t="n"/>
      <c r="B1382" s="74" t="n"/>
      <c r="C1382" s="74" t="n"/>
      <c r="D1382" s="74" t="n"/>
      <c r="E1382" s="74" t="n"/>
      <c r="F1382" s="74" t="n"/>
      <c r="G1382" s="74" t="inlineStr">
        <is>
          <t>kg</t>
        </is>
      </c>
      <c r="H1382" s="76" t="n"/>
      <c r="I1382" s="73" t="n"/>
      <c r="J1382" s="73" t="n"/>
      <c r="K1382" s="74" t="n"/>
      <c r="L1382" s="74" t="n"/>
      <c r="M1382" s="64" t="e">
        <v>#N/A</v>
      </c>
    </row>
    <row r="1383" ht="29.1" customHeight="1">
      <c r="A1383" s="74" t="n"/>
      <c r="B1383" s="74" t="n"/>
      <c r="C1383" s="74" t="n"/>
      <c r="D1383" s="74" t="n"/>
      <c r="E1383" s="74" t="n"/>
      <c r="F1383" s="74" t="n"/>
      <c r="G1383" s="74" t="inlineStr">
        <is>
          <t>kg</t>
        </is>
      </c>
      <c r="H1383" s="76" t="n"/>
      <c r="I1383" s="73" t="n"/>
      <c r="J1383" s="73" t="n"/>
      <c r="K1383" s="74" t="n"/>
      <c r="L1383" s="74" t="n"/>
      <c r="M1383" s="64" t="e">
        <v>#N/A</v>
      </c>
    </row>
    <row r="1384" ht="29.1" customHeight="1">
      <c r="A1384" s="74" t="n"/>
      <c r="B1384" s="74" t="n"/>
      <c r="C1384" s="74" t="n"/>
      <c r="D1384" s="74" t="n"/>
      <c r="E1384" s="74" t="n"/>
      <c r="F1384" s="74" t="n"/>
      <c r="G1384" s="74" t="inlineStr">
        <is>
          <t>kg</t>
        </is>
      </c>
      <c r="H1384" s="76" t="n"/>
      <c r="I1384" s="73" t="n"/>
      <c r="J1384" s="73" t="n"/>
      <c r="K1384" s="74" t="n"/>
      <c r="L1384" s="74" t="n"/>
      <c r="M1384" s="64" t="e">
        <v>#N/A</v>
      </c>
    </row>
    <row r="1385" ht="29.1" customHeight="1">
      <c r="A1385" s="74" t="n"/>
      <c r="B1385" s="74" t="n"/>
      <c r="C1385" s="74" t="n"/>
      <c r="D1385" s="74" t="n"/>
      <c r="E1385" s="74" t="n"/>
      <c r="F1385" s="74" t="n"/>
      <c r="G1385" s="74" t="inlineStr">
        <is>
          <t>kg</t>
        </is>
      </c>
      <c r="H1385" s="76" t="n"/>
      <c r="I1385" s="73" t="n"/>
      <c r="J1385" s="73" t="n"/>
      <c r="K1385" s="74" t="n"/>
      <c r="L1385" s="74" t="n"/>
      <c r="M1385" s="64" t="e">
        <v>#N/A</v>
      </c>
    </row>
    <row r="1386" ht="29.1" customHeight="1">
      <c r="A1386" s="74" t="n"/>
      <c r="B1386" s="74" t="n"/>
      <c r="C1386" s="74" t="n"/>
      <c r="D1386" s="74" t="n"/>
      <c r="E1386" s="74" t="n"/>
      <c r="F1386" s="74" t="n"/>
      <c r="G1386" s="74" t="inlineStr">
        <is>
          <t>kg</t>
        </is>
      </c>
      <c r="H1386" s="76" t="n"/>
      <c r="I1386" s="73" t="n"/>
      <c r="J1386" s="73" t="n"/>
      <c r="K1386" s="74" t="n"/>
      <c r="L1386" s="74" t="n"/>
      <c r="M1386" s="64" t="e">
        <v>#N/A</v>
      </c>
    </row>
    <row r="1387" ht="29.1" customHeight="1">
      <c r="A1387" s="74" t="n"/>
      <c r="B1387" s="74" t="n"/>
      <c r="C1387" s="74" t="n"/>
      <c r="D1387" s="74" t="n"/>
      <c r="E1387" s="74" t="n"/>
      <c r="F1387" s="74" t="n"/>
      <c r="G1387" s="74" t="inlineStr">
        <is>
          <t>kg</t>
        </is>
      </c>
      <c r="H1387" s="76" t="n"/>
      <c r="I1387" s="73" t="n"/>
      <c r="J1387" s="73" t="n"/>
      <c r="K1387" s="74" t="n"/>
      <c r="L1387" s="74" t="n"/>
      <c r="M1387" s="64" t="e">
        <v>#N/A</v>
      </c>
    </row>
    <row r="1388" ht="29.1" customHeight="1">
      <c r="A1388" s="74" t="n"/>
      <c r="B1388" s="74" t="n"/>
      <c r="C1388" s="74" t="n"/>
      <c r="D1388" s="74" t="n"/>
      <c r="E1388" s="74" t="n"/>
      <c r="F1388" s="74" t="n"/>
      <c r="G1388" s="74" t="inlineStr">
        <is>
          <t>kg</t>
        </is>
      </c>
      <c r="H1388" s="76" t="n"/>
      <c r="I1388" s="73" t="n"/>
      <c r="J1388" s="73" t="n"/>
      <c r="K1388" s="74" t="n"/>
      <c r="L1388" s="74" t="n"/>
      <c r="M1388" s="64" t="e">
        <v>#N/A</v>
      </c>
    </row>
    <row r="1389" ht="29.1" customHeight="1">
      <c r="A1389" s="74" t="n"/>
      <c r="B1389" s="74" t="n"/>
      <c r="C1389" s="74" t="n"/>
      <c r="D1389" s="74" t="n"/>
      <c r="E1389" s="74" t="n"/>
      <c r="F1389" s="74" t="n"/>
      <c r="G1389" s="74" t="inlineStr">
        <is>
          <t>kg</t>
        </is>
      </c>
      <c r="H1389" s="76" t="n"/>
      <c r="I1389" s="73" t="n"/>
      <c r="J1389" s="73" t="n"/>
      <c r="K1389" s="74" t="n"/>
      <c r="L1389" s="74" t="n"/>
      <c r="M1389" s="64" t="e">
        <v>#N/A</v>
      </c>
    </row>
    <row r="1390" ht="29.1" customHeight="1">
      <c r="A1390" s="74" t="n"/>
      <c r="B1390" s="74" t="n"/>
      <c r="C1390" s="74" t="n"/>
      <c r="D1390" s="74" t="n"/>
      <c r="E1390" s="74" t="n"/>
      <c r="F1390" s="74" t="n"/>
      <c r="G1390" s="74" t="inlineStr">
        <is>
          <t>kg</t>
        </is>
      </c>
      <c r="H1390" s="76" t="n"/>
      <c r="I1390" s="73" t="n"/>
      <c r="J1390" s="73" t="n"/>
      <c r="K1390" s="74" t="n"/>
      <c r="L1390" s="74" t="n"/>
      <c r="M1390" s="64" t="e">
        <v>#N/A</v>
      </c>
    </row>
    <row r="1391" ht="29.1" customHeight="1">
      <c r="A1391" s="74" t="n"/>
      <c r="B1391" s="74" t="n"/>
      <c r="C1391" s="74" t="n"/>
      <c r="D1391" s="74" t="n"/>
      <c r="E1391" s="74" t="n"/>
      <c r="F1391" s="74" t="n"/>
      <c r="G1391" s="74" t="inlineStr">
        <is>
          <t>kg</t>
        </is>
      </c>
      <c r="H1391" s="76" t="n"/>
      <c r="I1391" s="73" t="n"/>
      <c r="J1391" s="73" t="n"/>
      <c r="K1391" s="74" t="n"/>
      <c r="L1391" s="74" t="n"/>
      <c r="M1391" s="64" t="e">
        <v>#N/A</v>
      </c>
    </row>
    <row r="1392" ht="29.1" customHeight="1">
      <c r="A1392" s="74" t="n"/>
      <c r="B1392" s="74" t="n"/>
      <c r="C1392" s="74" t="n"/>
      <c r="D1392" s="74" t="n"/>
      <c r="E1392" s="74" t="n"/>
      <c r="F1392" s="74" t="n"/>
      <c r="G1392" s="74" t="inlineStr">
        <is>
          <t>kg</t>
        </is>
      </c>
      <c r="H1392" s="76" t="n"/>
      <c r="I1392" s="73" t="n"/>
      <c r="J1392" s="73" t="n"/>
      <c r="K1392" s="74" t="n"/>
      <c r="L1392" s="74" t="n"/>
      <c r="M1392" s="64" t="e">
        <v>#N/A</v>
      </c>
    </row>
    <row r="1393" ht="29.1" customHeight="1">
      <c r="A1393" s="74" t="n"/>
      <c r="B1393" s="74" t="n"/>
      <c r="C1393" s="74" t="n"/>
      <c r="D1393" s="74" t="n"/>
      <c r="E1393" s="74" t="n"/>
      <c r="F1393" s="74" t="n"/>
      <c r="G1393" s="74" t="inlineStr">
        <is>
          <t>kg</t>
        </is>
      </c>
      <c r="H1393" s="76" t="n"/>
      <c r="I1393" s="73" t="n"/>
      <c r="J1393" s="73" t="n"/>
      <c r="K1393" s="74" t="n"/>
      <c r="L1393" s="74" t="n"/>
      <c r="M1393" s="64" t="e">
        <v>#N/A</v>
      </c>
    </row>
    <row r="1394" ht="29.1" customHeight="1">
      <c r="A1394" s="74" t="n"/>
      <c r="B1394" s="74" t="n"/>
      <c r="C1394" s="74" t="n"/>
      <c r="D1394" s="74" t="n"/>
      <c r="E1394" s="74" t="n"/>
      <c r="F1394" s="74" t="n"/>
      <c r="G1394" s="74" t="inlineStr">
        <is>
          <t>kg</t>
        </is>
      </c>
      <c r="H1394" s="76" t="n"/>
      <c r="I1394" s="73" t="n"/>
      <c r="J1394" s="73" t="n"/>
      <c r="K1394" s="74" t="n"/>
      <c r="L1394" s="74" t="n"/>
      <c r="M1394" s="64" t="e">
        <v>#N/A</v>
      </c>
    </row>
    <row r="1395" ht="29.1" customHeight="1">
      <c r="A1395" s="74" t="n"/>
      <c r="B1395" s="74" t="n"/>
      <c r="C1395" s="74" t="n"/>
      <c r="D1395" s="74" t="n"/>
      <c r="E1395" s="74" t="n"/>
      <c r="F1395" s="74" t="n"/>
      <c r="G1395" s="74" t="inlineStr">
        <is>
          <t>kg</t>
        </is>
      </c>
      <c r="H1395" s="76" t="n"/>
      <c r="I1395" s="73" t="n"/>
      <c r="J1395" s="73" t="n"/>
      <c r="K1395" s="74" t="n"/>
      <c r="L1395" s="74" t="n"/>
      <c r="M1395" s="64" t="e">
        <v>#N/A</v>
      </c>
    </row>
    <row r="1396" ht="29.1" customHeight="1">
      <c r="A1396" s="74" t="n"/>
      <c r="B1396" s="74" t="n"/>
      <c r="C1396" s="74" t="n"/>
      <c r="D1396" s="74" t="n"/>
      <c r="E1396" s="74" t="n"/>
      <c r="F1396" s="74" t="n"/>
      <c r="G1396" s="74" t="inlineStr">
        <is>
          <t>kg</t>
        </is>
      </c>
      <c r="H1396" s="76" t="n"/>
      <c r="I1396" s="73" t="n"/>
      <c r="J1396" s="73" t="n"/>
      <c r="K1396" s="74" t="n"/>
      <c r="L1396" s="74" t="n"/>
      <c r="M1396" s="64" t="e">
        <v>#N/A</v>
      </c>
    </row>
    <row r="1397" ht="29.1" customHeight="1">
      <c r="A1397" s="74" t="n"/>
      <c r="B1397" s="74" t="n"/>
      <c r="C1397" s="74" t="n"/>
      <c r="D1397" s="74" t="n"/>
      <c r="E1397" s="74" t="n"/>
      <c r="F1397" s="74" t="n"/>
      <c r="G1397" s="74" t="inlineStr">
        <is>
          <t>kg</t>
        </is>
      </c>
      <c r="H1397" s="76" t="n"/>
      <c r="I1397" s="73" t="n"/>
      <c r="J1397" s="73" t="n"/>
      <c r="K1397" s="74" t="n"/>
      <c r="L1397" s="74" t="n"/>
      <c r="M1397" s="64" t="e">
        <v>#N/A</v>
      </c>
    </row>
    <row r="1398" ht="29.1" customHeight="1">
      <c r="A1398" s="74" t="n"/>
      <c r="B1398" s="74" t="n"/>
      <c r="C1398" s="74" t="n"/>
      <c r="D1398" s="74" t="n"/>
      <c r="E1398" s="74" t="n"/>
      <c r="F1398" s="74" t="n"/>
      <c r="G1398" s="74" t="inlineStr">
        <is>
          <t>kg</t>
        </is>
      </c>
      <c r="H1398" s="76" t="n"/>
      <c r="I1398" s="73" t="n"/>
      <c r="J1398" s="73" t="n"/>
      <c r="K1398" s="74" t="n"/>
      <c r="L1398" s="74" t="n"/>
      <c r="M1398" s="64" t="e">
        <v>#N/A</v>
      </c>
    </row>
    <row r="1399" ht="29.1" customHeight="1">
      <c r="A1399" s="74" t="n"/>
      <c r="B1399" s="74" t="n"/>
      <c r="C1399" s="74" t="n"/>
      <c r="D1399" s="74" t="n"/>
      <c r="E1399" s="74" t="n"/>
      <c r="F1399" s="74" t="n"/>
      <c r="G1399" s="74" t="inlineStr">
        <is>
          <t>kg</t>
        </is>
      </c>
      <c r="H1399" s="76" t="n"/>
      <c r="I1399" s="73" t="n"/>
      <c r="J1399" s="73" t="n"/>
      <c r="K1399" s="74" t="n"/>
      <c r="L1399" s="74" t="n"/>
      <c r="M1399" s="64" t="e">
        <v>#N/A</v>
      </c>
    </row>
    <row r="1400" ht="29.1" customHeight="1">
      <c r="A1400" s="74" t="n"/>
      <c r="B1400" s="74" t="n"/>
      <c r="C1400" s="74" t="n"/>
      <c r="D1400" s="74" t="n"/>
      <c r="E1400" s="74" t="n"/>
      <c r="F1400" s="74" t="n"/>
      <c r="G1400" s="74" t="inlineStr">
        <is>
          <t>kg</t>
        </is>
      </c>
      <c r="H1400" s="76" t="n"/>
      <c r="I1400" s="73" t="n"/>
      <c r="J1400" s="73" t="n"/>
      <c r="K1400" s="74" t="n"/>
      <c r="L1400" s="74" t="n"/>
      <c r="M1400" s="64" t="e">
        <v>#N/A</v>
      </c>
    </row>
    <row r="1401" ht="29.1" customHeight="1">
      <c r="A1401" s="74" t="n"/>
      <c r="B1401" s="74" t="n"/>
      <c r="C1401" s="74" t="n"/>
      <c r="D1401" s="74" t="n"/>
      <c r="E1401" s="74" t="n"/>
      <c r="F1401" s="74" t="n"/>
      <c r="G1401" s="74" t="inlineStr">
        <is>
          <t>kg</t>
        </is>
      </c>
      <c r="H1401" s="76" t="n"/>
      <c r="I1401" s="73" t="n"/>
      <c r="J1401" s="73" t="n"/>
      <c r="K1401" s="74" t="n"/>
      <c r="L1401" s="74" t="n"/>
      <c r="M1401" s="64" t="e">
        <v>#N/A</v>
      </c>
    </row>
    <row r="1402" ht="29.1" customHeight="1">
      <c r="A1402" s="74" t="n"/>
      <c r="B1402" s="74" t="n"/>
      <c r="C1402" s="74" t="n"/>
      <c r="D1402" s="74" t="n"/>
      <c r="E1402" s="74" t="n"/>
      <c r="F1402" s="74" t="n"/>
      <c r="G1402" s="74" t="inlineStr">
        <is>
          <t>kg</t>
        </is>
      </c>
      <c r="H1402" s="76" t="n"/>
      <c r="I1402" s="73" t="n"/>
      <c r="J1402" s="73" t="n"/>
      <c r="K1402" s="74" t="n"/>
      <c r="L1402" s="74" t="n"/>
      <c r="M1402" s="64" t="e">
        <v>#N/A</v>
      </c>
    </row>
    <row r="1403" ht="29.1" customHeight="1">
      <c r="A1403" s="74" t="n"/>
      <c r="B1403" s="74" t="n"/>
      <c r="C1403" s="74" t="n"/>
      <c r="D1403" s="74" t="n"/>
      <c r="E1403" s="74" t="n"/>
      <c r="F1403" s="74" t="n"/>
      <c r="G1403" s="74" t="inlineStr">
        <is>
          <t>kg</t>
        </is>
      </c>
      <c r="H1403" s="76" t="n"/>
      <c r="I1403" s="73" t="n"/>
      <c r="J1403" s="73" t="n"/>
      <c r="K1403" s="74" t="n"/>
      <c r="L1403" s="74" t="n"/>
      <c r="M1403" s="64" t="e">
        <v>#N/A</v>
      </c>
    </row>
    <row r="1404" ht="29.1" customHeight="1">
      <c r="A1404" s="74" t="n"/>
      <c r="B1404" s="74" t="n"/>
      <c r="C1404" s="74" t="n"/>
      <c r="D1404" s="74" t="n"/>
      <c r="E1404" s="74" t="n"/>
      <c r="F1404" s="74" t="n"/>
      <c r="G1404" s="74" t="inlineStr">
        <is>
          <t>kg</t>
        </is>
      </c>
      <c r="H1404" s="76" t="n"/>
      <c r="I1404" s="73" t="n"/>
      <c r="J1404" s="73" t="n"/>
      <c r="K1404" s="74" t="n"/>
      <c r="L1404" s="74" t="n"/>
      <c r="M1404" s="64" t="e">
        <v>#N/A</v>
      </c>
    </row>
    <row r="1405" ht="29.1" customHeight="1">
      <c r="A1405" s="74" t="n"/>
      <c r="B1405" s="74" t="n"/>
      <c r="C1405" s="74" t="n"/>
      <c r="D1405" s="74" t="n"/>
      <c r="E1405" s="74" t="n"/>
      <c r="F1405" s="74" t="n"/>
      <c r="G1405" s="74" t="inlineStr">
        <is>
          <t>kg</t>
        </is>
      </c>
      <c r="H1405" s="76" t="n"/>
      <c r="I1405" s="73" t="n"/>
      <c r="J1405" s="73" t="n"/>
      <c r="K1405" s="74" t="n"/>
      <c r="L1405" s="74" t="n"/>
      <c r="M1405" s="64" t="e">
        <v>#N/A</v>
      </c>
    </row>
    <row r="1406" ht="29.1" customHeight="1">
      <c r="A1406" s="74" t="n"/>
      <c r="B1406" s="74" t="n"/>
      <c r="C1406" s="74" t="n"/>
      <c r="D1406" s="74" t="n"/>
      <c r="E1406" s="74" t="n"/>
      <c r="F1406" s="74" t="n"/>
      <c r="G1406" s="74" t="inlineStr">
        <is>
          <t>kg</t>
        </is>
      </c>
      <c r="H1406" s="76" t="n"/>
      <c r="I1406" s="73" t="n"/>
      <c r="J1406" s="73" t="n"/>
      <c r="K1406" s="74" t="n"/>
      <c r="L1406" s="74" t="n"/>
      <c r="M1406" s="64" t="e">
        <v>#N/A</v>
      </c>
    </row>
    <row r="1407" ht="29.1" customHeight="1">
      <c r="A1407" s="74" t="n"/>
      <c r="B1407" s="74" t="n"/>
      <c r="C1407" s="74" t="n"/>
      <c r="D1407" s="74" t="n"/>
      <c r="E1407" s="74" t="n"/>
      <c r="F1407" s="74" t="n"/>
      <c r="G1407" s="74" t="inlineStr">
        <is>
          <t>kg</t>
        </is>
      </c>
      <c r="H1407" s="76" t="n"/>
      <c r="I1407" s="73" t="n"/>
      <c r="J1407" s="73" t="n"/>
      <c r="K1407" s="74" t="n"/>
      <c r="L1407" s="74" t="n"/>
      <c r="M1407" s="64" t="e">
        <v>#N/A</v>
      </c>
    </row>
    <row r="1408" ht="29.1" customHeight="1">
      <c r="A1408" s="74" t="n"/>
      <c r="B1408" s="74" t="n"/>
      <c r="C1408" s="74" t="n"/>
      <c r="D1408" s="74" t="n"/>
      <c r="E1408" s="74" t="n"/>
      <c r="F1408" s="74" t="n"/>
      <c r="G1408" s="74" t="inlineStr">
        <is>
          <t>kg</t>
        </is>
      </c>
      <c r="H1408" s="76" t="n"/>
      <c r="I1408" s="73" t="n"/>
      <c r="J1408" s="73" t="n"/>
      <c r="K1408" s="74" t="n"/>
      <c r="L1408" s="74" t="n"/>
      <c r="M1408" s="64" t="e">
        <v>#N/A</v>
      </c>
    </row>
    <row r="1409" ht="29.1" customHeight="1">
      <c r="A1409" s="74" t="n"/>
      <c r="B1409" s="74" t="n"/>
      <c r="C1409" s="74" t="n"/>
      <c r="D1409" s="74" t="n"/>
      <c r="E1409" s="74" t="n"/>
      <c r="F1409" s="74" t="n"/>
      <c r="G1409" s="74" t="inlineStr">
        <is>
          <t>kg</t>
        </is>
      </c>
      <c r="H1409" s="76" t="n"/>
      <c r="I1409" s="73" t="n"/>
      <c r="J1409" s="73" t="n"/>
      <c r="K1409" s="74" t="n"/>
      <c r="L1409" s="74" t="n"/>
      <c r="M1409" s="64" t="e">
        <v>#N/A</v>
      </c>
    </row>
    <row r="1410" ht="29.1" customHeight="1">
      <c r="A1410" s="74" t="n"/>
      <c r="B1410" s="74" t="n"/>
      <c r="C1410" s="74" t="n"/>
      <c r="D1410" s="74" t="n"/>
      <c r="E1410" s="74" t="n"/>
      <c r="F1410" s="74" t="n"/>
      <c r="G1410" s="74" t="inlineStr">
        <is>
          <t>kg</t>
        </is>
      </c>
      <c r="H1410" s="76" t="n"/>
      <c r="I1410" s="73" t="n"/>
      <c r="J1410" s="73" t="n"/>
      <c r="K1410" s="74" t="n"/>
      <c r="L1410" s="74" t="n"/>
      <c r="M1410" s="64" t="e">
        <v>#N/A</v>
      </c>
    </row>
    <row r="1411" ht="29.1" customHeight="1">
      <c r="A1411" s="74" t="n"/>
      <c r="B1411" s="74" t="n"/>
      <c r="C1411" s="74" t="n"/>
      <c r="D1411" s="74" t="n"/>
      <c r="E1411" s="74" t="n"/>
      <c r="F1411" s="74" t="n"/>
      <c r="G1411" s="74" t="inlineStr">
        <is>
          <t>kg</t>
        </is>
      </c>
      <c r="H1411" s="76" t="n"/>
      <c r="I1411" s="73" t="n"/>
      <c r="J1411" s="73" t="n"/>
      <c r="K1411" s="74" t="n"/>
      <c r="L1411" s="74" t="n"/>
      <c r="M1411" s="64" t="e">
        <v>#N/A</v>
      </c>
    </row>
    <row r="1412" ht="29.1" customHeight="1">
      <c r="A1412" s="74" t="n"/>
      <c r="B1412" s="74" t="n"/>
      <c r="C1412" s="74" t="n"/>
      <c r="D1412" s="74" t="n"/>
      <c r="E1412" s="74" t="n"/>
      <c r="F1412" s="74" t="n"/>
      <c r="G1412" s="74" t="inlineStr">
        <is>
          <t>kg</t>
        </is>
      </c>
      <c r="H1412" s="76" t="n"/>
      <c r="I1412" s="73" t="n"/>
      <c r="J1412" s="73" t="n"/>
      <c r="K1412" s="74" t="n"/>
      <c r="L1412" s="74" t="n"/>
      <c r="M1412" s="64" t="e">
        <v>#N/A</v>
      </c>
    </row>
    <row r="1413" ht="29.1" customHeight="1">
      <c r="A1413" s="74" t="n"/>
      <c r="B1413" s="74" t="n"/>
      <c r="C1413" s="74" t="n"/>
      <c r="D1413" s="74" t="n"/>
      <c r="E1413" s="74" t="n"/>
      <c r="F1413" s="74" t="n"/>
      <c r="G1413" s="74" t="inlineStr">
        <is>
          <t>kg</t>
        </is>
      </c>
      <c r="H1413" s="76" t="n"/>
      <c r="I1413" s="73" t="n"/>
      <c r="J1413" s="73" t="n"/>
      <c r="K1413" s="74" t="n"/>
      <c r="L1413" s="74" t="n"/>
      <c r="M1413" s="64" t="e">
        <v>#N/A</v>
      </c>
    </row>
    <row r="1414" ht="29.1" customHeight="1">
      <c r="A1414" s="74" t="n"/>
      <c r="B1414" s="74" t="n"/>
      <c r="C1414" s="74" t="n"/>
      <c r="D1414" s="74" t="n"/>
      <c r="E1414" s="74" t="n"/>
      <c r="F1414" s="74" t="n"/>
      <c r="G1414" s="74" t="inlineStr">
        <is>
          <t>kg</t>
        </is>
      </c>
      <c r="H1414" s="76" t="n"/>
      <c r="I1414" s="73" t="n"/>
      <c r="J1414" s="73" t="n"/>
      <c r="K1414" s="74" t="n"/>
      <c r="L1414" s="74" t="n"/>
      <c r="M1414" s="64" t="e">
        <v>#N/A</v>
      </c>
    </row>
    <row r="1415" ht="29.1" customHeight="1">
      <c r="A1415" s="74" t="n"/>
      <c r="B1415" s="74" t="n"/>
      <c r="C1415" s="74" t="n"/>
      <c r="D1415" s="74" t="n"/>
      <c r="E1415" s="74" t="n"/>
      <c r="F1415" s="74" t="n"/>
      <c r="G1415" s="74" t="inlineStr">
        <is>
          <t>kg</t>
        </is>
      </c>
      <c r="H1415" s="76" t="n"/>
      <c r="I1415" s="73" t="n"/>
      <c r="J1415" s="73" t="n"/>
      <c r="K1415" s="74" t="n"/>
      <c r="L1415" s="74" t="n"/>
      <c r="M1415" s="64" t="e">
        <v>#N/A</v>
      </c>
    </row>
    <row r="1416" ht="29.1" customHeight="1">
      <c r="A1416" s="74" t="n"/>
      <c r="B1416" s="74" t="n"/>
      <c r="C1416" s="74" t="n"/>
      <c r="D1416" s="74" t="n"/>
      <c r="E1416" s="74" t="n"/>
      <c r="F1416" s="74" t="n"/>
      <c r="G1416" s="74" t="inlineStr">
        <is>
          <t>kg</t>
        </is>
      </c>
      <c r="H1416" s="76" t="n"/>
      <c r="I1416" s="73" t="n"/>
      <c r="J1416" s="73" t="n"/>
      <c r="K1416" s="74" t="n"/>
      <c r="L1416" s="74" t="n"/>
      <c r="M1416" s="64" t="e">
        <v>#N/A</v>
      </c>
    </row>
    <row r="1417" ht="29.1" customHeight="1">
      <c r="A1417" s="74" t="n"/>
      <c r="B1417" s="74" t="n"/>
      <c r="C1417" s="74" t="n"/>
      <c r="D1417" s="74" t="n"/>
      <c r="E1417" s="74" t="n"/>
      <c r="F1417" s="74" t="n"/>
      <c r="G1417" s="74" t="inlineStr">
        <is>
          <t>kg</t>
        </is>
      </c>
      <c r="H1417" s="76" t="n"/>
      <c r="I1417" s="73" t="n"/>
      <c r="J1417" s="73" t="n"/>
      <c r="K1417" s="74" t="n"/>
      <c r="L1417" s="74" t="n"/>
      <c r="M1417" s="64" t="e">
        <v>#N/A</v>
      </c>
    </row>
    <row r="1418" ht="29.1" customHeight="1">
      <c r="A1418" s="74" t="n"/>
      <c r="B1418" s="74" t="n"/>
      <c r="C1418" s="74" t="n"/>
      <c r="D1418" s="74" t="n"/>
      <c r="E1418" s="74" t="n"/>
      <c r="F1418" s="74" t="n"/>
      <c r="G1418" s="74" t="inlineStr">
        <is>
          <t>kg</t>
        </is>
      </c>
      <c r="H1418" s="76" t="n"/>
      <c r="I1418" s="73" t="n"/>
      <c r="J1418" s="73" t="n"/>
      <c r="K1418" s="74" t="n"/>
      <c r="L1418" s="74" t="n"/>
      <c r="M1418" s="64" t="e">
        <v>#N/A</v>
      </c>
    </row>
    <row r="1419" ht="29.1" customHeight="1">
      <c r="A1419" s="74" t="n"/>
      <c r="B1419" s="74" t="n"/>
      <c r="C1419" s="74" t="n"/>
      <c r="D1419" s="74" t="n"/>
      <c r="E1419" s="74" t="n"/>
      <c r="F1419" s="74" t="n"/>
      <c r="G1419" s="74" t="inlineStr">
        <is>
          <t>kg</t>
        </is>
      </c>
      <c r="H1419" s="76" t="n"/>
      <c r="I1419" s="73" t="n"/>
      <c r="J1419" s="73" t="n"/>
      <c r="K1419" s="74" t="n"/>
      <c r="L1419" s="74" t="n"/>
      <c r="M1419" s="64" t="e">
        <v>#N/A</v>
      </c>
    </row>
    <row r="1420" ht="29.1" customHeight="1">
      <c r="A1420" s="74" t="n"/>
      <c r="B1420" s="74" t="n"/>
      <c r="C1420" s="74" t="n"/>
      <c r="D1420" s="74" t="n"/>
      <c r="E1420" s="74" t="n"/>
      <c r="F1420" s="74" t="n"/>
      <c r="G1420" s="74" t="inlineStr">
        <is>
          <t>kg</t>
        </is>
      </c>
      <c r="H1420" s="76" t="n"/>
      <c r="I1420" s="73" t="n"/>
      <c r="J1420" s="73" t="n"/>
      <c r="K1420" s="74" t="n"/>
      <c r="L1420" s="74" t="n"/>
      <c r="M1420" s="64" t="e">
        <v>#N/A</v>
      </c>
    </row>
    <row r="1421" ht="29.1" customHeight="1">
      <c r="A1421" s="74" t="n"/>
      <c r="B1421" s="74" t="n"/>
      <c r="C1421" s="74" t="n"/>
      <c r="D1421" s="74" t="n"/>
      <c r="E1421" s="74" t="n"/>
      <c r="F1421" s="74" t="n"/>
      <c r="G1421" s="74" t="inlineStr">
        <is>
          <t>kg</t>
        </is>
      </c>
      <c r="H1421" s="76" t="n"/>
      <c r="I1421" s="73" t="n"/>
      <c r="J1421" s="73" t="n"/>
      <c r="K1421" s="74" t="n"/>
      <c r="L1421" s="74" t="n"/>
      <c r="M1421" s="64" t="e">
        <v>#N/A</v>
      </c>
    </row>
    <row r="1422" ht="29.1" customHeight="1">
      <c r="A1422" s="74" t="n"/>
      <c r="B1422" s="74" t="n"/>
      <c r="C1422" s="74" t="n"/>
      <c r="D1422" s="74" t="n"/>
      <c r="E1422" s="74" t="n"/>
      <c r="F1422" s="74" t="n"/>
      <c r="G1422" s="74" t="inlineStr">
        <is>
          <t>kg</t>
        </is>
      </c>
      <c r="H1422" s="76" t="n"/>
      <c r="I1422" s="73" t="n"/>
      <c r="J1422" s="73" t="n"/>
      <c r="K1422" s="74" t="n"/>
      <c r="L1422" s="74" t="n"/>
      <c r="M1422" s="64" t="e">
        <v>#N/A</v>
      </c>
    </row>
    <row r="1423" ht="29.1" customHeight="1">
      <c r="A1423" s="74" t="n"/>
      <c r="B1423" s="74" t="n"/>
      <c r="C1423" s="74" t="n"/>
      <c r="D1423" s="74" t="n"/>
      <c r="E1423" s="74" t="n"/>
      <c r="F1423" s="74" t="n"/>
      <c r="G1423" s="74" t="inlineStr">
        <is>
          <t>kg</t>
        </is>
      </c>
      <c r="H1423" s="76" t="n"/>
      <c r="I1423" s="73" t="n"/>
      <c r="J1423" s="73" t="n"/>
      <c r="K1423" s="74" t="n"/>
      <c r="L1423" s="74" t="n"/>
      <c r="M1423" s="64" t="e">
        <v>#N/A</v>
      </c>
    </row>
    <row r="1424" ht="29.1" customHeight="1">
      <c r="A1424" s="74" t="n"/>
      <c r="B1424" s="74" t="n"/>
      <c r="C1424" s="74" t="n"/>
      <c r="D1424" s="74" t="n"/>
      <c r="E1424" s="74" t="n"/>
      <c r="F1424" s="74" t="n"/>
      <c r="G1424" s="74" t="inlineStr">
        <is>
          <t>kg</t>
        </is>
      </c>
      <c r="H1424" s="76" t="n"/>
      <c r="I1424" s="73" t="n"/>
      <c r="J1424" s="73" t="n"/>
      <c r="K1424" s="74" t="n"/>
      <c r="L1424" s="74" t="n"/>
      <c r="M1424" s="64" t="e">
        <v>#N/A</v>
      </c>
    </row>
    <row r="1425" ht="29.1" customHeight="1">
      <c r="A1425" s="74" t="n"/>
      <c r="B1425" s="74" t="n"/>
      <c r="C1425" s="74" t="n"/>
      <c r="D1425" s="74" t="n"/>
      <c r="E1425" s="74" t="n"/>
      <c r="F1425" s="74" t="n"/>
      <c r="G1425" s="74" t="inlineStr">
        <is>
          <t>kg</t>
        </is>
      </c>
      <c r="H1425" s="76" t="n"/>
      <c r="I1425" s="73" t="n"/>
      <c r="J1425" s="73" t="n"/>
      <c r="K1425" s="74" t="n"/>
      <c r="L1425" s="74" t="n"/>
      <c r="M1425" s="64" t="e">
        <v>#N/A</v>
      </c>
    </row>
    <row r="1426" ht="29.1" customHeight="1">
      <c r="A1426" s="74" t="n"/>
      <c r="B1426" s="74" t="n"/>
      <c r="C1426" s="74" t="n"/>
      <c r="D1426" s="74" t="n"/>
      <c r="E1426" s="74" t="n"/>
      <c r="F1426" s="74" t="n"/>
      <c r="G1426" s="74" t="inlineStr">
        <is>
          <t>kg</t>
        </is>
      </c>
      <c r="H1426" s="76" t="n"/>
      <c r="I1426" s="73" t="n"/>
      <c r="J1426" s="73" t="n"/>
      <c r="K1426" s="74" t="n"/>
      <c r="L1426" s="74" t="n"/>
      <c r="M1426" s="64" t="e">
        <v>#N/A</v>
      </c>
    </row>
    <row r="1427" ht="29.1" customHeight="1">
      <c r="A1427" s="74" t="n"/>
      <c r="B1427" s="74" t="n"/>
      <c r="C1427" s="74" t="n"/>
      <c r="D1427" s="74" t="n"/>
      <c r="E1427" s="74" t="n"/>
      <c r="F1427" s="74" t="n"/>
      <c r="G1427" s="74" t="inlineStr">
        <is>
          <t>kg</t>
        </is>
      </c>
      <c r="H1427" s="76" t="n"/>
      <c r="I1427" s="73" t="n"/>
      <c r="J1427" s="73" t="n"/>
      <c r="K1427" s="74" t="n"/>
      <c r="L1427" s="74" t="n"/>
      <c r="M1427" s="64" t="e">
        <v>#N/A</v>
      </c>
    </row>
    <row r="1428" ht="29.1" customHeight="1">
      <c r="A1428" s="74" t="n"/>
      <c r="B1428" s="74" t="n"/>
      <c r="C1428" s="74" t="n"/>
      <c r="D1428" s="74" t="n"/>
      <c r="E1428" s="74" t="n"/>
      <c r="F1428" s="74" t="n"/>
      <c r="G1428" s="74" t="inlineStr">
        <is>
          <t>kg</t>
        </is>
      </c>
      <c r="H1428" s="76" t="n"/>
      <c r="I1428" s="73" t="n"/>
      <c r="J1428" s="73" t="n"/>
      <c r="K1428" s="74" t="n"/>
      <c r="L1428" s="74" t="n"/>
      <c r="M1428" s="64" t="e">
        <v>#N/A</v>
      </c>
    </row>
    <row r="1429" ht="29.1" customHeight="1">
      <c r="A1429" s="74" t="n"/>
      <c r="B1429" s="74" t="n"/>
      <c r="C1429" s="74" t="n"/>
      <c r="D1429" s="74" t="n"/>
      <c r="E1429" s="74" t="n"/>
      <c r="F1429" s="74" t="n"/>
      <c r="G1429" s="74" t="inlineStr">
        <is>
          <t>kg</t>
        </is>
      </c>
      <c r="H1429" s="76" t="n"/>
      <c r="I1429" s="73" t="n"/>
      <c r="J1429" s="73" t="n"/>
      <c r="K1429" s="74" t="n"/>
      <c r="L1429" s="74" t="n"/>
      <c r="M1429" s="64" t="e">
        <v>#N/A</v>
      </c>
    </row>
    <row r="1430" ht="29.1" customHeight="1">
      <c r="A1430" s="74" t="n"/>
      <c r="B1430" s="74" t="n"/>
      <c r="C1430" s="74" t="n"/>
      <c r="D1430" s="74" t="n"/>
      <c r="E1430" s="74" t="n"/>
      <c r="F1430" s="74" t="n"/>
      <c r="G1430" s="74" t="inlineStr">
        <is>
          <t>kg</t>
        </is>
      </c>
      <c r="H1430" s="76" t="n"/>
      <c r="I1430" s="73" t="n"/>
      <c r="J1430" s="73" t="n"/>
      <c r="K1430" s="74" t="n"/>
      <c r="L1430" s="74" t="n"/>
      <c r="M1430" s="64" t="e">
        <v>#N/A</v>
      </c>
    </row>
    <row r="1431" ht="29.1" customHeight="1">
      <c r="A1431" s="74" t="n"/>
      <c r="B1431" s="74" t="n"/>
      <c r="C1431" s="74" t="n"/>
      <c r="D1431" s="74" t="n"/>
      <c r="E1431" s="74" t="n"/>
      <c r="F1431" s="74" t="n"/>
      <c r="G1431" s="74" t="inlineStr">
        <is>
          <t>kg</t>
        </is>
      </c>
      <c r="H1431" s="76" t="n"/>
      <c r="I1431" s="73" t="n"/>
      <c r="J1431" s="73" t="n"/>
      <c r="K1431" s="74" t="n"/>
      <c r="L1431" s="74" t="n"/>
      <c r="M1431" s="64" t="e">
        <v>#N/A</v>
      </c>
    </row>
    <row r="1432" ht="29.1" customHeight="1">
      <c r="A1432" s="74" t="n"/>
      <c r="B1432" s="74" t="n"/>
      <c r="C1432" s="74" t="n"/>
      <c r="D1432" s="74" t="n"/>
      <c r="E1432" s="74" t="n"/>
      <c r="F1432" s="74" t="n"/>
      <c r="G1432" s="74" t="inlineStr">
        <is>
          <t>kg</t>
        </is>
      </c>
      <c r="H1432" s="76" t="n"/>
      <c r="I1432" s="73" t="n"/>
      <c r="J1432" s="73" t="n"/>
      <c r="K1432" s="74" t="n"/>
      <c r="L1432" s="74" t="n"/>
      <c r="M1432" s="64" t="e">
        <v>#N/A</v>
      </c>
    </row>
    <row r="1433" ht="29.1" customHeight="1">
      <c r="A1433" s="74" t="n"/>
      <c r="B1433" s="74" t="n"/>
      <c r="C1433" s="74" t="n"/>
      <c r="D1433" s="74" t="n"/>
      <c r="E1433" s="74" t="n"/>
      <c r="F1433" s="74" t="n"/>
      <c r="G1433" s="74" t="inlineStr">
        <is>
          <t>kg</t>
        </is>
      </c>
      <c r="H1433" s="76" t="n"/>
      <c r="I1433" s="73" t="n"/>
      <c r="J1433" s="73" t="n"/>
      <c r="K1433" s="74" t="n"/>
      <c r="L1433" s="74" t="n"/>
      <c r="M1433" s="64" t="e">
        <v>#N/A</v>
      </c>
    </row>
    <row r="1434" ht="29.1" customHeight="1">
      <c r="A1434" s="74" t="n"/>
      <c r="B1434" s="74" t="n"/>
      <c r="C1434" s="74" t="n"/>
      <c r="D1434" s="74" t="n"/>
      <c r="E1434" s="74" t="n"/>
      <c r="F1434" s="74" t="n"/>
      <c r="G1434" s="74" t="inlineStr">
        <is>
          <t>kg</t>
        </is>
      </c>
      <c r="H1434" s="76" t="n"/>
      <c r="I1434" s="73" t="n"/>
      <c r="J1434" s="73" t="n"/>
      <c r="K1434" s="74" t="n"/>
      <c r="L1434" s="74" t="n"/>
      <c r="M1434" s="64" t="e">
        <v>#N/A</v>
      </c>
    </row>
    <row r="1435" ht="29.1" customHeight="1">
      <c r="A1435" s="74" t="n"/>
      <c r="B1435" s="74" t="n"/>
      <c r="C1435" s="74" t="n"/>
      <c r="D1435" s="74" t="n"/>
      <c r="E1435" s="74" t="n"/>
      <c r="F1435" s="74" t="n"/>
      <c r="G1435" s="74" t="inlineStr">
        <is>
          <t>kg</t>
        </is>
      </c>
      <c r="H1435" s="76" t="n"/>
      <c r="I1435" s="73" t="n"/>
      <c r="J1435" s="73" t="n"/>
      <c r="K1435" s="74" t="n"/>
      <c r="L1435" s="74" t="n"/>
      <c r="M1435" s="64" t="e">
        <v>#N/A</v>
      </c>
    </row>
    <row r="1436" ht="29.1" customHeight="1">
      <c r="A1436" s="74" t="n"/>
      <c r="B1436" s="74" t="n"/>
      <c r="C1436" s="74" t="n"/>
      <c r="D1436" s="74" t="n"/>
      <c r="E1436" s="74" t="n"/>
      <c r="F1436" s="74" t="n"/>
      <c r="G1436" s="74" t="inlineStr">
        <is>
          <t>kg</t>
        </is>
      </c>
      <c r="H1436" s="76" t="n"/>
      <c r="I1436" s="73" t="n"/>
      <c r="J1436" s="73" t="n"/>
      <c r="K1436" s="74" t="n"/>
      <c r="L1436" s="74" t="n"/>
      <c r="M1436" s="64" t="e">
        <v>#N/A</v>
      </c>
    </row>
    <row r="1437" ht="29.1" customHeight="1">
      <c r="A1437" s="74" t="n"/>
      <c r="B1437" s="74" t="n"/>
      <c r="C1437" s="74" t="n"/>
      <c r="D1437" s="74" t="n"/>
      <c r="E1437" s="74" t="n"/>
      <c r="F1437" s="74" t="n"/>
      <c r="G1437" s="74" t="inlineStr">
        <is>
          <t>kg</t>
        </is>
      </c>
      <c r="H1437" s="76" t="n"/>
      <c r="I1437" s="73" t="n"/>
      <c r="J1437" s="73" t="n"/>
      <c r="K1437" s="74" t="n"/>
      <c r="L1437" s="74" t="n"/>
      <c r="M1437" s="64" t="e">
        <v>#N/A</v>
      </c>
    </row>
    <row r="1438" ht="29.1" customHeight="1">
      <c r="A1438" s="74" t="n"/>
      <c r="B1438" s="74" t="n"/>
      <c r="C1438" s="74" t="n"/>
      <c r="D1438" s="74" t="n"/>
      <c r="E1438" s="74" t="n"/>
      <c r="F1438" s="74" t="n"/>
      <c r="G1438" s="74" t="inlineStr">
        <is>
          <t>kg</t>
        </is>
      </c>
      <c r="H1438" s="76" t="n"/>
      <c r="I1438" s="73" t="n"/>
      <c r="J1438" s="73" t="n"/>
      <c r="K1438" s="74" t="n"/>
      <c r="L1438" s="74" t="n"/>
      <c r="M1438" s="64" t="e">
        <v>#N/A</v>
      </c>
    </row>
    <row r="1439" ht="29.1" customHeight="1">
      <c r="A1439" s="74" t="n"/>
      <c r="B1439" s="74" t="n"/>
      <c r="C1439" s="74" t="n"/>
      <c r="D1439" s="74" t="n"/>
      <c r="E1439" s="74" t="n"/>
      <c r="F1439" s="74" t="n"/>
      <c r="G1439" s="74" t="inlineStr">
        <is>
          <t>kg</t>
        </is>
      </c>
      <c r="H1439" s="76" t="n"/>
      <c r="I1439" s="73" t="n"/>
      <c r="J1439" s="73" t="n"/>
      <c r="K1439" s="74" t="n"/>
      <c r="L1439" s="74" t="n"/>
      <c r="M1439" s="64" t="e">
        <v>#N/A</v>
      </c>
    </row>
    <row r="1440" ht="29.1" customHeight="1">
      <c r="A1440" s="74" t="n"/>
      <c r="B1440" s="74" t="n"/>
      <c r="C1440" s="74" t="n"/>
      <c r="D1440" s="74" t="n"/>
      <c r="E1440" s="74" t="n"/>
      <c r="F1440" s="74" t="n"/>
      <c r="G1440" s="74" t="inlineStr">
        <is>
          <t>kg</t>
        </is>
      </c>
      <c r="H1440" s="76" t="n"/>
      <c r="I1440" s="73" t="n"/>
      <c r="J1440" s="73" t="n"/>
      <c r="K1440" s="74" t="n"/>
      <c r="L1440" s="74" t="n"/>
      <c r="M1440" s="64" t="e">
        <v>#N/A</v>
      </c>
    </row>
    <row r="1441" ht="29.1" customHeight="1">
      <c r="A1441" s="74" t="n"/>
      <c r="B1441" s="74" t="n"/>
      <c r="C1441" s="74" t="n"/>
      <c r="D1441" s="74" t="n"/>
      <c r="E1441" s="74" t="n"/>
      <c r="F1441" s="74" t="n"/>
      <c r="G1441" s="74" t="inlineStr">
        <is>
          <t>kg</t>
        </is>
      </c>
      <c r="H1441" s="76" t="n"/>
      <c r="I1441" s="73" t="n"/>
      <c r="J1441" s="73" t="n"/>
      <c r="K1441" s="74" t="n"/>
      <c r="L1441" s="74" t="n"/>
      <c r="M1441" s="64" t="e">
        <v>#N/A</v>
      </c>
    </row>
    <row r="1442" ht="29.1" customHeight="1">
      <c r="A1442" s="74" t="n"/>
      <c r="B1442" s="74" t="n"/>
      <c r="C1442" s="74" t="n"/>
      <c r="D1442" s="74" t="n"/>
      <c r="E1442" s="74" t="n"/>
      <c r="F1442" s="74" t="n"/>
      <c r="G1442" s="74" t="inlineStr">
        <is>
          <t>kg</t>
        </is>
      </c>
      <c r="H1442" s="76" t="n"/>
      <c r="I1442" s="73" t="n"/>
      <c r="J1442" s="73" t="n"/>
      <c r="K1442" s="74" t="n"/>
      <c r="L1442" s="74" t="n"/>
      <c r="M1442" s="64" t="e">
        <v>#N/A</v>
      </c>
    </row>
    <row r="1443" ht="29.1" customHeight="1">
      <c r="A1443" s="74" t="n"/>
      <c r="B1443" s="74" t="n"/>
      <c r="C1443" s="74" t="n"/>
      <c r="D1443" s="74" t="n"/>
      <c r="E1443" s="74" t="n"/>
      <c r="F1443" s="74" t="n"/>
      <c r="G1443" s="74" t="inlineStr">
        <is>
          <t>kg</t>
        </is>
      </c>
      <c r="H1443" s="76" t="n"/>
      <c r="I1443" s="73" t="n"/>
      <c r="J1443" s="73" t="n"/>
      <c r="K1443" s="74" t="n"/>
      <c r="L1443" s="74" t="n"/>
      <c r="M1443" s="64" t="e">
        <v>#N/A</v>
      </c>
    </row>
    <row r="1444" ht="29.1" customHeight="1">
      <c r="A1444" s="74" t="n"/>
      <c r="B1444" s="74" t="n"/>
      <c r="C1444" s="74" t="n"/>
      <c r="D1444" s="74" t="n"/>
      <c r="E1444" s="74" t="n"/>
      <c r="F1444" s="74" t="n"/>
      <c r="G1444" s="74" t="inlineStr">
        <is>
          <t>kg</t>
        </is>
      </c>
      <c r="H1444" s="76" t="n"/>
      <c r="I1444" s="73" t="n"/>
      <c r="J1444" s="73" t="n"/>
      <c r="K1444" s="74" t="n"/>
      <c r="L1444" s="74" t="n"/>
      <c r="M1444" s="64" t="e">
        <v>#N/A</v>
      </c>
    </row>
    <row r="1445" ht="29.1" customHeight="1">
      <c r="A1445" s="74" t="n"/>
      <c r="B1445" s="74" t="n"/>
      <c r="C1445" s="74" t="n"/>
      <c r="D1445" s="74" t="n"/>
      <c r="E1445" s="74" t="n"/>
      <c r="F1445" s="74" t="n"/>
      <c r="G1445" s="74" t="inlineStr">
        <is>
          <t>kg</t>
        </is>
      </c>
      <c r="H1445" s="76" t="n"/>
      <c r="I1445" s="73" t="n"/>
      <c r="J1445" s="73" t="n"/>
      <c r="K1445" s="74" t="n"/>
      <c r="L1445" s="74" t="n"/>
      <c r="M1445" s="64" t="e">
        <v>#N/A</v>
      </c>
    </row>
    <row r="1446" ht="29.1" customHeight="1">
      <c r="A1446" s="74" t="n"/>
      <c r="B1446" s="74" t="n"/>
      <c r="C1446" s="74" t="n"/>
      <c r="D1446" s="74" t="n"/>
      <c r="E1446" s="74" t="n"/>
      <c r="F1446" s="74" t="n"/>
      <c r="G1446" s="74" t="inlineStr">
        <is>
          <t>kg</t>
        </is>
      </c>
      <c r="H1446" s="76" t="n"/>
      <c r="I1446" s="73" t="n"/>
      <c r="J1446" s="73" t="n"/>
      <c r="K1446" s="74" t="n"/>
      <c r="L1446" s="74" t="n"/>
      <c r="M1446" s="64" t="e">
        <v>#N/A</v>
      </c>
    </row>
    <row r="1447" ht="29.1" customHeight="1">
      <c r="A1447" s="74" t="n"/>
      <c r="B1447" s="74" t="n"/>
      <c r="C1447" s="74" t="n"/>
      <c r="D1447" s="74" t="n"/>
      <c r="E1447" s="74" t="n"/>
      <c r="F1447" s="74" t="n"/>
      <c r="G1447" s="74" t="inlineStr">
        <is>
          <t>kg</t>
        </is>
      </c>
      <c r="H1447" s="76" t="n"/>
      <c r="I1447" s="73" t="n"/>
      <c r="J1447" s="73" t="n"/>
      <c r="K1447" s="74" t="n"/>
      <c r="L1447" s="74" t="n"/>
      <c r="M1447" s="64" t="e">
        <v>#N/A</v>
      </c>
    </row>
    <row r="1448" ht="29.1" customHeight="1">
      <c r="A1448" s="74" t="n"/>
      <c r="B1448" s="74" t="n"/>
      <c r="C1448" s="74" t="n"/>
      <c r="D1448" s="74" t="n"/>
      <c r="E1448" s="74" t="n"/>
      <c r="F1448" s="74" t="n"/>
      <c r="G1448" s="74" t="inlineStr">
        <is>
          <t>kg</t>
        </is>
      </c>
      <c r="H1448" s="76" t="n"/>
      <c r="I1448" s="73" t="n"/>
      <c r="J1448" s="73" t="n"/>
      <c r="K1448" s="74" t="n"/>
      <c r="L1448" s="74" t="n"/>
      <c r="M1448" s="64" t="e">
        <v>#N/A</v>
      </c>
    </row>
    <row r="1449" ht="29.1" customHeight="1">
      <c r="A1449" s="74" t="n"/>
      <c r="B1449" s="74" t="n"/>
      <c r="C1449" s="74" t="n"/>
      <c r="D1449" s="74" t="n"/>
      <c r="E1449" s="74" t="n"/>
      <c r="F1449" s="74" t="n"/>
      <c r="G1449" s="74" t="inlineStr">
        <is>
          <t>kg</t>
        </is>
      </c>
      <c r="H1449" s="76" t="n"/>
      <c r="I1449" s="73" t="n"/>
      <c r="J1449" s="73" t="n"/>
      <c r="K1449" s="74" t="n"/>
      <c r="L1449" s="74" t="n"/>
      <c r="M1449" s="64" t="e">
        <v>#N/A</v>
      </c>
    </row>
    <row r="1450" ht="29.1" customHeight="1">
      <c r="A1450" s="74" t="n"/>
      <c r="B1450" s="74" t="n"/>
      <c r="C1450" s="74" t="n"/>
      <c r="D1450" s="74" t="n"/>
      <c r="E1450" s="74" t="n"/>
      <c r="F1450" s="74" t="n"/>
      <c r="G1450" s="74" t="inlineStr">
        <is>
          <t>kg</t>
        </is>
      </c>
      <c r="H1450" s="76" t="n"/>
      <c r="I1450" s="73" t="n"/>
      <c r="J1450" s="73" t="n"/>
      <c r="K1450" s="74" t="n"/>
      <c r="L1450" s="74" t="n"/>
      <c r="M1450" s="64" t="e">
        <v>#N/A</v>
      </c>
    </row>
    <row r="1451" ht="29.1" customHeight="1">
      <c r="A1451" s="74" t="n"/>
      <c r="B1451" s="74" t="n"/>
      <c r="C1451" s="74" t="n"/>
      <c r="D1451" s="74" t="n"/>
      <c r="E1451" s="74" t="n"/>
      <c r="F1451" s="74" t="n"/>
      <c r="G1451" s="74" t="inlineStr">
        <is>
          <t>kg</t>
        </is>
      </c>
      <c r="H1451" s="76" t="n"/>
      <c r="I1451" s="73" t="n"/>
      <c r="J1451" s="73" t="n"/>
      <c r="K1451" s="74" t="n"/>
      <c r="L1451" s="74" t="n"/>
      <c r="M1451" s="64" t="e">
        <v>#N/A</v>
      </c>
    </row>
    <row r="1452" ht="29.1" customHeight="1">
      <c r="A1452" s="74" t="n"/>
      <c r="B1452" s="74" t="n"/>
      <c r="C1452" s="74" t="n"/>
      <c r="D1452" s="74" t="n"/>
      <c r="E1452" s="74" t="n"/>
      <c r="F1452" s="74" t="n"/>
      <c r="G1452" s="74" t="inlineStr">
        <is>
          <t>kg</t>
        </is>
      </c>
      <c r="H1452" s="76" t="n"/>
      <c r="I1452" s="73" t="n"/>
      <c r="J1452" s="73" t="n"/>
      <c r="K1452" s="74" t="n"/>
      <c r="L1452" s="74" t="n"/>
      <c r="M1452" s="64" t="e">
        <v>#N/A</v>
      </c>
    </row>
    <row r="1453" ht="29.1" customHeight="1">
      <c r="A1453" s="74" t="n"/>
      <c r="B1453" s="74" t="n"/>
      <c r="C1453" s="74" t="n"/>
      <c r="D1453" s="74" t="n"/>
      <c r="E1453" s="74" t="n"/>
      <c r="F1453" s="74" t="n"/>
      <c r="G1453" s="74" t="inlineStr">
        <is>
          <t>kg</t>
        </is>
      </c>
      <c r="H1453" s="76" t="n"/>
      <c r="I1453" s="73" t="n"/>
      <c r="J1453" s="73" t="n"/>
      <c r="K1453" s="74" t="n"/>
      <c r="L1453" s="74" t="n"/>
      <c r="M1453" s="64" t="e">
        <v>#N/A</v>
      </c>
    </row>
    <row r="1454" ht="29.1" customHeight="1">
      <c r="A1454" s="74" t="n"/>
      <c r="B1454" s="74" t="n"/>
      <c r="C1454" s="74" t="n"/>
      <c r="D1454" s="74" t="n"/>
      <c r="E1454" s="74" t="n"/>
      <c r="F1454" s="74" t="n"/>
      <c r="G1454" s="74" t="inlineStr">
        <is>
          <t>kg</t>
        </is>
      </c>
      <c r="H1454" s="76" t="n"/>
      <c r="I1454" s="73" t="n"/>
      <c r="J1454" s="73" t="n"/>
      <c r="K1454" s="74" t="n"/>
      <c r="L1454" s="74" t="n"/>
      <c r="M1454" s="64" t="e">
        <v>#N/A</v>
      </c>
    </row>
    <row r="1455" ht="29.1" customHeight="1">
      <c r="A1455" s="74" t="n"/>
      <c r="B1455" s="74" t="n"/>
      <c r="C1455" s="74" t="n"/>
      <c r="D1455" s="74" t="n"/>
      <c r="E1455" s="74" t="n"/>
      <c r="F1455" s="74" t="n"/>
      <c r="G1455" s="74" t="inlineStr">
        <is>
          <t>kg</t>
        </is>
      </c>
      <c r="H1455" s="76" t="n"/>
      <c r="I1455" s="73" t="n"/>
      <c r="J1455" s="73" t="n"/>
      <c r="K1455" s="74" t="n"/>
      <c r="L1455" s="74" t="n"/>
      <c r="M1455" s="64" t="e">
        <v>#N/A</v>
      </c>
    </row>
    <row r="1456" ht="29.1" customHeight="1">
      <c r="A1456" s="74" t="n"/>
      <c r="B1456" s="74" t="n"/>
      <c r="C1456" s="74" t="n"/>
      <c r="D1456" s="74" t="n"/>
      <c r="E1456" s="74" t="n"/>
      <c r="F1456" s="74" t="n"/>
      <c r="G1456" s="74" t="inlineStr">
        <is>
          <t>kg</t>
        </is>
      </c>
      <c r="H1456" s="76" t="n"/>
      <c r="I1456" s="73" t="n"/>
      <c r="J1456" s="73" t="n"/>
      <c r="K1456" s="74" t="n"/>
      <c r="L1456" s="74" t="n"/>
      <c r="M1456" s="64" t="e">
        <v>#N/A</v>
      </c>
    </row>
    <row r="1457" ht="29.1" customHeight="1">
      <c r="A1457" s="74" t="n"/>
      <c r="B1457" s="74" t="n"/>
      <c r="C1457" s="74" t="n"/>
      <c r="D1457" s="74" t="n"/>
      <c r="E1457" s="74" t="n"/>
      <c r="F1457" s="74" t="n"/>
      <c r="G1457" s="74" t="inlineStr">
        <is>
          <t>kg</t>
        </is>
      </c>
      <c r="H1457" s="76" t="n"/>
      <c r="I1457" s="73" t="n"/>
      <c r="J1457" s="73" t="n"/>
      <c r="K1457" s="74" t="n"/>
      <c r="L1457" s="74" t="n"/>
      <c r="M1457" s="64" t="e">
        <v>#N/A</v>
      </c>
    </row>
    <row r="1458" ht="29.1" customHeight="1">
      <c r="A1458" s="74" t="n"/>
      <c r="B1458" s="74" t="n"/>
      <c r="C1458" s="74" t="n"/>
      <c r="D1458" s="74" t="n"/>
      <c r="E1458" s="74" t="n"/>
      <c r="F1458" s="74" t="n"/>
      <c r="G1458" s="74" t="inlineStr">
        <is>
          <t>kg</t>
        </is>
      </c>
      <c r="H1458" s="76" t="n"/>
      <c r="I1458" s="73" t="n"/>
      <c r="J1458" s="73" t="n"/>
      <c r="K1458" s="74" t="n"/>
      <c r="L1458" s="74" t="n"/>
      <c r="M1458" s="64" t="e">
        <v>#N/A</v>
      </c>
    </row>
    <row r="1459" ht="29.1" customHeight="1">
      <c r="A1459" s="74" t="n"/>
      <c r="B1459" s="74" t="n"/>
      <c r="C1459" s="74" t="n"/>
      <c r="D1459" s="74" t="n"/>
      <c r="E1459" s="74" t="n"/>
      <c r="F1459" s="74" t="n"/>
      <c r="G1459" s="74" t="inlineStr">
        <is>
          <t>kg</t>
        </is>
      </c>
      <c r="H1459" s="76" t="n"/>
      <c r="I1459" s="73" t="n"/>
      <c r="J1459" s="73" t="n"/>
      <c r="K1459" s="74" t="n"/>
      <c r="L1459" s="74" t="n"/>
      <c r="M1459" s="64" t="e">
        <v>#N/A</v>
      </c>
    </row>
    <row r="1460" ht="29.1" customHeight="1">
      <c r="A1460" s="74" t="n"/>
      <c r="B1460" s="74" t="n"/>
      <c r="C1460" s="74" t="n"/>
      <c r="D1460" s="74" t="n"/>
      <c r="E1460" s="74" t="n"/>
      <c r="F1460" s="74" t="n"/>
      <c r="G1460" s="74" t="inlineStr">
        <is>
          <t>kg</t>
        </is>
      </c>
      <c r="H1460" s="76" t="n"/>
      <c r="I1460" s="73" t="n"/>
      <c r="J1460" s="73" t="n"/>
      <c r="K1460" s="74" t="n"/>
      <c r="L1460" s="74" t="n"/>
      <c r="M1460" s="64" t="e">
        <v>#N/A</v>
      </c>
    </row>
    <row r="1461" ht="29.1" customHeight="1">
      <c r="A1461" s="74" t="n"/>
      <c r="B1461" s="74" t="n"/>
      <c r="C1461" s="74" t="n"/>
      <c r="D1461" s="74" t="n"/>
      <c r="E1461" s="74" t="n"/>
      <c r="F1461" s="74" t="n"/>
      <c r="G1461" s="74" t="inlineStr">
        <is>
          <t>kg</t>
        </is>
      </c>
      <c r="H1461" s="76" t="n"/>
      <c r="I1461" s="73" t="n"/>
      <c r="J1461" s="73" t="n"/>
      <c r="K1461" s="74" t="n"/>
      <c r="L1461" s="74" t="n"/>
      <c r="M1461" s="64" t="e">
        <v>#N/A</v>
      </c>
    </row>
    <row r="1462" ht="29.1" customHeight="1">
      <c r="A1462" s="74" t="n"/>
      <c r="B1462" s="74" t="n"/>
      <c r="C1462" s="74" t="n"/>
      <c r="D1462" s="74" t="n"/>
      <c r="E1462" s="74" t="n"/>
      <c r="F1462" s="74" t="n"/>
      <c r="G1462" s="74" t="inlineStr">
        <is>
          <t>kg</t>
        </is>
      </c>
      <c r="H1462" s="76" t="n"/>
      <c r="I1462" s="73" t="n"/>
      <c r="J1462" s="73" t="n"/>
      <c r="K1462" s="74" t="n"/>
      <c r="L1462" s="74" t="n"/>
      <c r="M1462" s="64" t="e">
        <v>#N/A</v>
      </c>
    </row>
    <row r="1463" ht="29.1" customHeight="1">
      <c r="A1463" s="74" t="n"/>
      <c r="B1463" s="74" t="n"/>
      <c r="C1463" s="74" t="n"/>
      <c r="D1463" s="74" t="n"/>
      <c r="E1463" s="74" t="n"/>
      <c r="F1463" s="74" t="n"/>
      <c r="G1463" s="74" t="inlineStr">
        <is>
          <t>kg</t>
        </is>
      </c>
      <c r="H1463" s="76" t="n"/>
      <c r="I1463" s="73" t="n"/>
      <c r="J1463" s="73" t="n"/>
      <c r="K1463" s="74" t="n"/>
      <c r="L1463" s="74" t="n"/>
      <c r="M1463" s="64" t="e">
        <v>#N/A</v>
      </c>
    </row>
    <row r="1464" ht="29.1" customHeight="1">
      <c r="A1464" s="74" t="n"/>
      <c r="B1464" s="74" t="n"/>
      <c r="C1464" s="74" t="n"/>
      <c r="D1464" s="74" t="n"/>
      <c r="E1464" s="74" t="n"/>
      <c r="F1464" s="74" t="n"/>
      <c r="G1464" s="74" t="inlineStr">
        <is>
          <t>kg</t>
        </is>
      </c>
      <c r="H1464" s="76" t="n"/>
      <c r="I1464" s="73" t="n"/>
      <c r="J1464" s="73" t="n"/>
      <c r="K1464" s="74" t="n"/>
      <c r="L1464" s="74" t="n"/>
      <c r="M1464" s="64" t="e">
        <v>#N/A</v>
      </c>
    </row>
    <row r="1465" ht="29.1" customHeight="1">
      <c r="A1465" s="74" t="n"/>
      <c r="B1465" s="74" t="n"/>
      <c r="C1465" s="74" t="n"/>
      <c r="D1465" s="74" t="n"/>
      <c r="E1465" s="74" t="n"/>
      <c r="F1465" s="74" t="n"/>
      <c r="G1465" s="74" t="inlineStr">
        <is>
          <t>kg</t>
        </is>
      </c>
      <c r="H1465" s="76" t="n"/>
      <c r="I1465" s="73" t="n"/>
      <c r="J1465" s="73" t="n"/>
      <c r="K1465" s="74" t="n"/>
      <c r="L1465" s="74" t="n"/>
      <c r="M1465" s="64" t="e">
        <v>#N/A</v>
      </c>
    </row>
    <row r="1466" ht="29.1" customHeight="1">
      <c r="A1466" s="74" t="n"/>
      <c r="B1466" s="74" t="n"/>
      <c r="C1466" s="74" t="n"/>
      <c r="D1466" s="74" t="n"/>
      <c r="E1466" s="74" t="n"/>
      <c r="F1466" s="74" t="n"/>
      <c r="G1466" s="74" t="inlineStr">
        <is>
          <t>kg</t>
        </is>
      </c>
      <c r="H1466" s="76" t="n"/>
      <c r="I1466" s="73" t="n"/>
      <c r="J1466" s="73" t="n"/>
      <c r="K1466" s="74" t="n"/>
      <c r="L1466" s="74" t="n"/>
      <c r="M1466" s="64" t="e">
        <v>#N/A</v>
      </c>
    </row>
    <row r="1467" ht="29.1" customHeight="1">
      <c r="A1467" s="74" t="n"/>
      <c r="B1467" s="74" t="n"/>
      <c r="C1467" s="74" t="n"/>
      <c r="D1467" s="74" t="n"/>
      <c r="E1467" s="74" t="n"/>
      <c r="F1467" s="74" t="n"/>
      <c r="G1467" s="74" t="inlineStr">
        <is>
          <t>kg</t>
        </is>
      </c>
      <c r="H1467" s="76" t="n"/>
      <c r="I1467" s="73" t="n"/>
      <c r="J1467" s="73" t="n"/>
      <c r="K1467" s="74" t="n"/>
      <c r="L1467" s="74" t="n"/>
      <c r="M1467" s="64" t="e">
        <v>#N/A</v>
      </c>
    </row>
    <row r="1468" ht="29.1" customHeight="1">
      <c r="A1468" s="74" t="n"/>
      <c r="B1468" s="74" t="n"/>
      <c r="C1468" s="74" t="n"/>
      <c r="D1468" s="74" t="n"/>
      <c r="E1468" s="74" t="n"/>
      <c r="F1468" s="74" t="n"/>
      <c r="G1468" s="74" t="inlineStr">
        <is>
          <t>kg</t>
        </is>
      </c>
      <c r="H1468" s="76" t="n"/>
      <c r="I1468" s="73" t="n"/>
      <c r="J1468" s="73" t="n"/>
      <c r="K1468" s="74" t="n"/>
      <c r="L1468" s="74" t="n"/>
      <c r="M1468" s="64" t="e">
        <v>#N/A</v>
      </c>
    </row>
    <row r="1469" ht="29.1" customHeight="1">
      <c r="A1469" s="74" t="n"/>
      <c r="B1469" s="74" t="n"/>
      <c r="C1469" s="74" t="n"/>
      <c r="D1469" s="74" t="n"/>
      <c r="E1469" s="74" t="n"/>
      <c r="F1469" s="74" t="n"/>
      <c r="G1469" s="74" t="inlineStr">
        <is>
          <t>kg</t>
        </is>
      </c>
      <c r="H1469" s="76" t="n"/>
      <c r="I1469" s="73" t="n"/>
      <c r="J1469" s="73" t="n"/>
      <c r="K1469" s="74" t="n"/>
      <c r="L1469" s="74" t="n"/>
      <c r="M1469" s="64" t="e">
        <v>#N/A</v>
      </c>
    </row>
    <row r="1470" ht="29.1" customHeight="1">
      <c r="A1470" s="74" t="n"/>
      <c r="B1470" s="74" t="n"/>
      <c r="C1470" s="74" t="n"/>
      <c r="D1470" s="74" t="n"/>
      <c r="E1470" s="74" t="n"/>
      <c r="F1470" s="74" t="n"/>
      <c r="G1470" s="74" t="inlineStr">
        <is>
          <t>kg</t>
        </is>
      </c>
      <c r="H1470" s="76" t="n"/>
      <c r="I1470" s="73" t="n"/>
      <c r="J1470" s="73" t="n"/>
      <c r="K1470" s="74" t="n"/>
      <c r="L1470" s="74" t="n"/>
      <c r="M1470" s="64" t="e">
        <v>#N/A</v>
      </c>
    </row>
    <row r="1471" ht="29.1" customHeight="1">
      <c r="A1471" s="74" t="n"/>
      <c r="B1471" s="74" t="n"/>
      <c r="C1471" s="74" t="n"/>
      <c r="D1471" s="74" t="n"/>
      <c r="E1471" s="74" t="n"/>
      <c r="F1471" s="74" t="n"/>
      <c r="G1471" s="74" t="inlineStr">
        <is>
          <t>kg</t>
        </is>
      </c>
      <c r="H1471" s="76" t="n"/>
      <c r="I1471" s="73" t="n"/>
      <c r="J1471" s="73" t="n"/>
      <c r="K1471" s="74" t="n"/>
      <c r="L1471" s="74" t="n"/>
      <c r="M1471" s="64" t="e">
        <v>#N/A</v>
      </c>
    </row>
    <row r="1472" ht="29.1" customHeight="1">
      <c r="A1472" s="74" t="n"/>
      <c r="B1472" s="74" t="n"/>
      <c r="C1472" s="74" t="n"/>
      <c r="D1472" s="74" t="n"/>
      <c r="E1472" s="74" t="n"/>
      <c r="F1472" s="74" t="n"/>
      <c r="G1472" s="74" t="inlineStr">
        <is>
          <t>kg</t>
        </is>
      </c>
      <c r="H1472" s="76" t="n"/>
      <c r="I1472" s="73" t="n"/>
      <c r="J1472" s="73" t="n"/>
      <c r="K1472" s="74" t="n"/>
      <c r="L1472" s="74" t="n"/>
      <c r="M1472" s="64" t="e">
        <v>#N/A</v>
      </c>
    </row>
    <row r="1473" ht="29.1" customHeight="1">
      <c r="A1473" s="74" t="n"/>
      <c r="B1473" s="74" t="n"/>
      <c r="C1473" s="74" t="n"/>
      <c r="D1473" s="74" t="n"/>
      <c r="E1473" s="74" t="n"/>
      <c r="F1473" s="74" t="n"/>
      <c r="G1473" s="74" t="inlineStr">
        <is>
          <t>kg</t>
        </is>
      </c>
      <c r="H1473" s="76" t="n"/>
      <c r="I1473" s="73" t="n"/>
      <c r="J1473" s="73" t="n"/>
      <c r="K1473" s="74" t="n"/>
      <c r="L1473" s="74" t="n"/>
      <c r="M1473" s="64" t="e">
        <v>#N/A</v>
      </c>
    </row>
    <row r="1474" ht="29.1" customHeight="1">
      <c r="A1474" s="74" t="n"/>
      <c r="B1474" s="74" t="n"/>
      <c r="C1474" s="74" t="n"/>
      <c r="D1474" s="74" t="n"/>
      <c r="E1474" s="74" t="n"/>
      <c r="F1474" s="74" t="n"/>
      <c r="G1474" s="74" t="inlineStr">
        <is>
          <t>kg</t>
        </is>
      </c>
      <c r="H1474" s="76" t="n"/>
      <c r="I1474" s="73" t="n"/>
      <c r="J1474" s="73" t="n"/>
      <c r="K1474" s="74" t="n"/>
      <c r="L1474" s="74" t="n"/>
      <c r="M1474" s="64" t="e">
        <v>#N/A</v>
      </c>
    </row>
    <row r="1475" ht="29.1" customHeight="1">
      <c r="A1475" s="74" t="n"/>
      <c r="B1475" s="74" t="n"/>
      <c r="C1475" s="74" t="n"/>
      <c r="D1475" s="74" t="n"/>
      <c r="E1475" s="74" t="n"/>
      <c r="F1475" s="74" t="n"/>
      <c r="G1475" s="74" t="inlineStr">
        <is>
          <t>kg</t>
        </is>
      </c>
      <c r="H1475" s="76" t="n"/>
      <c r="I1475" s="73" t="n"/>
      <c r="J1475" s="73" t="n"/>
      <c r="K1475" s="74" t="n"/>
      <c r="L1475" s="74" t="n"/>
      <c r="M1475" s="64" t="e">
        <v>#N/A</v>
      </c>
    </row>
    <row r="1476" ht="29.1" customHeight="1">
      <c r="A1476" s="74" t="n"/>
      <c r="B1476" s="74" t="n"/>
      <c r="C1476" s="74" t="n"/>
      <c r="D1476" s="74" t="n"/>
      <c r="E1476" s="74" t="n"/>
      <c r="F1476" s="74" t="n"/>
      <c r="G1476" s="74" t="inlineStr">
        <is>
          <t>kg</t>
        </is>
      </c>
      <c r="H1476" s="76" t="n"/>
      <c r="I1476" s="73" t="n"/>
      <c r="J1476" s="73" t="n"/>
      <c r="K1476" s="74" t="n"/>
      <c r="L1476" s="74" t="n"/>
      <c r="M1476" s="64" t="e">
        <v>#N/A</v>
      </c>
    </row>
    <row r="1477" ht="29.1" customHeight="1">
      <c r="A1477" s="74" t="n"/>
      <c r="B1477" s="74" t="n"/>
      <c r="C1477" s="74" t="n"/>
      <c r="D1477" s="74" t="n"/>
      <c r="E1477" s="74" t="n"/>
      <c r="F1477" s="74" t="n"/>
      <c r="G1477" s="74" t="inlineStr">
        <is>
          <t>kg</t>
        </is>
      </c>
      <c r="H1477" s="76" t="n"/>
      <c r="I1477" s="73" t="n"/>
      <c r="J1477" s="73" t="n"/>
      <c r="K1477" s="74" t="n"/>
      <c r="L1477" s="74" t="n"/>
      <c r="M1477" s="64" t="e">
        <v>#N/A</v>
      </c>
    </row>
    <row r="1478" ht="29.1" customHeight="1">
      <c r="A1478" s="74" t="n"/>
      <c r="B1478" s="74" t="n"/>
      <c r="C1478" s="74" t="n"/>
      <c r="D1478" s="74" t="n"/>
      <c r="E1478" s="74" t="n"/>
      <c r="F1478" s="74" t="n"/>
      <c r="G1478" s="74" t="inlineStr">
        <is>
          <t>kg</t>
        </is>
      </c>
      <c r="H1478" s="76" t="n"/>
      <c r="I1478" s="73" t="n"/>
      <c r="J1478" s="73" t="n"/>
      <c r="K1478" s="74" t="n"/>
      <c r="L1478" s="74" t="n"/>
      <c r="M1478" s="64" t="e">
        <v>#N/A</v>
      </c>
    </row>
    <row r="1479" ht="29.1" customHeight="1">
      <c r="A1479" s="74" t="n"/>
      <c r="B1479" s="74" t="n"/>
      <c r="C1479" s="74" t="n"/>
      <c r="D1479" s="74" t="n"/>
      <c r="E1479" s="74" t="n"/>
      <c r="F1479" s="74" t="n"/>
      <c r="G1479" s="74" t="inlineStr">
        <is>
          <t>kg</t>
        </is>
      </c>
      <c r="H1479" s="76" t="n"/>
      <c r="I1479" s="73" t="n"/>
      <c r="J1479" s="73" t="n"/>
      <c r="K1479" s="74" t="n"/>
      <c r="L1479" s="74" t="n"/>
      <c r="M1479" s="64" t="e">
        <v>#N/A</v>
      </c>
    </row>
    <row r="1480" ht="29.1" customHeight="1">
      <c r="A1480" s="74" t="n"/>
      <c r="B1480" s="74" t="n"/>
      <c r="C1480" s="74" t="n"/>
      <c r="D1480" s="74" t="n"/>
      <c r="E1480" s="74" t="n"/>
      <c r="F1480" s="74" t="n"/>
      <c r="G1480" s="74" t="inlineStr">
        <is>
          <t>kg</t>
        </is>
      </c>
      <c r="H1480" s="76" t="n"/>
      <c r="I1480" s="73" t="n"/>
      <c r="J1480" s="73" t="n"/>
      <c r="K1480" s="74" t="n"/>
      <c r="L1480" s="74" t="n"/>
      <c r="M1480" s="64" t="e">
        <v>#N/A</v>
      </c>
    </row>
    <row r="1481" ht="29.1" customHeight="1">
      <c r="A1481" s="74" t="n"/>
      <c r="B1481" s="74" t="n"/>
      <c r="C1481" s="74" t="n"/>
      <c r="D1481" s="74" t="n"/>
      <c r="E1481" s="74" t="n"/>
      <c r="F1481" s="74" t="n"/>
      <c r="G1481" s="74" t="inlineStr">
        <is>
          <t>kg</t>
        </is>
      </c>
      <c r="H1481" s="76" t="n"/>
      <c r="I1481" s="73" t="n"/>
      <c r="J1481" s="73" t="n"/>
      <c r="K1481" s="74" t="n"/>
      <c r="L1481" s="74" t="n"/>
      <c r="M1481" s="64" t="e">
        <v>#N/A</v>
      </c>
    </row>
    <row r="1482" ht="29.1" customHeight="1">
      <c r="A1482" s="74" t="n"/>
      <c r="B1482" s="74" t="n"/>
      <c r="C1482" s="74" t="n"/>
      <c r="D1482" s="74" t="n"/>
      <c r="E1482" s="74" t="n"/>
      <c r="F1482" s="74" t="n"/>
      <c r="G1482" s="74" t="inlineStr">
        <is>
          <t>kg</t>
        </is>
      </c>
      <c r="H1482" s="76" t="n"/>
      <c r="I1482" s="73" t="n"/>
      <c r="J1482" s="73" t="n"/>
      <c r="K1482" s="74" t="n"/>
      <c r="L1482" s="74" t="n"/>
      <c r="M1482" s="64" t="e">
        <v>#N/A</v>
      </c>
    </row>
    <row r="1483" ht="29.1" customHeight="1">
      <c r="A1483" s="74" t="n"/>
      <c r="B1483" s="74" t="n"/>
      <c r="C1483" s="74" t="n"/>
      <c r="D1483" s="74" t="n"/>
      <c r="E1483" s="74" t="n"/>
      <c r="F1483" s="74" t="n"/>
      <c r="G1483" s="74" t="inlineStr">
        <is>
          <t>kg</t>
        </is>
      </c>
      <c r="H1483" s="76" t="n"/>
      <c r="I1483" s="73" t="n"/>
      <c r="J1483" s="73" t="n"/>
      <c r="K1483" s="74" t="n"/>
      <c r="L1483" s="74" t="n"/>
      <c r="M1483" s="64" t="e">
        <v>#N/A</v>
      </c>
    </row>
    <row r="1484" ht="29.1" customHeight="1">
      <c r="A1484" s="74" t="n"/>
      <c r="B1484" s="74" t="n"/>
      <c r="C1484" s="74" t="n"/>
      <c r="D1484" s="74" t="n"/>
      <c r="E1484" s="74" t="n"/>
      <c r="F1484" s="74" t="n"/>
      <c r="G1484" s="74" t="inlineStr">
        <is>
          <t>kg</t>
        </is>
      </c>
      <c r="H1484" s="76" t="n"/>
      <c r="I1484" s="73" t="n"/>
      <c r="J1484" s="73" t="n"/>
      <c r="K1484" s="74" t="n"/>
      <c r="L1484" s="74" t="n"/>
      <c r="M1484" s="64" t="e">
        <v>#N/A</v>
      </c>
    </row>
    <row r="1485" ht="29.1" customHeight="1">
      <c r="A1485" s="74" t="n"/>
      <c r="B1485" s="74" t="n"/>
      <c r="C1485" s="74" t="n"/>
      <c r="D1485" s="74" t="n"/>
      <c r="E1485" s="74" t="n"/>
      <c r="F1485" s="74" t="n"/>
      <c r="G1485" s="74" t="inlineStr">
        <is>
          <t>kg</t>
        </is>
      </c>
      <c r="H1485" s="76" t="n"/>
      <c r="I1485" s="73" t="n"/>
      <c r="J1485" s="73" t="n"/>
      <c r="K1485" s="74" t="n"/>
      <c r="L1485" s="74" t="n"/>
      <c r="M1485" s="64" t="e">
        <v>#N/A</v>
      </c>
    </row>
    <row r="1486" ht="29.1" customHeight="1">
      <c r="A1486" s="74" t="n"/>
      <c r="B1486" s="74" t="n"/>
      <c r="C1486" s="74" t="n"/>
      <c r="D1486" s="74" t="n"/>
      <c r="E1486" s="74" t="n"/>
      <c r="F1486" s="74" t="n"/>
      <c r="G1486" s="74" t="inlineStr">
        <is>
          <t>kg</t>
        </is>
      </c>
      <c r="H1486" s="76" t="n"/>
      <c r="I1486" s="73" t="n"/>
      <c r="J1486" s="73" t="n"/>
      <c r="K1486" s="74" t="n"/>
      <c r="L1486" s="74" t="n"/>
      <c r="M1486" s="64" t="e">
        <v>#N/A</v>
      </c>
    </row>
    <row r="1487" ht="29.1" customHeight="1">
      <c r="A1487" s="74" t="n"/>
      <c r="B1487" s="74" t="n"/>
      <c r="C1487" s="74" t="n"/>
      <c r="D1487" s="74" t="n"/>
      <c r="E1487" s="74" t="n"/>
      <c r="F1487" s="74" t="n"/>
      <c r="G1487" s="74" t="inlineStr">
        <is>
          <t>kg</t>
        </is>
      </c>
      <c r="H1487" s="76" t="n"/>
      <c r="I1487" s="73" t="n"/>
      <c r="J1487" s="73" t="n"/>
      <c r="K1487" s="74" t="n"/>
      <c r="L1487" s="74" t="n"/>
      <c r="M1487" s="64" t="e">
        <v>#N/A</v>
      </c>
    </row>
    <row r="1488" ht="29.1" customHeight="1">
      <c r="A1488" s="74" t="n"/>
      <c r="B1488" s="74" t="n"/>
      <c r="C1488" s="74" t="n"/>
      <c r="D1488" s="74" t="n"/>
      <c r="E1488" s="74" t="n"/>
      <c r="F1488" s="74" t="n"/>
      <c r="G1488" s="74" t="inlineStr">
        <is>
          <t>kg</t>
        </is>
      </c>
      <c r="H1488" s="76" t="n"/>
      <c r="I1488" s="73" t="n"/>
      <c r="J1488" s="73" t="n"/>
      <c r="K1488" s="74" t="n"/>
      <c r="L1488" s="74" t="n"/>
      <c r="M1488" s="64" t="e">
        <v>#N/A</v>
      </c>
    </row>
    <row r="1489" ht="29.1" customHeight="1">
      <c r="A1489" s="74" t="n"/>
      <c r="B1489" s="74" t="n"/>
      <c r="C1489" s="74" t="n"/>
      <c r="D1489" s="74" t="n"/>
      <c r="E1489" s="74" t="n"/>
      <c r="F1489" s="74" t="n"/>
      <c r="G1489" s="74" t="inlineStr">
        <is>
          <t>kg</t>
        </is>
      </c>
      <c r="H1489" s="76" t="n"/>
      <c r="I1489" s="73" t="n"/>
      <c r="J1489" s="73" t="n"/>
      <c r="K1489" s="74" t="n"/>
      <c r="L1489" s="74" t="n"/>
      <c r="M1489" s="64" t="e">
        <v>#N/A</v>
      </c>
    </row>
    <row r="1490" ht="29.1" customHeight="1">
      <c r="A1490" s="74" t="n"/>
      <c r="B1490" s="74" t="n"/>
      <c r="C1490" s="74" t="n"/>
      <c r="D1490" s="74" t="n"/>
      <c r="E1490" s="74" t="n"/>
      <c r="F1490" s="74" t="n"/>
      <c r="G1490" s="74" t="inlineStr">
        <is>
          <t>kg</t>
        </is>
      </c>
      <c r="H1490" s="76" t="n"/>
      <c r="I1490" s="73" t="n"/>
      <c r="J1490" s="73" t="n"/>
      <c r="K1490" s="74" t="n"/>
      <c r="L1490" s="74" t="n"/>
      <c r="M1490" s="64" t="e">
        <v>#N/A</v>
      </c>
    </row>
    <row r="1491" ht="29.1" customHeight="1">
      <c r="A1491" s="74" t="n"/>
      <c r="B1491" s="74" t="n"/>
      <c r="C1491" s="74" t="n"/>
      <c r="D1491" s="74" t="n"/>
      <c r="E1491" s="74" t="n"/>
      <c r="F1491" s="74" t="n"/>
      <c r="G1491" s="74" t="inlineStr">
        <is>
          <t>kg</t>
        </is>
      </c>
      <c r="H1491" s="76" t="n"/>
      <c r="I1491" s="73" t="n"/>
      <c r="J1491" s="73" t="n"/>
      <c r="K1491" s="74" t="n"/>
      <c r="L1491" s="74" t="n"/>
      <c r="M1491" s="64" t="e">
        <v>#N/A</v>
      </c>
    </row>
    <row r="1492" ht="29.1" customHeight="1">
      <c r="A1492" s="74" t="n"/>
      <c r="B1492" s="74" t="n"/>
      <c r="C1492" s="74" t="n"/>
      <c r="D1492" s="74" t="n"/>
      <c r="E1492" s="74" t="n"/>
      <c r="F1492" s="74" t="n"/>
      <c r="G1492" s="74" t="inlineStr">
        <is>
          <t>kg</t>
        </is>
      </c>
      <c r="H1492" s="76" t="n"/>
      <c r="I1492" s="73" t="n"/>
      <c r="J1492" s="73" t="n"/>
      <c r="K1492" s="74" t="n"/>
      <c r="L1492" s="74" t="n"/>
      <c r="M1492" s="64" t="e">
        <v>#N/A</v>
      </c>
    </row>
    <row r="1493" ht="29.1" customHeight="1">
      <c r="A1493" s="74" t="n"/>
      <c r="B1493" s="74" t="n"/>
      <c r="C1493" s="74" t="n"/>
      <c r="D1493" s="74" t="n"/>
      <c r="E1493" s="74" t="n"/>
      <c r="F1493" s="74" t="n"/>
      <c r="G1493" s="74" t="inlineStr">
        <is>
          <t>kg</t>
        </is>
      </c>
      <c r="H1493" s="76" t="n"/>
      <c r="I1493" s="73" t="n"/>
      <c r="J1493" s="73" t="n"/>
      <c r="K1493" s="74" t="n"/>
      <c r="L1493" s="74" t="n"/>
      <c r="M1493" s="64" t="e">
        <v>#N/A</v>
      </c>
    </row>
    <row r="1494" ht="29.1" customHeight="1">
      <c r="A1494" s="74" t="n"/>
      <c r="B1494" s="74" t="n"/>
      <c r="C1494" s="74" t="n"/>
      <c r="D1494" s="74" t="n"/>
      <c r="E1494" s="74" t="n"/>
      <c r="F1494" s="74" t="n"/>
      <c r="G1494" s="74" t="inlineStr">
        <is>
          <t>kg</t>
        </is>
      </c>
      <c r="H1494" s="76" t="n"/>
      <c r="I1494" s="73" t="n"/>
      <c r="J1494" s="73" t="n"/>
      <c r="K1494" s="74" t="n"/>
      <c r="L1494" s="74" t="n"/>
      <c r="M1494" s="64" t="e">
        <v>#N/A</v>
      </c>
    </row>
    <row r="1495" ht="29.1" customHeight="1">
      <c r="A1495" s="74" t="n"/>
      <c r="B1495" s="74" t="n"/>
      <c r="C1495" s="74" t="n"/>
      <c r="D1495" s="74" t="n"/>
      <c r="E1495" s="74" t="n"/>
      <c r="F1495" s="74" t="n"/>
      <c r="G1495" s="74" t="inlineStr">
        <is>
          <t>kg</t>
        </is>
      </c>
      <c r="H1495" s="76" t="n"/>
      <c r="I1495" s="73" t="n"/>
      <c r="J1495" s="73" t="n"/>
      <c r="K1495" s="74" t="n"/>
      <c r="L1495" s="74" t="n"/>
      <c r="M1495" s="64" t="e">
        <v>#N/A</v>
      </c>
    </row>
    <row r="1496" ht="29.1" customHeight="1">
      <c r="A1496" s="74" t="n"/>
      <c r="B1496" s="74" t="n"/>
      <c r="C1496" s="74" t="n"/>
      <c r="D1496" s="74" t="n"/>
      <c r="E1496" s="74" t="n"/>
      <c r="F1496" s="74" t="n"/>
      <c r="G1496" s="74" t="inlineStr">
        <is>
          <t>kg</t>
        </is>
      </c>
      <c r="H1496" s="76" t="n"/>
      <c r="I1496" s="73" t="n"/>
      <c r="J1496" s="73" t="n"/>
      <c r="K1496" s="74" t="n"/>
      <c r="L1496" s="74" t="n"/>
      <c r="M1496" s="64" t="e">
        <v>#N/A</v>
      </c>
    </row>
    <row r="1497" ht="29.1" customHeight="1">
      <c r="A1497" s="74" t="n"/>
      <c r="B1497" s="74" t="n"/>
      <c r="C1497" s="74" t="n"/>
      <c r="D1497" s="74" t="n"/>
      <c r="E1497" s="74" t="n"/>
      <c r="F1497" s="74" t="n"/>
      <c r="G1497" s="74" t="inlineStr">
        <is>
          <t>kg</t>
        </is>
      </c>
      <c r="H1497" s="76" t="n"/>
      <c r="I1497" s="73" t="n"/>
      <c r="J1497" s="73" t="n"/>
      <c r="K1497" s="74" t="n"/>
      <c r="L1497" s="74" t="n"/>
      <c r="M1497" s="64" t="e">
        <v>#N/A</v>
      </c>
    </row>
    <row r="1498" ht="29.1" customHeight="1">
      <c r="A1498" s="74" t="n"/>
      <c r="B1498" s="74" t="n"/>
      <c r="C1498" s="74" t="n"/>
      <c r="D1498" s="74" t="n"/>
      <c r="E1498" s="74" t="n"/>
      <c r="F1498" s="74" t="n"/>
      <c r="G1498" s="74" t="inlineStr">
        <is>
          <t>kg</t>
        </is>
      </c>
      <c r="H1498" s="76" t="n"/>
      <c r="I1498" s="73" t="n"/>
      <c r="J1498" s="73" t="n"/>
      <c r="K1498" s="74" t="n"/>
      <c r="L1498" s="74" t="n"/>
      <c r="M1498" s="64" t="e">
        <v>#N/A</v>
      </c>
    </row>
    <row r="1499" ht="29.1" customHeight="1">
      <c r="A1499" s="74" t="n"/>
      <c r="B1499" s="74" t="n"/>
      <c r="C1499" s="74" t="n"/>
      <c r="D1499" s="74" t="n"/>
      <c r="E1499" s="74" t="n"/>
      <c r="F1499" s="74" t="n"/>
      <c r="G1499" s="74" t="inlineStr">
        <is>
          <t>kg</t>
        </is>
      </c>
      <c r="H1499" s="76" t="n"/>
      <c r="I1499" s="73" t="n"/>
      <c r="J1499" s="73" t="n"/>
      <c r="K1499" s="74" t="n"/>
      <c r="L1499" s="74" t="n"/>
      <c r="M1499" s="64" t="e">
        <v>#N/A</v>
      </c>
    </row>
    <row r="1500" ht="29.1" customHeight="1">
      <c r="A1500" s="74" t="n"/>
      <c r="B1500" s="74" t="n"/>
      <c r="C1500" s="74" t="n"/>
      <c r="D1500" s="74" t="n"/>
      <c r="E1500" s="74" t="n"/>
      <c r="F1500" s="74" t="n"/>
      <c r="G1500" s="74" t="inlineStr">
        <is>
          <t>kg</t>
        </is>
      </c>
      <c r="H1500" s="76" t="n"/>
      <c r="I1500" s="73" t="n"/>
      <c r="J1500" s="73" t="n"/>
      <c r="K1500" s="74" t="n"/>
      <c r="L1500" s="74" t="n"/>
      <c r="M1500" s="64" t="e">
        <v>#N/A</v>
      </c>
    </row>
    <row r="1501" ht="29.1" customHeight="1">
      <c r="A1501" s="74" t="n"/>
      <c r="B1501" s="74" t="n"/>
      <c r="C1501" s="74" t="n"/>
      <c r="D1501" s="74" t="n"/>
      <c r="E1501" s="74" t="n"/>
      <c r="F1501" s="74" t="n"/>
      <c r="G1501" s="74" t="inlineStr">
        <is>
          <t>kg</t>
        </is>
      </c>
      <c r="H1501" s="76" t="n"/>
      <c r="I1501" s="73" t="n"/>
      <c r="J1501" s="73" t="n"/>
      <c r="K1501" s="74" t="n"/>
      <c r="L1501" s="74" t="n"/>
      <c r="M1501" s="64" t="e">
        <v>#N/A</v>
      </c>
    </row>
    <row r="1502" ht="29.1" customHeight="1">
      <c r="A1502" s="74" t="n"/>
      <c r="B1502" s="74" t="n"/>
      <c r="C1502" s="74" t="n"/>
      <c r="D1502" s="74" t="n"/>
      <c r="E1502" s="74" t="n"/>
      <c r="F1502" s="74" t="n"/>
      <c r="G1502" s="74" t="inlineStr">
        <is>
          <t>kg</t>
        </is>
      </c>
      <c r="H1502" s="76" t="n"/>
      <c r="I1502" s="73" t="n"/>
      <c r="J1502" s="73" t="n"/>
      <c r="K1502" s="74" t="n"/>
      <c r="L1502" s="74" t="n"/>
      <c r="M1502" s="64" t="e">
        <v>#N/A</v>
      </c>
    </row>
    <row r="1503" ht="29.1" customHeight="1">
      <c r="A1503" s="74" t="n"/>
      <c r="B1503" s="74" t="n"/>
      <c r="C1503" s="74" t="n"/>
      <c r="D1503" s="74" t="n"/>
      <c r="E1503" s="74" t="n"/>
      <c r="F1503" s="74" t="n"/>
      <c r="G1503" s="74" t="inlineStr">
        <is>
          <t>kg</t>
        </is>
      </c>
      <c r="H1503" s="76" t="n"/>
      <c r="I1503" s="73" t="n"/>
      <c r="J1503" s="73" t="n"/>
      <c r="K1503" s="74" t="n"/>
      <c r="L1503" s="74" t="n"/>
      <c r="M1503" s="64" t="e">
        <v>#N/A</v>
      </c>
    </row>
    <row r="1504" ht="29.1" customHeight="1">
      <c r="A1504" s="74" t="n"/>
      <c r="B1504" s="74" t="n"/>
      <c r="C1504" s="74" t="n"/>
      <c r="D1504" s="74" t="n"/>
      <c r="E1504" s="74" t="n"/>
      <c r="F1504" s="74" t="n"/>
      <c r="G1504" s="74" t="inlineStr">
        <is>
          <t>kg</t>
        </is>
      </c>
      <c r="H1504" s="76" t="n"/>
      <c r="I1504" s="73" t="n"/>
      <c r="J1504" s="73" t="n"/>
      <c r="K1504" s="74" t="n"/>
      <c r="L1504" s="74" t="n"/>
      <c r="M1504" s="64" t="e">
        <v>#N/A</v>
      </c>
    </row>
    <row r="1505" ht="29.1" customHeight="1">
      <c r="A1505" s="74" t="n"/>
      <c r="B1505" s="74" t="n"/>
      <c r="C1505" s="74" t="n"/>
      <c r="D1505" s="74" t="n"/>
      <c r="E1505" s="74" t="n"/>
      <c r="F1505" s="74" t="n"/>
      <c r="G1505" s="74" t="inlineStr">
        <is>
          <t>kg</t>
        </is>
      </c>
      <c r="H1505" s="76" t="n"/>
      <c r="I1505" s="73" t="n"/>
      <c r="J1505" s="73" t="n"/>
      <c r="K1505" s="74" t="n"/>
      <c r="L1505" s="74" t="n"/>
      <c r="M1505" s="64" t="e">
        <v>#N/A</v>
      </c>
    </row>
    <row r="1506" ht="29.1" customHeight="1">
      <c r="A1506" s="74" t="n"/>
      <c r="B1506" s="74" t="n"/>
      <c r="C1506" s="74" t="n"/>
      <c r="D1506" s="74" t="n"/>
      <c r="E1506" s="74" t="n"/>
      <c r="F1506" s="74" t="n"/>
      <c r="G1506" s="74" t="inlineStr">
        <is>
          <t>kg</t>
        </is>
      </c>
      <c r="H1506" s="76" t="n"/>
      <c r="I1506" s="73" t="n"/>
      <c r="J1506" s="73" t="n"/>
      <c r="K1506" s="74" t="n"/>
      <c r="L1506" s="74" t="n"/>
      <c r="M1506" s="64" t="e">
        <v>#N/A</v>
      </c>
    </row>
    <row r="1507" ht="29.1" customHeight="1">
      <c r="A1507" s="74" t="n"/>
      <c r="B1507" s="74" t="n"/>
      <c r="C1507" s="74" t="n"/>
      <c r="D1507" s="74" t="n"/>
      <c r="E1507" s="74" t="n"/>
      <c r="F1507" s="74" t="n"/>
      <c r="G1507" s="74" t="inlineStr">
        <is>
          <t>kg</t>
        </is>
      </c>
      <c r="H1507" s="76" t="n"/>
      <c r="I1507" s="73" t="n"/>
      <c r="J1507" s="73" t="n"/>
      <c r="K1507" s="74" t="n"/>
      <c r="L1507" s="74" t="n"/>
      <c r="M1507" s="64" t="e">
        <v>#N/A</v>
      </c>
    </row>
    <row r="1508" ht="29.1" customHeight="1">
      <c r="A1508" s="74" t="n"/>
      <c r="B1508" s="74" t="n"/>
      <c r="C1508" s="74" t="n"/>
      <c r="D1508" s="74" t="n"/>
      <c r="E1508" s="74" t="n"/>
      <c r="F1508" s="74" t="n"/>
      <c r="G1508" s="74" t="inlineStr">
        <is>
          <t>kg</t>
        </is>
      </c>
      <c r="H1508" s="76" t="n"/>
      <c r="I1508" s="73" t="n"/>
      <c r="J1508" s="73" t="n"/>
      <c r="K1508" s="74" t="n"/>
      <c r="L1508" s="74" t="n"/>
      <c r="M1508" s="64" t="e">
        <v>#N/A</v>
      </c>
    </row>
    <row r="1509" ht="29.1" customHeight="1">
      <c r="A1509" s="74" t="n"/>
      <c r="B1509" s="74" t="n"/>
      <c r="C1509" s="74" t="n"/>
      <c r="D1509" s="74" t="n"/>
      <c r="E1509" s="74" t="n"/>
      <c r="F1509" s="74" t="n"/>
      <c r="G1509" s="74" t="inlineStr">
        <is>
          <t>kg</t>
        </is>
      </c>
      <c r="H1509" s="76" t="n"/>
      <c r="I1509" s="73" t="n"/>
      <c r="J1509" s="73" t="n"/>
      <c r="K1509" s="74" t="n"/>
      <c r="L1509" s="74" t="n"/>
      <c r="M1509" s="64" t="e">
        <v>#N/A</v>
      </c>
    </row>
    <row r="1510" ht="29.1" customHeight="1">
      <c r="A1510" s="74" t="n"/>
      <c r="B1510" s="74" t="n"/>
      <c r="C1510" s="74" t="n"/>
      <c r="D1510" s="74" t="n"/>
      <c r="E1510" s="74" t="n"/>
      <c r="F1510" s="74" t="n"/>
      <c r="G1510" s="74" t="inlineStr">
        <is>
          <t>kg</t>
        </is>
      </c>
      <c r="H1510" s="76" t="n"/>
      <c r="I1510" s="73" t="n"/>
      <c r="J1510" s="73" t="n"/>
      <c r="K1510" s="74" t="n"/>
      <c r="L1510" s="74" t="n"/>
      <c r="M1510" s="64" t="e">
        <v>#N/A</v>
      </c>
    </row>
    <row r="1511" ht="29.1" customHeight="1">
      <c r="A1511" s="74" t="n"/>
      <c r="B1511" s="74" t="n"/>
      <c r="C1511" s="74" t="n"/>
      <c r="D1511" s="74" t="n"/>
      <c r="E1511" s="74" t="n"/>
      <c r="F1511" s="74" t="n"/>
      <c r="G1511" s="74" t="inlineStr">
        <is>
          <t>kg</t>
        </is>
      </c>
      <c r="H1511" s="76" t="n"/>
      <c r="I1511" s="73" t="n"/>
      <c r="J1511" s="73" t="n"/>
      <c r="K1511" s="74" t="n"/>
      <c r="L1511" s="74" t="n"/>
      <c r="M1511" s="64" t="e">
        <v>#N/A</v>
      </c>
    </row>
    <row r="1512" ht="29.1" customHeight="1">
      <c r="A1512" s="74" t="n"/>
      <c r="B1512" s="74" t="n"/>
      <c r="C1512" s="74" t="n"/>
      <c r="D1512" s="74" t="n"/>
      <c r="E1512" s="74" t="n"/>
      <c r="F1512" s="74" t="n"/>
      <c r="G1512" s="74" t="inlineStr">
        <is>
          <t>kg</t>
        </is>
      </c>
      <c r="H1512" s="76" t="n"/>
      <c r="I1512" s="73" t="n"/>
      <c r="J1512" s="73" t="n"/>
      <c r="K1512" s="74" t="n"/>
      <c r="L1512" s="74" t="n"/>
      <c r="M1512" s="64" t="e">
        <v>#N/A</v>
      </c>
    </row>
    <row r="1513" ht="29.1" customHeight="1">
      <c r="A1513" s="74" t="n"/>
      <c r="B1513" s="74" t="n"/>
      <c r="C1513" s="74" t="n"/>
      <c r="D1513" s="74" t="n"/>
      <c r="E1513" s="74" t="n"/>
      <c r="F1513" s="74" t="n"/>
      <c r="G1513" s="74" t="inlineStr">
        <is>
          <t>kg</t>
        </is>
      </c>
      <c r="H1513" s="76" t="n"/>
      <c r="I1513" s="73" t="n"/>
      <c r="J1513" s="73" t="n"/>
      <c r="K1513" s="74" t="n"/>
      <c r="L1513" s="74" t="n"/>
      <c r="M1513" s="64" t="e">
        <v>#N/A</v>
      </c>
    </row>
    <row r="1514" ht="29.1" customHeight="1">
      <c r="A1514" s="74" t="n"/>
      <c r="B1514" s="74" t="n"/>
      <c r="C1514" s="74" t="n"/>
      <c r="D1514" s="74" t="n"/>
      <c r="E1514" s="74" t="n"/>
      <c r="F1514" s="74" t="n"/>
      <c r="G1514" s="74" t="inlineStr">
        <is>
          <t>kg</t>
        </is>
      </c>
      <c r="H1514" s="76" t="n"/>
      <c r="I1514" s="73" t="n"/>
      <c r="J1514" s="73" t="n"/>
      <c r="K1514" s="74" t="n"/>
      <c r="L1514" s="74" t="n"/>
      <c r="M1514" s="64" t="e">
        <v>#N/A</v>
      </c>
    </row>
    <row r="1515" ht="29.1" customHeight="1">
      <c r="A1515" s="74" t="n"/>
      <c r="B1515" s="74" t="n"/>
      <c r="C1515" s="74" t="n"/>
      <c r="D1515" s="74" t="n"/>
      <c r="E1515" s="74" t="n"/>
      <c r="F1515" s="74" t="n"/>
      <c r="G1515" s="74" t="inlineStr">
        <is>
          <t>kg</t>
        </is>
      </c>
      <c r="H1515" s="76" t="n"/>
      <c r="I1515" s="73" t="n"/>
      <c r="J1515" s="73" t="n"/>
      <c r="K1515" s="74" t="n"/>
      <c r="L1515" s="74" t="n"/>
      <c r="M1515" s="64" t="e">
        <v>#N/A</v>
      </c>
    </row>
    <row r="1516" ht="29.1" customHeight="1">
      <c r="A1516" s="74" t="n"/>
      <c r="B1516" s="74" t="n"/>
      <c r="C1516" s="74" t="n"/>
      <c r="D1516" s="74" t="n"/>
      <c r="E1516" s="74" t="n"/>
      <c r="F1516" s="74" t="n"/>
      <c r="G1516" s="74" t="inlineStr">
        <is>
          <t>kg</t>
        </is>
      </c>
      <c r="H1516" s="76" t="n"/>
      <c r="I1516" s="73" t="n"/>
      <c r="J1516" s="73" t="n"/>
      <c r="K1516" s="74" t="n"/>
      <c r="L1516" s="74" t="n"/>
      <c r="M1516" s="64" t="e">
        <v>#N/A</v>
      </c>
    </row>
    <row r="1517" ht="29.1" customHeight="1">
      <c r="A1517" s="74" t="n"/>
      <c r="B1517" s="74" t="n"/>
      <c r="C1517" s="74" t="n"/>
      <c r="D1517" s="74" t="n"/>
      <c r="E1517" s="74" t="n"/>
      <c r="F1517" s="74" t="n"/>
      <c r="G1517" s="74" t="inlineStr">
        <is>
          <t>kg</t>
        </is>
      </c>
      <c r="H1517" s="76" t="n"/>
      <c r="I1517" s="73" t="n"/>
      <c r="J1517" s="73" t="n"/>
      <c r="K1517" s="74" t="n"/>
      <c r="L1517" s="74" t="n"/>
      <c r="M1517" s="64" t="e">
        <v>#N/A</v>
      </c>
    </row>
    <row r="1518" ht="29.1" customHeight="1">
      <c r="A1518" s="74" t="n"/>
      <c r="B1518" s="74" t="n"/>
      <c r="C1518" s="74" t="n"/>
      <c r="D1518" s="74" t="n"/>
      <c r="E1518" s="74" t="n"/>
      <c r="F1518" s="74" t="n"/>
      <c r="G1518" s="74" t="inlineStr">
        <is>
          <t>kg</t>
        </is>
      </c>
      <c r="H1518" s="76" t="n"/>
      <c r="I1518" s="73" t="n"/>
      <c r="J1518" s="73" t="n"/>
      <c r="K1518" s="74" t="n"/>
      <c r="L1518" s="74" t="n"/>
      <c r="M1518" s="64" t="e">
        <v>#N/A</v>
      </c>
    </row>
    <row r="1519" ht="29.1" customHeight="1">
      <c r="A1519" s="74" t="n"/>
      <c r="B1519" s="74" t="n"/>
      <c r="C1519" s="74" t="n"/>
      <c r="D1519" s="74" t="n"/>
      <c r="E1519" s="74" t="n"/>
      <c r="F1519" s="74" t="n"/>
      <c r="G1519" s="74" t="inlineStr">
        <is>
          <t>kg</t>
        </is>
      </c>
      <c r="H1519" s="76" t="n"/>
      <c r="I1519" s="73" t="n"/>
      <c r="J1519" s="73" t="n"/>
      <c r="K1519" s="74" t="n"/>
      <c r="L1519" s="74" t="n"/>
      <c r="M1519" s="64" t="e">
        <v>#N/A</v>
      </c>
    </row>
    <row r="1520" ht="29.1" customHeight="1">
      <c r="A1520" s="74" t="n"/>
      <c r="B1520" s="74" t="n"/>
      <c r="C1520" s="74" t="n"/>
      <c r="D1520" s="74" t="n"/>
      <c r="E1520" s="74" t="n"/>
      <c r="F1520" s="74" t="n"/>
      <c r="G1520" s="74" t="inlineStr">
        <is>
          <t>kg</t>
        </is>
      </c>
      <c r="H1520" s="76" t="n"/>
      <c r="I1520" s="73" t="n"/>
      <c r="J1520" s="73" t="n"/>
      <c r="K1520" s="74" t="n"/>
      <c r="L1520" s="74" t="n"/>
      <c r="M1520" s="64" t="e">
        <v>#N/A</v>
      </c>
    </row>
    <row r="1521" ht="29.1" customHeight="1">
      <c r="A1521" s="74" t="n"/>
      <c r="B1521" s="74" t="n"/>
      <c r="C1521" s="74" t="n"/>
      <c r="D1521" s="74" t="n"/>
      <c r="E1521" s="74" t="n"/>
      <c r="F1521" s="74" t="n"/>
      <c r="G1521" s="74" t="inlineStr">
        <is>
          <t>kg</t>
        </is>
      </c>
      <c r="H1521" s="76" t="n"/>
      <c r="I1521" s="73" t="n"/>
      <c r="J1521" s="73" t="n"/>
      <c r="K1521" s="74" t="n"/>
      <c r="L1521" s="74" t="n"/>
      <c r="M1521" s="64" t="e">
        <v>#N/A</v>
      </c>
    </row>
    <row r="1522" ht="29.1" customHeight="1">
      <c r="A1522" s="74" t="n"/>
      <c r="B1522" s="74" t="n"/>
      <c r="C1522" s="74" t="n"/>
      <c r="D1522" s="74" t="n"/>
      <c r="E1522" s="74" t="n"/>
      <c r="F1522" s="74" t="n"/>
      <c r="G1522" s="74" t="inlineStr">
        <is>
          <t>kg</t>
        </is>
      </c>
      <c r="H1522" s="76" t="n"/>
      <c r="I1522" s="73" t="n"/>
      <c r="J1522" s="73" t="n"/>
      <c r="K1522" s="74" t="n"/>
      <c r="L1522" s="74" t="n"/>
      <c r="M1522" s="64" t="e">
        <v>#N/A</v>
      </c>
    </row>
    <row r="1523" ht="29.1" customHeight="1">
      <c r="A1523" s="74" t="n"/>
      <c r="B1523" s="74" t="n"/>
      <c r="C1523" s="74" t="n"/>
      <c r="D1523" s="74" t="n"/>
      <c r="E1523" s="74" t="n"/>
      <c r="F1523" s="74" t="n"/>
      <c r="G1523" s="74" t="inlineStr">
        <is>
          <t>kg</t>
        </is>
      </c>
      <c r="H1523" s="76" t="n"/>
      <c r="I1523" s="73" t="n"/>
      <c r="J1523" s="73" t="n"/>
      <c r="K1523" s="74" t="n"/>
      <c r="L1523" s="74" t="n"/>
      <c r="M1523" s="64" t="e">
        <v>#N/A</v>
      </c>
    </row>
    <row r="1524" ht="29.1" customHeight="1">
      <c r="A1524" s="74" t="n"/>
      <c r="B1524" s="74" t="n"/>
      <c r="C1524" s="74" t="n"/>
      <c r="D1524" s="74" t="n"/>
      <c r="E1524" s="74" t="n"/>
      <c r="F1524" s="74" t="n"/>
      <c r="G1524" s="74" t="inlineStr">
        <is>
          <t>kg</t>
        </is>
      </c>
      <c r="H1524" s="76" t="n"/>
      <c r="I1524" s="73" t="n"/>
      <c r="J1524" s="73" t="n"/>
      <c r="K1524" s="74" t="n"/>
      <c r="L1524" s="74" t="n"/>
      <c r="M1524" s="64" t="e">
        <v>#N/A</v>
      </c>
    </row>
    <row r="1525" ht="29.1" customHeight="1">
      <c r="A1525" s="74" t="n"/>
      <c r="B1525" s="74" t="n"/>
      <c r="C1525" s="74" t="n"/>
      <c r="D1525" s="74" t="n"/>
      <c r="E1525" s="74" t="n"/>
      <c r="F1525" s="74" t="n"/>
      <c r="G1525" s="74" t="inlineStr">
        <is>
          <t>kg</t>
        </is>
      </c>
      <c r="H1525" s="76" t="n"/>
      <c r="I1525" s="73" t="n"/>
      <c r="J1525" s="73" t="n"/>
      <c r="K1525" s="74" t="n"/>
      <c r="L1525" s="74" t="n"/>
      <c r="M1525" s="64" t="e">
        <v>#N/A</v>
      </c>
    </row>
    <row r="1526" ht="29.1" customHeight="1">
      <c r="A1526" s="74" t="n"/>
      <c r="B1526" s="74" t="n"/>
      <c r="C1526" s="74" t="n"/>
      <c r="D1526" s="74" t="n"/>
      <c r="E1526" s="74" t="n"/>
      <c r="F1526" s="74" t="n"/>
      <c r="G1526" s="74" t="inlineStr">
        <is>
          <t>kg</t>
        </is>
      </c>
      <c r="H1526" s="76" t="n"/>
      <c r="I1526" s="73" t="n"/>
      <c r="J1526" s="73" t="n"/>
      <c r="K1526" s="74" t="n"/>
      <c r="L1526" s="74" t="n"/>
      <c r="M1526" s="64" t="e">
        <v>#N/A</v>
      </c>
    </row>
    <row r="1527" ht="29.1" customHeight="1">
      <c r="A1527" s="74" t="n"/>
      <c r="B1527" s="74" t="n"/>
      <c r="C1527" s="74" t="n"/>
      <c r="D1527" s="74" t="n"/>
      <c r="E1527" s="74" t="n"/>
      <c r="F1527" s="74" t="n"/>
      <c r="G1527" s="74" t="inlineStr">
        <is>
          <t>kg</t>
        </is>
      </c>
      <c r="H1527" s="76" t="n"/>
      <c r="I1527" s="73" t="n"/>
      <c r="J1527" s="73" t="n"/>
      <c r="K1527" s="74" t="n"/>
      <c r="L1527" s="74" t="n"/>
      <c r="M1527" s="64" t="e">
        <v>#N/A</v>
      </c>
    </row>
    <row r="1528" ht="29.1" customHeight="1">
      <c r="A1528" s="74" t="n"/>
      <c r="B1528" s="74" t="n"/>
      <c r="C1528" s="74" t="n"/>
      <c r="D1528" s="74" t="n"/>
      <c r="E1528" s="74" t="n"/>
      <c r="F1528" s="74" t="n"/>
      <c r="G1528" s="74" t="inlineStr">
        <is>
          <t>kg</t>
        </is>
      </c>
      <c r="H1528" s="76" t="n"/>
      <c r="I1528" s="73" t="n"/>
      <c r="J1528" s="73" t="n"/>
      <c r="K1528" s="74" t="n"/>
      <c r="L1528" s="74" t="n"/>
      <c r="M1528" s="64" t="e">
        <v>#N/A</v>
      </c>
    </row>
    <row r="1529" ht="29.1" customHeight="1">
      <c r="A1529" s="74" t="n"/>
      <c r="B1529" s="74" t="n"/>
      <c r="C1529" s="74" t="n"/>
      <c r="D1529" s="74" t="n"/>
      <c r="E1529" s="74" t="n"/>
      <c r="F1529" s="74" t="n"/>
      <c r="G1529" s="74" t="inlineStr">
        <is>
          <t>kg</t>
        </is>
      </c>
      <c r="H1529" s="76" t="n"/>
      <c r="I1529" s="73" t="n"/>
      <c r="J1529" s="73" t="n"/>
      <c r="K1529" s="74" t="n"/>
      <c r="L1529" s="74" t="n"/>
      <c r="M1529" s="64" t="e">
        <v>#N/A</v>
      </c>
    </row>
    <row r="1530" ht="29.1" customHeight="1">
      <c r="A1530" s="74" t="n"/>
      <c r="B1530" s="74" t="n"/>
      <c r="C1530" s="74" t="n"/>
      <c r="D1530" s="74" t="n"/>
      <c r="E1530" s="74" t="n"/>
      <c r="F1530" s="74" t="n"/>
      <c r="G1530" s="74" t="inlineStr">
        <is>
          <t>kg</t>
        </is>
      </c>
      <c r="H1530" s="76" t="n"/>
      <c r="I1530" s="73" t="n"/>
      <c r="J1530" s="73" t="n"/>
      <c r="K1530" s="74" t="n"/>
      <c r="L1530" s="74" t="n"/>
      <c r="M1530" s="64" t="e">
        <v>#N/A</v>
      </c>
    </row>
    <row r="1531" ht="29.1" customHeight="1">
      <c r="A1531" s="74" t="n"/>
      <c r="B1531" s="74" t="n"/>
      <c r="C1531" s="74" t="n"/>
      <c r="D1531" s="74" t="n"/>
      <c r="E1531" s="74" t="n"/>
      <c r="F1531" s="74" t="n"/>
      <c r="G1531" s="74" t="inlineStr">
        <is>
          <t>kg</t>
        </is>
      </c>
      <c r="H1531" s="76" t="n"/>
      <c r="I1531" s="73" t="n"/>
      <c r="J1531" s="73" t="n"/>
      <c r="K1531" s="74" t="n"/>
      <c r="L1531" s="74" t="n"/>
      <c r="M1531" s="64" t="e">
        <v>#N/A</v>
      </c>
    </row>
    <row r="1532" ht="29.1" customHeight="1">
      <c r="A1532" s="74" t="n"/>
      <c r="B1532" s="74" t="n"/>
      <c r="C1532" s="74" t="n"/>
      <c r="D1532" s="74" t="n"/>
      <c r="E1532" s="74" t="n"/>
      <c r="F1532" s="74" t="n"/>
      <c r="G1532" s="74" t="inlineStr">
        <is>
          <t>kg</t>
        </is>
      </c>
      <c r="H1532" s="76" t="n"/>
      <c r="I1532" s="73" t="n"/>
      <c r="J1532" s="73" t="n"/>
      <c r="K1532" s="74" t="n"/>
      <c r="L1532" s="74" t="n"/>
      <c r="M1532" s="64" t="e">
        <v>#N/A</v>
      </c>
    </row>
    <row r="1533" ht="29.1" customHeight="1">
      <c r="A1533" s="74" t="n"/>
      <c r="B1533" s="74" t="n"/>
      <c r="C1533" s="74" t="n"/>
      <c r="D1533" s="74" t="n"/>
      <c r="E1533" s="74" t="n"/>
      <c r="F1533" s="74" t="n"/>
      <c r="G1533" s="74" t="inlineStr">
        <is>
          <t>kg</t>
        </is>
      </c>
      <c r="H1533" s="76" t="n"/>
      <c r="I1533" s="73" t="n"/>
      <c r="J1533" s="73" t="n"/>
      <c r="K1533" s="74" t="n"/>
      <c r="L1533" s="74" t="n"/>
      <c r="M1533" s="64" t="e">
        <v>#N/A</v>
      </c>
    </row>
    <row r="1534" ht="29.1" customHeight="1">
      <c r="A1534" s="74" t="n"/>
      <c r="B1534" s="74" t="n"/>
      <c r="C1534" s="74" t="n"/>
      <c r="D1534" s="74" t="n"/>
      <c r="E1534" s="74" t="n"/>
      <c r="F1534" s="74" t="n"/>
      <c r="G1534" s="74" t="inlineStr">
        <is>
          <t>kg</t>
        </is>
      </c>
      <c r="H1534" s="76" t="n"/>
      <c r="I1534" s="73" t="n"/>
      <c r="J1534" s="73" t="n"/>
      <c r="K1534" s="74" t="n"/>
      <c r="L1534" s="74" t="n"/>
      <c r="M1534" s="64" t="e">
        <v>#N/A</v>
      </c>
    </row>
    <row r="1535" ht="29.1" customHeight="1">
      <c r="A1535" s="74" t="n"/>
      <c r="B1535" s="74" t="n"/>
      <c r="C1535" s="74" t="n"/>
      <c r="D1535" s="74" t="n"/>
      <c r="E1535" s="74" t="n"/>
      <c r="F1535" s="74" t="n"/>
      <c r="G1535" s="74" t="inlineStr">
        <is>
          <t>kg</t>
        </is>
      </c>
      <c r="H1535" s="76" t="n"/>
      <c r="I1535" s="73" t="n"/>
      <c r="J1535" s="73" t="n"/>
      <c r="K1535" s="74" t="n"/>
      <c r="L1535" s="74" t="n"/>
      <c r="M1535" s="64" t="e">
        <v>#N/A</v>
      </c>
    </row>
    <row r="1536" ht="29.1" customHeight="1">
      <c r="A1536" s="74" t="n"/>
      <c r="B1536" s="74" t="n"/>
      <c r="C1536" s="74" t="n"/>
      <c r="D1536" s="74" t="n"/>
      <c r="E1536" s="74" t="n"/>
      <c r="F1536" s="74" t="n"/>
      <c r="G1536" s="74" t="inlineStr">
        <is>
          <t>kg</t>
        </is>
      </c>
      <c r="H1536" s="76" t="n"/>
      <c r="I1536" s="73" t="n"/>
      <c r="J1536" s="73" t="n"/>
      <c r="K1536" s="74" t="n"/>
      <c r="L1536" s="74" t="n"/>
      <c r="M1536" s="64" t="e">
        <v>#N/A</v>
      </c>
    </row>
    <row r="1537" ht="29.1" customHeight="1">
      <c r="A1537" s="74" t="n"/>
      <c r="B1537" s="74" t="n"/>
      <c r="C1537" s="74" t="n"/>
      <c r="D1537" s="74" t="n"/>
      <c r="E1537" s="74" t="n"/>
      <c r="F1537" s="74" t="n"/>
      <c r="G1537" s="74" t="inlineStr">
        <is>
          <t>kg</t>
        </is>
      </c>
      <c r="H1537" s="76" t="n"/>
      <c r="I1537" s="73" t="n"/>
      <c r="J1537" s="73" t="n"/>
      <c r="K1537" s="74" t="n"/>
      <c r="L1537" s="74" t="n"/>
      <c r="M1537" s="64" t="e">
        <v>#N/A</v>
      </c>
    </row>
    <row r="1538" ht="29.1" customHeight="1">
      <c r="A1538" s="74" t="n"/>
      <c r="B1538" s="74" t="n"/>
      <c r="C1538" s="74" t="n"/>
      <c r="D1538" s="74" t="n"/>
      <c r="E1538" s="74" t="n"/>
      <c r="F1538" s="74" t="n"/>
      <c r="G1538" s="74" t="inlineStr">
        <is>
          <t>kg</t>
        </is>
      </c>
      <c r="H1538" s="76" t="n"/>
      <c r="I1538" s="73" t="n"/>
      <c r="J1538" s="73" t="n"/>
      <c r="K1538" s="74" t="n"/>
      <c r="L1538" s="74" t="n"/>
      <c r="M1538" s="64" t="e">
        <v>#N/A</v>
      </c>
    </row>
    <row r="1539" ht="29.1" customHeight="1">
      <c r="A1539" s="74" t="n"/>
      <c r="B1539" s="74" t="n"/>
      <c r="C1539" s="74" t="n"/>
      <c r="D1539" s="74" t="n"/>
      <c r="E1539" s="74" t="n"/>
      <c r="F1539" s="74" t="n"/>
      <c r="G1539" s="74" t="inlineStr">
        <is>
          <t>kg</t>
        </is>
      </c>
      <c r="H1539" s="76" t="n"/>
      <c r="I1539" s="73" t="n"/>
      <c r="J1539" s="73" t="n"/>
      <c r="K1539" s="74" t="n"/>
      <c r="L1539" s="74" t="n"/>
      <c r="M1539" s="64" t="e">
        <v>#N/A</v>
      </c>
    </row>
    <row r="1540" ht="29.1" customHeight="1">
      <c r="A1540" s="74" t="n"/>
      <c r="B1540" s="74" t="n"/>
      <c r="C1540" s="74" t="n"/>
      <c r="D1540" s="74" t="n"/>
      <c r="E1540" s="74" t="n"/>
      <c r="F1540" s="74" t="n"/>
      <c r="G1540" s="74" t="inlineStr">
        <is>
          <t>kg</t>
        </is>
      </c>
      <c r="H1540" s="76" t="n"/>
      <c r="I1540" s="73" t="n"/>
      <c r="J1540" s="73" t="n"/>
      <c r="K1540" s="74" t="n"/>
      <c r="L1540" s="74" t="n"/>
      <c r="M1540" s="64" t="e">
        <v>#N/A</v>
      </c>
    </row>
    <row r="1541" ht="29.1" customHeight="1">
      <c r="A1541" s="74" t="n"/>
      <c r="B1541" s="74" t="n"/>
      <c r="C1541" s="74" t="n"/>
      <c r="D1541" s="74" t="n"/>
      <c r="E1541" s="74" t="n"/>
      <c r="F1541" s="74" t="n"/>
      <c r="G1541" s="74" t="inlineStr">
        <is>
          <t>kg</t>
        </is>
      </c>
      <c r="H1541" s="76" t="n"/>
      <c r="I1541" s="73" t="n"/>
      <c r="J1541" s="73" t="n"/>
      <c r="K1541" s="74" t="n"/>
      <c r="L1541" s="74" t="n"/>
      <c r="M1541" s="64" t="e">
        <v>#N/A</v>
      </c>
    </row>
    <row r="1542" ht="29.1" customHeight="1">
      <c r="A1542" s="74" t="n"/>
      <c r="B1542" s="74" t="n"/>
      <c r="C1542" s="74" t="n"/>
      <c r="D1542" s="74" t="n"/>
      <c r="E1542" s="74" t="n"/>
      <c r="F1542" s="74" t="n"/>
      <c r="G1542" s="74" t="inlineStr">
        <is>
          <t>kg</t>
        </is>
      </c>
      <c r="H1542" s="76" t="n"/>
      <c r="I1542" s="73" t="n"/>
      <c r="J1542" s="73" t="n"/>
      <c r="K1542" s="74" t="n"/>
      <c r="L1542" s="74" t="n"/>
      <c r="M1542" s="64" t="e">
        <v>#N/A</v>
      </c>
    </row>
    <row r="1543" ht="29.1" customHeight="1">
      <c r="A1543" s="74" t="n"/>
      <c r="B1543" s="74" t="n"/>
      <c r="C1543" s="74" t="n"/>
      <c r="D1543" s="74" t="n"/>
      <c r="E1543" s="74" t="n"/>
      <c r="F1543" s="74" t="n"/>
      <c r="G1543" s="74" t="inlineStr">
        <is>
          <t>kg</t>
        </is>
      </c>
      <c r="H1543" s="76" t="n"/>
      <c r="I1543" s="73" t="n"/>
      <c r="J1543" s="73" t="n"/>
      <c r="K1543" s="74" t="n"/>
      <c r="L1543" s="74" t="n"/>
      <c r="M1543" s="64" t="e">
        <v>#N/A</v>
      </c>
    </row>
    <row r="1544" ht="29.1" customHeight="1">
      <c r="A1544" s="74" t="n"/>
      <c r="B1544" s="74" t="n"/>
      <c r="C1544" s="74" t="n"/>
      <c r="D1544" s="74" t="n"/>
      <c r="E1544" s="74" t="n"/>
      <c r="F1544" s="74" t="n"/>
      <c r="G1544" s="74" t="inlineStr">
        <is>
          <t>kg</t>
        </is>
      </c>
      <c r="H1544" s="76" t="n"/>
      <c r="I1544" s="73" t="n"/>
      <c r="J1544" s="73" t="n"/>
      <c r="K1544" s="74" t="n"/>
      <c r="L1544" s="74" t="n"/>
      <c r="M1544" s="64" t="e">
        <v>#N/A</v>
      </c>
    </row>
    <row r="1545" ht="29.1" customHeight="1">
      <c r="A1545" s="74" t="n"/>
      <c r="B1545" s="74" t="n"/>
      <c r="C1545" s="74" t="n"/>
      <c r="D1545" s="74" t="n"/>
      <c r="E1545" s="74" t="n"/>
      <c r="F1545" s="74" t="n"/>
      <c r="G1545" s="74" t="inlineStr">
        <is>
          <t>kg</t>
        </is>
      </c>
      <c r="H1545" s="76" t="n"/>
      <c r="I1545" s="73" t="n"/>
      <c r="J1545" s="73" t="n"/>
      <c r="K1545" s="74" t="n"/>
      <c r="L1545" s="74" t="n"/>
      <c r="M1545" s="64" t="e">
        <v>#N/A</v>
      </c>
    </row>
    <row r="1546" ht="29.1" customHeight="1">
      <c r="A1546" s="74" t="n"/>
      <c r="B1546" s="74" t="n"/>
      <c r="C1546" s="74" t="n"/>
      <c r="D1546" s="74" t="n"/>
      <c r="E1546" s="74" t="n"/>
      <c r="F1546" s="74" t="n"/>
      <c r="G1546" s="74" t="inlineStr">
        <is>
          <t>kg</t>
        </is>
      </c>
      <c r="H1546" s="76" t="n"/>
      <c r="I1546" s="73" t="n"/>
      <c r="J1546" s="73" t="n"/>
      <c r="K1546" s="74" t="n"/>
      <c r="L1546" s="74" t="n"/>
      <c r="M1546" s="64" t="e">
        <v>#N/A</v>
      </c>
    </row>
    <row r="1547" ht="29.1" customHeight="1">
      <c r="A1547" s="74" t="n"/>
      <c r="B1547" s="74" t="n"/>
      <c r="C1547" s="74" t="n"/>
      <c r="D1547" s="74" t="n"/>
      <c r="E1547" s="74" t="n"/>
      <c r="F1547" s="74" t="n"/>
      <c r="G1547" s="74" t="inlineStr">
        <is>
          <t>kg</t>
        </is>
      </c>
      <c r="H1547" s="76" t="n"/>
      <c r="I1547" s="73" t="n"/>
      <c r="J1547" s="73" t="n"/>
      <c r="K1547" s="74" t="n"/>
      <c r="L1547" s="74" t="n"/>
      <c r="M1547" s="64" t="e">
        <v>#N/A</v>
      </c>
    </row>
    <row r="1548" ht="29.1" customHeight="1">
      <c r="A1548" s="74" t="n"/>
      <c r="B1548" s="74" t="n"/>
      <c r="C1548" s="74" t="n"/>
      <c r="D1548" s="74" t="n"/>
      <c r="E1548" s="74" t="n"/>
      <c r="F1548" s="74" t="n"/>
      <c r="G1548" s="74" t="inlineStr">
        <is>
          <t>kg</t>
        </is>
      </c>
      <c r="H1548" s="76" t="n"/>
      <c r="I1548" s="73" t="n"/>
      <c r="J1548" s="73" t="n"/>
      <c r="K1548" s="74" t="n"/>
      <c r="L1548" s="74" t="n"/>
      <c r="M1548" s="64" t="e">
        <v>#N/A</v>
      </c>
    </row>
    <row r="1549" ht="29.1" customHeight="1">
      <c r="A1549" s="74" t="n"/>
      <c r="B1549" s="74" t="n"/>
      <c r="C1549" s="74" t="n"/>
      <c r="D1549" s="74" t="n"/>
      <c r="E1549" s="74" t="n"/>
      <c r="F1549" s="74" t="n"/>
      <c r="G1549" s="74" t="inlineStr">
        <is>
          <t>kg</t>
        </is>
      </c>
      <c r="H1549" s="76" t="n"/>
      <c r="I1549" s="73" t="n"/>
      <c r="J1549" s="73" t="n"/>
      <c r="K1549" s="74" t="n"/>
      <c r="L1549" s="74" t="n"/>
      <c r="M1549" s="64" t="e">
        <v>#N/A</v>
      </c>
    </row>
    <row r="1550" ht="29.1" customHeight="1">
      <c r="A1550" s="74" t="n"/>
      <c r="B1550" s="74" t="n"/>
      <c r="C1550" s="74" t="n"/>
      <c r="D1550" s="74" t="n"/>
      <c r="E1550" s="74" t="n"/>
      <c r="F1550" s="74" t="n"/>
      <c r="G1550" s="74" t="inlineStr">
        <is>
          <t>kg</t>
        </is>
      </c>
      <c r="H1550" s="76" t="n"/>
      <c r="I1550" s="73" t="n"/>
      <c r="J1550" s="73" t="n"/>
      <c r="K1550" s="74" t="n"/>
      <c r="L1550" s="74" t="n"/>
      <c r="M1550" s="64" t="e">
        <v>#N/A</v>
      </c>
    </row>
    <row r="1551" ht="29.1" customHeight="1">
      <c r="A1551" s="74" t="n"/>
      <c r="B1551" s="74" t="n"/>
      <c r="C1551" s="74" t="n"/>
      <c r="D1551" s="74" t="n"/>
      <c r="E1551" s="74" t="n"/>
      <c r="F1551" s="74" t="n"/>
      <c r="G1551" s="74" t="inlineStr">
        <is>
          <t>kg</t>
        </is>
      </c>
      <c r="H1551" s="76" t="n"/>
      <c r="I1551" s="73" t="n"/>
      <c r="J1551" s="73" t="n"/>
      <c r="K1551" s="74" t="n"/>
      <c r="L1551" s="74" t="n"/>
      <c r="M1551" s="64" t="e">
        <v>#N/A</v>
      </c>
    </row>
    <row r="1552" ht="29.1" customHeight="1">
      <c r="A1552" s="74" t="n"/>
      <c r="B1552" s="74" t="n"/>
      <c r="C1552" s="74" t="n"/>
      <c r="D1552" s="74" t="n"/>
      <c r="E1552" s="74" t="n"/>
      <c r="F1552" s="74" t="n"/>
      <c r="G1552" s="74" t="inlineStr">
        <is>
          <t>kg</t>
        </is>
      </c>
      <c r="H1552" s="76" t="n"/>
      <c r="I1552" s="73" t="n"/>
      <c r="J1552" s="73" t="n"/>
      <c r="K1552" s="74" t="n"/>
      <c r="L1552" s="74" t="n"/>
      <c r="M1552" s="64" t="e">
        <v>#N/A</v>
      </c>
    </row>
    <row r="1553" ht="29.1" customHeight="1">
      <c r="A1553" s="74" t="n"/>
      <c r="B1553" s="74" t="n"/>
      <c r="C1553" s="74" t="n"/>
      <c r="D1553" s="74" t="n"/>
      <c r="E1553" s="74" t="n"/>
      <c r="F1553" s="74" t="n"/>
      <c r="G1553" s="74" t="inlineStr">
        <is>
          <t>kg</t>
        </is>
      </c>
      <c r="H1553" s="76" t="n"/>
      <c r="I1553" s="73" t="n"/>
      <c r="J1553" s="73" t="n"/>
      <c r="K1553" s="74" t="n"/>
      <c r="L1553" s="74" t="n"/>
      <c r="M1553" s="64" t="e">
        <v>#N/A</v>
      </c>
    </row>
    <row r="1554" ht="29.1" customHeight="1">
      <c r="A1554" s="74" t="n"/>
      <c r="B1554" s="74" t="n"/>
      <c r="C1554" s="74" t="n"/>
      <c r="D1554" s="74" t="n"/>
      <c r="E1554" s="74" t="n"/>
      <c r="F1554" s="74" t="n"/>
      <c r="G1554" s="74" t="inlineStr">
        <is>
          <t>kg</t>
        </is>
      </c>
      <c r="H1554" s="76" t="n"/>
      <c r="I1554" s="73" t="n"/>
      <c r="J1554" s="73" t="n"/>
      <c r="K1554" s="74" t="n"/>
      <c r="L1554" s="74" t="n"/>
      <c r="M1554" s="64" t="e">
        <v>#N/A</v>
      </c>
    </row>
    <row r="1555" ht="29.1" customHeight="1">
      <c r="A1555" s="74" t="n"/>
      <c r="B1555" s="74" t="n"/>
      <c r="C1555" s="74" t="n"/>
      <c r="D1555" s="74" t="n"/>
      <c r="E1555" s="74" t="n"/>
      <c r="F1555" s="74" t="n"/>
      <c r="G1555" s="74" t="inlineStr">
        <is>
          <t>kg</t>
        </is>
      </c>
      <c r="H1555" s="76" t="n"/>
      <c r="I1555" s="73" t="n"/>
      <c r="J1555" s="73" t="n"/>
      <c r="K1555" s="74" t="n"/>
      <c r="L1555" s="74" t="n"/>
      <c r="M1555" s="64" t="e">
        <v>#N/A</v>
      </c>
    </row>
    <row r="1556" ht="29.1" customHeight="1">
      <c r="A1556" s="74" t="n"/>
      <c r="B1556" s="74" t="n"/>
      <c r="C1556" s="74" t="n"/>
      <c r="D1556" s="74" t="n"/>
      <c r="E1556" s="74" t="n"/>
      <c r="F1556" s="74" t="n"/>
      <c r="G1556" s="74" t="inlineStr">
        <is>
          <t>kg</t>
        </is>
      </c>
      <c r="H1556" s="76" t="n"/>
      <c r="I1556" s="73" t="n"/>
      <c r="J1556" s="73" t="n"/>
      <c r="K1556" s="74" t="n"/>
      <c r="L1556" s="74" t="n"/>
      <c r="M1556" s="64" t="e">
        <v>#N/A</v>
      </c>
    </row>
    <row r="1557" ht="29.1" customHeight="1">
      <c r="A1557" s="74" t="n"/>
      <c r="B1557" s="74" t="n"/>
      <c r="C1557" s="74" t="n"/>
      <c r="D1557" s="74" t="n"/>
      <c r="E1557" s="74" t="n"/>
      <c r="F1557" s="74" t="n"/>
      <c r="G1557" s="74" t="inlineStr">
        <is>
          <t>kg</t>
        </is>
      </c>
      <c r="H1557" s="76" t="n"/>
      <c r="I1557" s="73" t="n"/>
      <c r="J1557" s="73" t="n"/>
      <c r="K1557" s="74" t="n"/>
      <c r="L1557" s="74" t="n"/>
      <c r="M1557" s="64" t="e">
        <v>#N/A</v>
      </c>
    </row>
    <row r="1558" ht="29.1" customHeight="1">
      <c r="A1558" s="74" t="n"/>
      <c r="B1558" s="74" t="n"/>
      <c r="C1558" s="74" t="n"/>
      <c r="D1558" s="74" t="n"/>
      <c r="E1558" s="74" t="n"/>
      <c r="F1558" s="74" t="n"/>
      <c r="G1558" s="74" t="inlineStr">
        <is>
          <t>kg</t>
        </is>
      </c>
      <c r="H1558" s="76" t="n"/>
      <c r="I1558" s="73" t="n"/>
      <c r="J1558" s="73" t="n"/>
      <c r="K1558" s="74" t="n"/>
      <c r="L1558" s="74" t="n"/>
      <c r="M1558" s="64" t="e">
        <v>#N/A</v>
      </c>
    </row>
    <row r="1559" ht="29.1" customHeight="1">
      <c r="A1559" s="74" t="n"/>
      <c r="B1559" s="74" t="n"/>
      <c r="C1559" s="74" t="n"/>
      <c r="D1559" s="74" t="n"/>
      <c r="E1559" s="74" t="n"/>
      <c r="F1559" s="74" t="n"/>
      <c r="G1559" s="74" t="inlineStr">
        <is>
          <t>kg</t>
        </is>
      </c>
      <c r="H1559" s="76" t="n"/>
      <c r="I1559" s="73" t="n"/>
      <c r="J1559" s="73" t="n"/>
      <c r="K1559" s="74" t="n"/>
      <c r="L1559" s="74" t="n"/>
      <c r="M1559" s="64" t="e">
        <v>#N/A</v>
      </c>
    </row>
    <row r="1560" ht="29.1" customHeight="1">
      <c r="A1560" s="74" t="n"/>
      <c r="B1560" s="74" t="n"/>
      <c r="C1560" s="74" t="n"/>
      <c r="D1560" s="74" t="n"/>
      <c r="E1560" s="74" t="n"/>
      <c r="F1560" s="74" t="n"/>
      <c r="G1560" s="74" t="inlineStr">
        <is>
          <t>kg</t>
        </is>
      </c>
      <c r="H1560" s="76" t="n"/>
      <c r="I1560" s="73" t="n"/>
      <c r="J1560" s="73" t="n"/>
      <c r="K1560" s="74" t="n"/>
      <c r="L1560" s="74" t="n"/>
      <c r="M1560" s="64" t="e">
        <v>#N/A</v>
      </c>
    </row>
    <row r="1561" ht="29.1" customHeight="1">
      <c r="A1561" s="74" t="n"/>
      <c r="B1561" s="74" t="n"/>
      <c r="C1561" s="74" t="n"/>
      <c r="D1561" s="74" t="n"/>
      <c r="E1561" s="74" t="n"/>
      <c r="F1561" s="74" t="n"/>
      <c r="G1561" s="74" t="inlineStr">
        <is>
          <t>kg</t>
        </is>
      </c>
      <c r="H1561" s="76" t="n"/>
      <c r="I1561" s="73" t="n"/>
      <c r="J1561" s="73" t="n"/>
      <c r="K1561" s="74" t="n"/>
      <c r="L1561" s="74" t="n"/>
      <c r="M1561" s="64" t="e">
        <v>#N/A</v>
      </c>
    </row>
    <row r="1562" ht="29.1" customHeight="1">
      <c r="A1562" s="74" t="n"/>
      <c r="B1562" s="74" t="n"/>
      <c r="C1562" s="74" t="n"/>
      <c r="D1562" s="74" t="n"/>
      <c r="E1562" s="74" t="n"/>
      <c r="F1562" s="74" t="n"/>
      <c r="G1562" s="74" t="inlineStr">
        <is>
          <t>kg</t>
        </is>
      </c>
      <c r="H1562" s="76" t="n"/>
      <c r="I1562" s="73" t="n"/>
      <c r="J1562" s="73" t="n"/>
      <c r="K1562" s="74" t="n"/>
      <c r="L1562" s="74" t="n"/>
      <c r="M1562" s="64" t="e">
        <v>#N/A</v>
      </c>
    </row>
    <row r="1563" ht="29.1" customHeight="1">
      <c r="A1563" s="74" t="n"/>
      <c r="B1563" s="74" t="n"/>
      <c r="C1563" s="74" t="n"/>
      <c r="D1563" s="74" t="n"/>
      <c r="E1563" s="74" t="n"/>
      <c r="F1563" s="74" t="n"/>
      <c r="G1563" s="74" t="inlineStr">
        <is>
          <t>kg</t>
        </is>
      </c>
      <c r="H1563" s="76" t="n"/>
      <c r="I1563" s="73" t="n"/>
      <c r="J1563" s="73" t="n"/>
      <c r="K1563" s="74" t="n"/>
      <c r="L1563" s="74" t="n"/>
      <c r="M1563" s="64" t="e">
        <v>#N/A</v>
      </c>
    </row>
    <row r="1564" ht="29.1" customHeight="1">
      <c r="A1564" s="74" t="n"/>
      <c r="B1564" s="74" t="n"/>
      <c r="C1564" s="74" t="n"/>
      <c r="D1564" s="74" t="n"/>
      <c r="E1564" s="74" t="n"/>
      <c r="F1564" s="74" t="n"/>
      <c r="G1564" s="74" t="inlineStr">
        <is>
          <t>kg</t>
        </is>
      </c>
      <c r="H1564" s="76" t="n"/>
      <c r="I1564" s="73" t="n"/>
      <c r="J1564" s="73" t="n"/>
      <c r="K1564" s="74" t="n"/>
      <c r="L1564" s="74" t="n"/>
      <c r="M1564" s="64" t="e">
        <v>#N/A</v>
      </c>
    </row>
    <row r="1565" ht="29.1" customHeight="1">
      <c r="A1565" s="74" t="n"/>
      <c r="B1565" s="74" t="n"/>
      <c r="C1565" s="74" t="n"/>
      <c r="D1565" s="74" t="n"/>
      <c r="E1565" s="74" t="n"/>
      <c r="F1565" s="74" t="n"/>
      <c r="G1565" s="74" t="inlineStr">
        <is>
          <t>kg</t>
        </is>
      </c>
      <c r="H1565" s="76" t="n"/>
      <c r="I1565" s="73" t="n"/>
      <c r="J1565" s="73" t="n"/>
      <c r="K1565" s="74" t="n"/>
      <c r="L1565" s="74" t="n"/>
      <c r="M1565" s="64" t="e">
        <v>#N/A</v>
      </c>
    </row>
    <row r="1566" ht="29.1" customHeight="1">
      <c r="A1566" s="74" t="n"/>
      <c r="B1566" s="74" t="n"/>
      <c r="C1566" s="74" t="n"/>
      <c r="D1566" s="74" t="n"/>
      <c r="E1566" s="74" t="n"/>
      <c r="F1566" s="74" t="n"/>
      <c r="G1566" s="74" t="inlineStr">
        <is>
          <t>kg</t>
        </is>
      </c>
      <c r="H1566" s="76" t="n"/>
      <c r="I1566" s="73" t="n"/>
      <c r="J1566" s="73" t="n"/>
      <c r="K1566" s="74" t="n"/>
      <c r="L1566" s="74" t="n"/>
      <c r="M1566" s="64" t="e">
        <v>#N/A</v>
      </c>
    </row>
    <row r="1567" ht="29.1" customHeight="1">
      <c r="A1567" s="74" t="n"/>
      <c r="B1567" s="74" t="n"/>
      <c r="C1567" s="74" t="n"/>
      <c r="D1567" s="74" t="n"/>
      <c r="E1567" s="74" t="n"/>
      <c r="F1567" s="74" t="n"/>
      <c r="G1567" s="74" t="inlineStr">
        <is>
          <t>kg</t>
        </is>
      </c>
      <c r="H1567" s="76" t="n"/>
      <c r="I1567" s="73" t="n"/>
      <c r="J1567" s="73" t="n"/>
      <c r="K1567" s="74" t="n"/>
      <c r="L1567" s="74" t="n"/>
      <c r="M1567" s="64" t="e">
        <v>#N/A</v>
      </c>
    </row>
    <row r="1568" ht="29.1" customHeight="1">
      <c r="A1568" s="74" t="n"/>
      <c r="B1568" s="74" t="n"/>
      <c r="C1568" s="74" t="n"/>
      <c r="D1568" s="74" t="n"/>
      <c r="E1568" s="74" t="n"/>
      <c r="F1568" s="74" t="n"/>
      <c r="G1568" s="74" t="inlineStr">
        <is>
          <t>kg</t>
        </is>
      </c>
      <c r="H1568" s="76" t="n"/>
      <c r="I1568" s="73" t="n"/>
      <c r="J1568" s="73" t="n"/>
      <c r="K1568" s="74" t="n"/>
      <c r="L1568" s="74" t="n"/>
      <c r="M1568" s="64" t="e">
        <v>#N/A</v>
      </c>
    </row>
    <row r="1569" ht="29.1" customHeight="1">
      <c r="A1569" s="74" t="n"/>
      <c r="B1569" s="74" t="n"/>
      <c r="C1569" s="74" t="n"/>
      <c r="D1569" s="74" t="n"/>
      <c r="E1569" s="74" t="n"/>
      <c r="F1569" s="74" t="n"/>
      <c r="G1569" s="74" t="inlineStr">
        <is>
          <t>kg</t>
        </is>
      </c>
      <c r="H1569" s="76" t="n"/>
      <c r="I1569" s="73" t="n"/>
      <c r="J1569" s="73" t="n"/>
      <c r="K1569" s="74" t="n"/>
      <c r="L1569" s="74" t="n"/>
      <c r="M1569" s="64" t="e">
        <v>#N/A</v>
      </c>
    </row>
    <row r="1570" ht="29.1" customHeight="1">
      <c r="A1570" s="74" t="n"/>
      <c r="B1570" s="74" t="n"/>
      <c r="C1570" s="74" t="n"/>
      <c r="D1570" s="74" t="n"/>
      <c r="E1570" s="74" t="n"/>
      <c r="F1570" s="74" t="n"/>
      <c r="G1570" s="74" t="inlineStr">
        <is>
          <t>kg</t>
        </is>
      </c>
      <c r="H1570" s="76" t="n"/>
      <c r="I1570" s="73" t="n"/>
      <c r="J1570" s="73" t="n"/>
      <c r="K1570" s="74" t="n"/>
      <c r="L1570" s="74" t="n"/>
      <c r="M1570" s="64" t="e">
        <v>#N/A</v>
      </c>
    </row>
    <row r="1571" ht="29.1" customHeight="1">
      <c r="A1571" s="74" t="n"/>
      <c r="B1571" s="74" t="n"/>
      <c r="C1571" s="74" t="n"/>
      <c r="D1571" s="74" t="n"/>
      <c r="E1571" s="74" t="n"/>
      <c r="F1571" s="74" t="n"/>
      <c r="G1571" s="74" t="inlineStr">
        <is>
          <t>kg</t>
        </is>
      </c>
      <c r="H1571" s="76" t="n"/>
      <c r="I1571" s="73" t="n"/>
      <c r="J1571" s="73" t="n"/>
      <c r="K1571" s="74" t="n"/>
      <c r="L1571" s="74" t="n"/>
      <c r="M1571" s="64" t="e">
        <v>#N/A</v>
      </c>
    </row>
    <row r="1572" ht="29.1" customHeight="1">
      <c r="A1572" s="74" t="n"/>
      <c r="B1572" s="74" t="n"/>
      <c r="C1572" s="74" t="n"/>
      <c r="D1572" s="74" t="n"/>
      <c r="E1572" s="74" t="n"/>
      <c r="F1572" s="74" t="n"/>
      <c r="G1572" s="74" t="inlineStr">
        <is>
          <t>kg</t>
        </is>
      </c>
      <c r="H1572" s="76" t="n"/>
      <c r="I1572" s="73" t="n"/>
      <c r="J1572" s="73" t="n"/>
      <c r="K1572" s="74" t="n"/>
      <c r="L1572" s="74" t="n"/>
      <c r="M1572" s="64" t="e">
        <v>#N/A</v>
      </c>
    </row>
    <row r="1573" ht="29.1" customHeight="1">
      <c r="A1573" s="74" t="n"/>
      <c r="B1573" s="74" t="n"/>
      <c r="C1573" s="74" t="n"/>
      <c r="D1573" s="74" t="n"/>
      <c r="E1573" s="74" t="n"/>
      <c r="F1573" s="74" t="n"/>
      <c r="G1573" s="74" t="inlineStr">
        <is>
          <t>kg</t>
        </is>
      </c>
      <c r="H1573" s="76" t="n"/>
      <c r="I1573" s="73" t="n"/>
      <c r="J1573" s="73" t="n"/>
      <c r="K1573" s="74" t="n"/>
      <c r="L1573" s="74" t="n"/>
      <c r="M1573" s="64" t="e">
        <v>#N/A</v>
      </c>
    </row>
    <row r="1574" ht="29.1" customHeight="1">
      <c r="A1574" s="74" t="n"/>
      <c r="B1574" s="74" t="n"/>
      <c r="C1574" s="74" t="n"/>
      <c r="D1574" s="74" t="n"/>
      <c r="E1574" s="74" t="n"/>
      <c r="F1574" s="74" t="n"/>
      <c r="G1574" s="74" t="inlineStr">
        <is>
          <t>kg</t>
        </is>
      </c>
      <c r="H1574" s="76" t="n"/>
      <c r="I1574" s="73" t="n"/>
      <c r="J1574" s="73" t="n"/>
      <c r="K1574" s="74" t="n"/>
      <c r="L1574" s="74" t="n"/>
      <c r="M1574" s="64" t="e">
        <v>#N/A</v>
      </c>
    </row>
    <row r="1575" ht="29.1" customHeight="1">
      <c r="A1575" s="74" t="n"/>
      <c r="B1575" s="74" t="n"/>
      <c r="C1575" s="74" t="n"/>
      <c r="D1575" s="74" t="n"/>
      <c r="E1575" s="74" t="n"/>
      <c r="F1575" s="74" t="n"/>
      <c r="G1575" s="74" t="inlineStr">
        <is>
          <t>kg</t>
        </is>
      </c>
      <c r="H1575" s="76" t="n"/>
      <c r="I1575" s="73" t="n"/>
      <c r="J1575" s="73" t="n"/>
      <c r="K1575" s="74" t="n"/>
      <c r="L1575" s="74" t="n"/>
      <c r="M1575" s="64" t="e">
        <v>#N/A</v>
      </c>
    </row>
    <row r="1576" ht="29.1" customHeight="1">
      <c r="A1576" s="74" t="n"/>
      <c r="B1576" s="74" t="n"/>
      <c r="C1576" s="74" t="n"/>
      <c r="D1576" s="74" t="n"/>
      <c r="E1576" s="74" t="n"/>
      <c r="F1576" s="74" t="n"/>
      <c r="G1576" s="74" t="inlineStr">
        <is>
          <t>kg</t>
        </is>
      </c>
      <c r="H1576" s="76" t="n"/>
      <c r="I1576" s="73" t="n"/>
      <c r="J1576" s="73" t="n"/>
      <c r="K1576" s="74" t="n"/>
      <c r="L1576" s="74" t="n"/>
      <c r="M1576" s="64" t="e">
        <v>#N/A</v>
      </c>
    </row>
    <row r="1577" ht="29.1" customHeight="1">
      <c r="A1577" s="74" t="n"/>
      <c r="B1577" s="74" t="n"/>
      <c r="C1577" s="74" t="n"/>
      <c r="D1577" s="74" t="n"/>
      <c r="E1577" s="74" t="n"/>
      <c r="F1577" s="74" t="n"/>
      <c r="G1577" s="74" t="inlineStr">
        <is>
          <t>kg</t>
        </is>
      </c>
      <c r="H1577" s="76" t="n"/>
      <c r="I1577" s="73" t="n"/>
      <c r="J1577" s="73" t="n"/>
      <c r="K1577" s="74" t="n"/>
      <c r="L1577" s="74" t="n"/>
      <c r="M1577" s="64" t="e">
        <v>#N/A</v>
      </c>
    </row>
    <row r="1578" ht="29.1" customHeight="1">
      <c r="A1578" s="74" t="n"/>
      <c r="B1578" s="74" t="n"/>
      <c r="C1578" s="74" t="n"/>
      <c r="D1578" s="74" t="n"/>
      <c r="E1578" s="74" t="n"/>
      <c r="F1578" s="74" t="n"/>
      <c r="G1578" s="74" t="inlineStr">
        <is>
          <t>kg</t>
        </is>
      </c>
      <c r="H1578" s="76" t="n"/>
      <c r="I1578" s="73" t="n"/>
      <c r="J1578" s="73" t="n"/>
      <c r="K1578" s="74" t="n"/>
      <c r="L1578" s="74" t="n"/>
      <c r="M1578" s="64" t="e">
        <v>#N/A</v>
      </c>
    </row>
    <row r="1579" ht="29.1" customHeight="1">
      <c r="A1579" s="74" t="n"/>
      <c r="B1579" s="74" t="n"/>
      <c r="C1579" s="74" t="n"/>
      <c r="D1579" s="74" t="n"/>
      <c r="E1579" s="74" t="n"/>
      <c r="F1579" s="74" t="n"/>
      <c r="G1579" s="74" t="inlineStr">
        <is>
          <t>kg</t>
        </is>
      </c>
      <c r="H1579" s="76" t="n"/>
      <c r="I1579" s="73" t="n"/>
      <c r="J1579" s="73" t="n"/>
      <c r="K1579" s="74" t="n"/>
      <c r="L1579" s="74" t="n"/>
      <c r="M1579" s="64" t="e">
        <v>#N/A</v>
      </c>
    </row>
    <row r="1580" ht="29.1" customHeight="1">
      <c r="A1580" s="74" t="n"/>
      <c r="B1580" s="74" t="n"/>
      <c r="C1580" s="74" t="n"/>
      <c r="D1580" s="74" t="n"/>
      <c r="E1580" s="74" t="n"/>
      <c r="F1580" s="74" t="n"/>
      <c r="G1580" s="74" t="inlineStr">
        <is>
          <t>kg</t>
        </is>
      </c>
      <c r="H1580" s="76" t="n"/>
      <c r="I1580" s="73" t="n"/>
      <c r="J1580" s="73" t="n"/>
      <c r="K1580" s="74" t="n"/>
      <c r="L1580" s="74" t="n"/>
      <c r="M1580" s="64" t="e">
        <v>#N/A</v>
      </c>
    </row>
    <row r="1581" ht="29.1" customHeight="1">
      <c r="A1581" s="74" t="n"/>
      <c r="B1581" s="74" t="n"/>
      <c r="C1581" s="74" t="n"/>
      <c r="D1581" s="74" t="n"/>
      <c r="E1581" s="74" t="n"/>
      <c r="F1581" s="74" t="n"/>
      <c r="G1581" s="74" t="inlineStr">
        <is>
          <t>kg</t>
        </is>
      </c>
      <c r="H1581" s="76" t="n"/>
      <c r="I1581" s="73" t="n"/>
      <c r="J1581" s="73" t="n"/>
      <c r="K1581" s="74" t="n"/>
      <c r="L1581" s="74" t="n"/>
      <c r="M1581" s="64" t="e">
        <v>#N/A</v>
      </c>
    </row>
    <row r="1582" ht="29.1" customHeight="1">
      <c r="A1582" s="74" t="n"/>
      <c r="B1582" s="74" t="n"/>
      <c r="C1582" s="74" t="n"/>
      <c r="D1582" s="74" t="n"/>
      <c r="E1582" s="74" t="n"/>
      <c r="F1582" s="74" t="n"/>
      <c r="G1582" s="74" t="inlineStr">
        <is>
          <t>kg</t>
        </is>
      </c>
      <c r="H1582" s="76" t="n"/>
      <c r="I1582" s="73" t="n"/>
      <c r="J1582" s="73" t="n"/>
      <c r="K1582" s="74" t="n"/>
      <c r="L1582" s="74" t="n"/>
      <c r="M1582" s="64" t="e">
        <v>#N/A</v>
      </c>
    </row>
    <row r="1583" ht="29.1" customHeight="1">
      <c r="A1583" s="74" t="n"/>
      <c r="B1583" s="74" t="n"/>
      <c r="C1583" s="74" t="n"/>
      <c r="D1583" s="74" t="n"/>
      <c r="E1583" s="74" t="n"/>
      <c r="F1583" s="74" t="n"/>
      <c r="G1583" s="74" t="inlineStr">
        <is>
          <t>kg</t>
        </is>
      </c>
      <c r="H1583" s="76" t="n"/>
      <c r="I1583" s="73" t="n"/>
      <c r="J1583" s="73" t="n"/>
      <c r="K1583" s="74" t="n"/>
      <c r="L1583" s="74" t="n"/>
      <c r="M1583" s="64" t="e">
        <v>#N/A</v>
      </c>
    </row>
    <row r="1584" ht="29.1" customHeight="1">
      <c r="A1584" s="74" t="n"/>
      <c r="B1584" s="74" t="n"/>
      <c r="C1584" s="74" t="n"/>
      <c r="D1584" s="74" t="n"/>
      <c r="E1584" s="74" t="n"/>
      <c r="F1584" s="74" t="n"/>
      <c r="G1584" s="74" t="inlineStr">
        <is>
          <t>kg</t>
        </is>
      </c>
      <c r="H1584" s="76" t="n"/>
      <c r="I1584" s="73" t="n"/>
      <c r="J1584" s="73" t="n"/>
      <c r="K1584" s="74" t="n"/>
      <c r="L1584" s="74" t="n"/>
      <c r="M1584" s="64" t="e">
        <v>#N/A</v>
      </c>
    </row>
    <row r="1585" ht="29.1" customHeight="1">
      <c r="A1585" s="74" t="n"/>
      <c r="B1585" s="74" t="n"/>
      <c r="C1585" s="74" t="n"/>
      <c r="D1585" s="74" t="n"/>
      <c r="E1585" s="74" t="n"/>
      <c r="F1585" s="74" t="n"/>
      <c r="G1585" s="74" t="inlineStr">
        <is>
          <t>kg</t>
        </is>
      </c>
      <c r="H1585" s="76" t="n"/>
      <c r="I1585" s="73" t="n"/>
      <c r="J1585" s="73" t="n"/>
      <c r="K1585" s="74" t="n"/>
      <c r="L1585" s="74" t="n"/>
      <c r="M1585" s="64" t="e">
        <v>#N/A</v>
      </c>
    </row>
    <row r="1586" ht="29.1" customHeight="1">
      <c r="A1586" s="74" t="n"/>
      <c r="B1586" s="74" t="n"/>
      <c r="C1586" s="74" t="n"/>
      <c r="D1586" s="74" t="n"/>
      <c r="E1586" s="74" t="n"/>
      <c r="F1586" s="74" t="n"/>
      <c r="G1586" s="74" t="inlineStr">
        <is>
          <t>kg</t>
        </is>
      </c>
      <c r="H1586" s="76" t="n"/>
      <c r="I1586" s="73" t="n"/>
      <c r="J1586" s="73" t="n"/>
      <c r="K1586" s="74" t="n"/>
      <c r="L1586" s="74" t="n"/>
      <c r="M1586" s="64" t="e">
        <v>#N/A</v>
      </c>
    </row>
    <row r="1587" ht="29.1" customHeight="1">
      <c r="A1587" s="74" t="n"/>
      <c r="B1587" s="74" t="n"/>
      <c r="C1587" s="74" t="n"/>
      <c r="D1587" s="74" t="n"/>
      <c r="E1587" s="74" t="n"/>
      <c r="F1587" s="74" t="n"/>
      <c r="G1587" s="74" t="inlineStr">
        <is>
          <t>kg</t>
        </is>
      </c>
      <c r="H1587" s="76" t="n"/>
      <c r="I1587" s="73" t="n"/>
      <c r="J1587" s="73" t="n"/>
      <c r="K1587" s="74" t="n"/>
      <c r="L1587" s="74" t="n"/>
      <c r="M1587" s="64" t="e">
        <v>#N/A</v>
      </c>
    </row>
    <row r="1588" ht="29.1" customHeight="1">
      <c r="A1588" s="74" t="n"/>
      <c r="B1588" s="74" t="n"/>
      <c r="C1588" s="74" t="n"/>
      <c r="D1588" s="74" t="n"/>
      <c r="E1588" s="74" t="n"/>
      <c r="F1588" s="74" t="n"/>
      <c r="G1588" s="74" t="inlineStr">
        <is>
          <t>kg</t>
        </is>
      </c>
      <c r="H1588" s="76" t="n"/>
      <c r="I1588" s="73" t="n"/>
      <c r="J1588" s="73" t="n"/>
      <c r="K1588" s="74" t="n"/>
      <c r="L1588" s="74" t="n"/>
      <c r="M1588" s="64" t="e">
        <v>#N/A</v>
      </c>
    </row>
    <row r="1589" ht="29.1" customHeight="1">
      <c r="A1589" s="74" t="n"/>
      <c r="B1589" s="74" t="n"/>
      <c r="C1589" s="74" t="n"/>
      <c r="D1589" s="74" t="n"/>
      <c r="E1589" s="74" t="n"/>
      <c r="F1589" s="74" t="n"/>
      <c r="G1589" s="74" t="inlineStr">
        <is>
          <t>kg</t>
        </is>
      </c>
      <c r="H1589" s="76" t="n"/>
      <c r="I1589" s="73" t="n"/>
      <c r="J1589" s="73" t="n"/>
      <c r="K1589" s="74" t="n"/>
      <c r="L1589" s="74" t="n"/>
      <c r="M1589" s="64" t="e">
        <v>#N/A</v>
      </c>
    </row>
    <row r="1590" ht="29.1" customHeight="1">
      <c r="A1590" s="74" t="n"/>
      <c r="B1590" s="74" t="n"/>
      <c r="C1590" s="74" t="n"/>
      <c r="D1590" s="74" t="n"/>
      <c r="E1590" s="74" t="n"/>
      <c r="F1590" s="74" t="n"/>
      <c r="G1590" s="74" t="inlineStr">
        <is>
          <t>kg</t>
        </is>
      </c>
      <c r="H1590" s="76" t="n"/>
      <c r="I1590" s="73" t="n"/>
      <c r="J1590" s="73" t="n"/>
      <c r="K1590" s="74" t="n"/>
      <c r="L1590" s="74" t="n"/>
      <c r="M1590" s="64" t="e">
        <v>#N/A</v>
      </c>
    </row>
    <row r="1591" ht="29.1" customHeight="1">
      <c r="A1591" s="74" t="n"/>
      <c r="B1591" s="74" t="n"/>
      <c r="C1591" s="74" t="n"/>
      <c r="D1591" s="74" t="n"/>
      <c r="E1591" s="74" t="n"/>
      <c r="F1591" s="74" t="n"/>
      <c r="G1591" s="74" t="inlineStr">
        <is>
          <t>kg</t>
        </is>
      </c>
      <c r="H1591" s="76" t="n"/>
      <c r="I1591" s="73" t="n"/>
      <c r="J1591" s="73" t="n"/>
      <c r="K1591" s="74" t="n"/>
      <c r="L1591" s="74" t="n"/>
      <c r="M1591" s="64" t="e">
        <v>#N/A</v>
      </c>
    </row>
    <row r="1592" ht="29.1" customHeight="1">
      <c r="A1592" s="74" t="n"/>
      <c r="B1592" s="74" t="n"/>
      <c r="C1592" s="74" t="n"/>
      <c r="D1592" s="74" t="n"/>
      <c r="E1592" s="74" t="n"/>
      <c r="F1592" s="74" t="n"/>
      <c r="G1592" s="74" t="inlineStr">
        <is>
          <t>kg</t>
        </is>
      </c>
      <c r="H1592" s="76" t="n"/>
      <c r="I1592" s="73" t="n"/>
      <c r="J1592" s="73" t="n"/>
      <c r="K1592" s="74" t="n"/>
      <c r="L1592" s="74" t="n"/>
      <c r="M1592" s="64" t="e">
        <v>#N/A</v>
      </c>
    </row>
    <row r="1593" ht="29.1" customHeight="1">
      <c r="A1593" s="74" t="n"/>
      <c r="B1593" s="74" t="n"/>
      <c r="C1593" s="74" t="n"/>
      <c r="D1593" s="74" t="n"/>
      <c r="E1593" s="74" t="n"/>
      <c r="F1593" s="74" t="n"/>
      <c r="G1593" s="74" t="inlineStr">
        <is>
          <t>kg</t>
        </is>
      </c>
      <c r="H1593" s="76" t="n"/>
      <c r="I1593" s="73" t="n"/>
      <c r="J1593" s="73" t="n"/>
      <c r="K1593" s="74" t="n"/>
      <c r="L1593" s="74" t="n"/>
      <c r="M1593" s="64" t="e">
        <v>#N/A</v>
      </c>
    </row>
    <row r="1594" ht="43.5" customHeight="1">
      <c r="A1594" s="74" t="n"/>
      <c r="B1594" s="74" t="n"/>
      <c r="C1594" s="74" t="n"/>
      <c r="D1594" s="74" t="n"/>
      <c r="E1594" s="74" t="n"/>
      <c r="F1594" s="74" t="n"/>
      <c r="G1594" s="74" t="inlineStr">
        <is>
          <t>kg</t>
        </is>
      </c>
      <c r="H1594" s="76" t="n"/>
      <c r="I1594" s="73" t="n"/>
      <c r="J1594" s="73" t="n"/>
      <c r="K1594" s="74" t="n"/>
      <c r="L1594" s="74" t="n"/>
      <c r="M1594" s="64" t="e">
        <v>#N/A</v>
      </c>
    </row>
    <row r="1595" ht="43.5" customHeight="1">
      <c r="A1595" s="74" t="n"/>
      <c r="B1595" s="74" t="n"/>
      <c r="C1595" s="74" t="n"/>
      <c r="D1595" s="74" t="n"/>
      <c r="E1595" s="74" t="n"/>
      <c r="F1595" s="74" t="n"/>
      <c r="G1595" s="74" t="inlineStr">
        <is>
          <t>kg</t>
        </is>
      </c>
      <c r="H1595" s="76" t="n"/>
      <c r="I1595" s="73" t="n"/>
      <c r="J1595" s="73" t="n"/>
      <c r="K1595" s="74" t="n"/>
      <c r="L1595" s="74" t="n"/>
      <c r="M1595" s="64" t="e">
        <v>#N/A</v>
      </c>
    </row>
    <row r="1596" ht="29.1" customHeight="1">
      <c r="A1596" s="74" t="n"/>
      <c r="B1596" s="74" t="n"/>
      <c r="C1596" s="74" t="n"/>
      <c r="D1596" s="74" t="n"/>
      <c r="E1596" s="74" t="n"/>
      <c r="F1596" s="74" t="n"/>
      <c r="G1596" s="74" t="inlineStr">
        <is>
          <t>kg</t>
        </is>
      </c>
      <c r="H1596" s="76" t="n"/>
      <c r="I1596" s="73" t="n"/>
      <c r="J1596" s="73" t="n"/>
      <c r="K1596" s="74" t="n"/>
      <c r="L1596" s="74" t="n"/>
      <c r="M1596" s="64" t="e">
        <v>#N/A</v>
      </c>
    </row>
    <row r="1597" ht="29.1" customHeight="1">
      <c r="A1597" s="74" t="n"/>
      <c r="B1597" s="74" t="n"/>
      <c r="C1597" s="74" t="n"/>
      <c r="D1597" s="74" t="n"/>
      <c r="E1597" s="74" t="n"/>
      <c r="F1597" s="74" t="n"/>
      <c r="G1597" s="74" t="inlineStr">
        <is>
          <t>kg</t>
        </is>
      </c>
      <c r="H1597" s="76" t="n"/>
      <c r="I1597" s="73" t="n"/>
      <c r="J1597" s="73" t="n"/>
      <c r="K1597" s="74" t="n"/>
      <c r="L1597" s="74" t="n"/>
      <c r="M1597" s="64" t="e">
        <v>#N/A</v>
      </c>
    </row>
    <row r="1598" ht="29.1" customHeight="1">
      <c r="A1598" s="74" t="n"/>
      <c r="B1598" s="74" t="n"/>
      <c r="C1598" s="74" t="n"/>
      <c r="D1598" s="74" t="n"/>
      <c r="E1598" s="74" t="n"/>
      <c r="F1598" s="74" t="n"/>
      <c r="G1598" s="74" t="inlineStr">
        <is>
          <t>kg</t>
        </is>
      </c>
      <c r="H1598" s="76" t="n"/>
      <c r="I1598" s="73" t="n"/>
      <c r="J1598" s="73" t="n"/>
      <c r="K1598" s="74" t="n"/>
      <c r="L1598" s="74" t="n"/>
      <c r="M1598" s="64" t="e">
        <v>#N/A</v>
      </c>
    </row>
    <row r="1599" ht="29.1" customHeight="1">
      <c r="A1599" s="74" t="n"/>
      <c r="B1599" s="74" t="n"/>
      <c r="C1599" s="74" t="n"/>
      <c r="D1599" s="74" t="n"/>
      <c r="E1599" s="74" t="n"/>
      <c r="F1599" s="74" t="n"/>
      <c r="G1599" s="74" t="inlineStr">
        <is>
          <t>kg</t>
        </is>
      </c>
      <c r="H1599" s="76" t="n"/>
      <c r="I1599" s="73" t="n"/>
      <c r="J1599" s="73" t="n"/>
      <c r="K1599" s="74" t="n"/>
      <c r="L1599" s="74" t="n"/>
      <c r="M1599" s="64" t="e">
        <v>#N/A</v>
      </c>
    </row>
    <row r="1600" ht="29.1" customHeight="1">
      <c r="A1600" s="74" t="n"/>
      <c r="B1600" s="74" t="n"/>
      <c r="C1600" s="74" t="n"/>
      <c r="D1600" s="74" t="n"/>
      <c r="E1600" s="74" t="n"/>
      <c r="F1600" s="74" t="n"/>
      <c r="G1600" s="74" t="inlineStr">
        <is>
          <t>kg</t>
        </is>
      </c>
      <c r="H1600" s="76" t="n"/>
      <c r="I1600" s="73" t="n"/>
      <c r="J1600" s="73" t="n"/>
      <c r="K1600" s="74" t="n"/>
      <c r="L1600" s="74" t="n"/>
      <c r="M1600" s="64" t="e">
        <v>#N/A</v>
      </c>
    </row>
    <row r="1601" ht="29.1" customHeight="1">
      <c r="A1601" s="74" t="n"/>
      <c r="B1601" s="74" t="n"/>
      <c r="C1601" s="74" t="n"/>
      <c r="D1601" s="74" t="n"/>
      <c r="E1601" s="74" t="n"/>
      <c r="F1601" s="74" t="n"/>
      <c r="G1601" s="74" t="inlineStr">
        <is>
          <t>kg</t>
        </is>
      </c>
      <c r="H1601" s="76" t="n"/>
      <c r="I1601" s="73" t="n"/>
      <c r="J1601" s="73" t="n"/>
      <c r="K1601" s="74" t="n"/>
      <c r="L1601" s="74" t="n"/>
      <c r="M1601" s="64" t="e">
        <v>#N/A</v>
      </c>
    </row>
    <row r="1602" ht="29.1" customHeight="1">
      <c r="A1602" s="74" t="n"/>
      <c r="B1602" s="74" t="n"/>
      <c r="C1602" s="74" t="n"/>
      <c r="D1602" s="74" t="n"/>
      <c r="E1602" s="74" t="n"/>
      <c r="F1602" s="74" t="n"/>
      <c r="G1602" s="74" t="inlineStr">
        <is>
          <t>kg</t>
        </is>
      </c>
      <c r="H1602" s="76" t="n"/>
      <c r="I1602" s="73" t="n"/>
      <c r="J1602" s="73" t="n"/>
      <c r="K1602" s="74" t="n"/>
      <c r="L1602" s="74" t="n"/>
      <c r="M1602" s="64" t="e">
        <v>#N/A</v>
      </c>
    </row>
    <row r="1603" ht="29.1" customHeight="1">
      <c r="A1603" s="74" t="n"/>
      <c r="B1603" s="74" t="n"/>
      <c r="C1603" s="74" t="n"/>
      <c r="D1603" s="74" t="n"/>
      <c r="E1603" s="74" t="n"/>
      <c r="F1603" s="74" t="n"/>
      <c r="G1603" s="74" t="inlineStr">
        <is>
          <t>kg</t>
        </is>
      </c>
      <c r="H1603" s="76" t="n"/>
      <c r="I1603" s="73" t="n"/>
      <c r="J1603" s="73" t="n"/>
      <c r="K1603" s="74" t="n"/>
      <c r="L1603" s="74" t="n"/>
      <c r="M1603" s="64" t="e">
        <v>#N/A</v>
      </c>
    </row>
    <row r="1604" ht="29.1" customHeight="1">
      <c r="A1604" s="74" t="n"/>
      <c r="B1604" s="74" t="n"/>
      <c r="C1604" s="74" t="n"/>
      <c r="D1604" s="74" t="n"/>
      <c r="E1604" s="74" t="n"/>
      <c r="F1604" s="74" t="n"/>
      <c r="G1604" s="74" t="inlineStr">
        <is>
          <t>kg</t>
        </is>
      </c>
      <c r="H1604" s="76" t="n"/>
      <c r="I1604" s="73" t="n"/>
      <c r="J1604" s="73" t="n"/>
      <c r="K1604" s="74" t="n"/>
      <c r="L1604" s="74" t="n"/>
      <c r="M1604" s="64" t="e">
        <v>#N/A</v>
      </c>
    </row>
    <row r="1605" ht="29.1" customHeight="1">
      <c r="A1605" s="74" t="n"/>
      <c r="B1605" s="74" t="n"/>
      <c r="C1605" s="74" t="n"/>
      <c r="D1605" s="74" t="n"/>
      <c r="E1605" s="74" t="n"/>
      <c r="F1605" s="74" t="n"/>
      <c r="G1605" s="74" t="inlineStr">
        <is>
          <t>kg</t>
        </is>
      </c>
      <c r="H1605" s="76" t="n"/>
      <c r="I1605" s="73" t="n"/>
      <c r="J1605" s="73" t="n"/>
      <c r="K1605" s="74" t="n"/>
      <c r="L1605" s="74" t="n"/>
      <c r="M1605" s="64" t="e">
        <v>#N/A</v>
      </c>
    </row>
    <row r="1606" ht="43.5" customHeight="1">
      <c r="A1606" s="74" t="n"/>
      <c r="B1606" s="74" t="n"/>
      <c r="C1606" s="74" t="n"/>
      <c r="D1606" s="74" t="n"/>
      <c r="E1606" s="74" t="n"/>
      <c r="F1606" s="74" t="n"/>
      <c r="G1606" s="74" t="inlineStr">
        <is>
          <t>kg</t>
        </is>
      </c>
      <c r="H1606" s="76" t="n"/>
      <c r="I1606" s="73" t="n"/>
      <c r="J1606" s="73" t="n"/>
      <c r="K1606" s="74" t="n"/>
      <c r="L1606" s="74" t="n"/>
      <c r="M1606" s="64" t="e">
        <v>#N/A</v>
      </c>
    </row>
    <row r="1607" ht="43.5" customHeight="1">
      <c r="A1607" s="74" t="n"/>
      <c r="B1607" s="74" t="n"/>
      <c r="C1607" s="74" t="n"/>
      <c r="D1607" s="74" t="n"/>
      <c r="E1607" s="74" t="n"/>
      <c r="F1607" s="74" t="n"/>
      <c r="G1607" s="74" t="inlineStr">
        <is>
          <t>kg</t>
        </is>
      </c>
      <c r="H1607" s="76" t="n"/>
      <c r="I1607" s="73" t="n"/>
      <c r="J1607" s="73" t="n"/>
      <c r="K1607" s="74" t="n"/>
      <c r="L1607" s="74" t="n"/>
      <c r="M1607" s="64" t="e">
        <v>#N/A</v>
      </c>
    </row>
    <row r="1608" ht="29.1" customHeight="1">
      <c r="A1608" s="74" t="n"/>
      <c r="B1608" s="74" t="n"/>
      <c r="C1608" s="74" t="n"/>
      <c r="D1608" s="74" t="n"/>
      <c r="E1608" s="74" t="n"/>
      <c r="F1608" s="74" t="n"/>
      <c r="G1608" s="74" t="inlineStr">
        <is>
          <t>kg</t>
        </is>
      </c>
      <c r="H1608" s="76" t="n"/>
      <c r="I1608" s="73" t="n"/>
      <c r="J1608" s="73" t="n"/>
      <c r="K1608" s="74" t="n"/>
      <c r="L1608" s="74" t="n"/>
      <c r="M1608" s="64" t="e">
        <v>#N/A</v>
      </c>
    </row>
    <row r="1609" ht="29.1" customHeight="1">
      <c r="A1609" s="74" t="n"/>
      <c r="B1609" s="74" t="n"/>
      <c r="C1609" s="74" t="n"/>
      <c r="D1609" s="74" t="n"/>
      <c r="E1609" s="74" t="n"/>
      <c r="F1609" s="74" t="n"/>
      <c r="G1609" s="74" t="inlineStr">
        <is>
          <t>kg</t>
        </is>
      </c>
      <c r="H1609" s="76" t="n"/>
      <c r="I1609" s="73" t="n"/>
      <c r="J1609" s="73" t="n"/>
      <c r="K1609" s="74" t="n"/>
      <c r="L1609" s="74" t="n"/>
      <c r="M1609" s="64" t="e">
        <v>#N/A</v>
      </c>
    </row>
    <row r="1610" ht="29.1" customHeight="1">
      <c r="A1610" s="74" t="n"/>
      <c r="B1610" s="74" t="n"/>
      <c r="C1610" s="74" t="n"/>
      <c r="D1610" s="74" t="n"/>
      <c r="E1610" s="74" t="n"/>
      <c r="F1610" s="74" t="n"/>
      <c r="G1610" s="74" t="inlineStr">
        <is>
          <t>kg</t>
        </is>
      </c>
      <c r="H1610" s="76" t="n"/>
      <c r="I1610" s="73" t="n"/>
      <c r="J1610" s="73" t="n"/>
      <c r="K1610" s="74" t="n"/>
      <c r="L1610" s="74" t="n"/>
      <c r="M1610" s="64" t="e">
        <v>#N/A</v>
      </c>
    </row>
    <row r="1611" ht="29.1" customHeight="1">
      <c r="A1611" s="74" t="n"/>
      <c r="B1611" s="74" t="n"/>
      <c r="C1611" s="74" t="n"/>
      <c r="D1611" s="74" t="n"/>
      <c r="E1611" s="74" t="n"/>
      <c r="F1611" s="74" t="n"/>
      <c r="G1611" s="74" t="inlineStr">
        <is>
          <t>kg</t>
        </is>
      </c>
      <c r="H1611" s="76" t="n"/>
      <c r="I1611" s="73" t="n"/>
      <c r="J1611" s="73" t="n"/>
      <c r="K1611" s="74" t="n"/>
      <c r="L1611" s="74" t="n"/>
      <c r="M1611" s="64" t="e">
        <v>#N/A</v>
      </c>
    </row>
    <row r="1612" ht="29.1" customHeight="1">
      <c r="A1612" s="74" t="n"/>
      <c r="B1612" s="74" t="n"/>
      <c r="C1612" s="74" t="n"/>
      <c r="D1612" s="74" t="n"/>
      <c r="E1612" s="74" t="n"/>
      <c r="F1612" s="74" t="n"/>
      <c r="G1612" s="74" t="inlineStr">
        <is>
          <t>kg</t>
        </is>
      </c>
      <c r="H1612" s="76" t="n"/>
      <c r="I1612" s="73" t="n"/>
      <c r="J1612" s="73" t="n"/>
      <c r="K1612" s="74" t="n"/>
      <c r="L1612" s="74" t="n"/>
      <c r="M1612" s="64" t="e">
        <v>#N/A</v>
      </c>
    </row>
    <row r="1613" ht="29.1" customHeight="1">
      <c r="A1613" s="74" t="n"/>
      <c r="B1613" s="74" t="n"/>
      <c r="C1613" s="74" t="n"/>
      <c r="D1613" s="74" t="n"/>
      <c r="E1613" s="74" t="n"/>
      <c r="F1613" s="74" t="n"/>
      <c r="G1613" s="74" t="inlineStr">
        <is>
          <t>kg</t>
        </is>
      </c>
      <c r="H1613" s="76" t="n"/>
      <c r="I1613" s="73" t="n"/>
      <c r="J1613" s="73" t="n"/>
      <c r="K1613" s="74" t="n"/>
      <c r="L1613" s="74" t="n"/>
      <c r="M1613" s="64" t="e">
        <v>#N/A</v>
      </c>
    </row>
    <row r="1614" ht="14.4" customHeight="1">
      <c r="G1614" s="74" t="inlineStr">
        <is>
          <t>kg</t>
        </is>
      </c>
      <c r="M1614" s="64" t="e">
        <v>#N/A</v>
      </c>
    </row>
    <row r="1615" ht="14.4" customHeight="1">
      <c r="G1615" s="74" t="inlineStr">
        <is>
          <t>kg</t>
        </is>
      </c>
      <c r="M1615" s="64" t="e">
        <v>#N/A</v>
      </c>
    </row>
    <row r="1616" ht="14.4" customHeight="1">
      <c r="G1616" s="74" t="inlineStr">
        <is>
          <t>kg</t>
        </is>
      </c>
      <c r="M1616" s="64" t="e">
        <v>#N/A</v>
      </c>
    </row>
    <row r="1617" ht="14.4" customHeight="1">
      <c r="G1617" s="74" t="inlineStr">
        <is>
          <t>kg</t>
        </is>
      </c>
      <c r="M1617" s="64" t="e">
        <v>#N/A</v>
      </c>
    </row>
    <row r="1618" ht="14.4" customHeight="1">
      <c r="G1618" s="74" t="inlineStr">
        <is>
          <t>kg</t>
        </is>
      </c>
      <c r="M1618" s="64" t="e">
        <v>#N/A</v>
      </c>
    </row>
    <row r="1619" ht="14.4" customHeight="1">
      <c r="G1619" s="74" t="inlineStr">
        <is>
          <t>kg</t>
        </is>
      </c>
      <c r="M1619" s="64" t="e">
        <v>#N/A</v>
      </c>
    </row>
    <row r="1620" ht="14.4" customHeight="1">
      <c r="G1620" s="74" t="inlineStr">
        <is>
          <t>kg</t>
        </is>
      </c>
      <c r="M1620" s="64" t="e">
        <v>#N/A</v>
      </c>
    </row>
    <row r="1621" ht="14.4" customHeight="1">
      <c r="G1621" s="74" t="inlineStr">
        <is>
          <t>kg</t>
        </is>
      </c>
      <c r="M1621" s="64" t="e">
        <v>#N/A</v>
      </c>
    </row>
    <row r="1622" ht="14.4" customHeight="1">
      <c r="G1622" s="74" t="inlineStr">
        <is>
          <t>kg</t>
        </is>
      </c>
      <c r="M1622" s="64" t="e">
        <v>#N/A</v>
      </c>
    </row>
    <row r="1623" ht="14.4" customHeight="1">
      <c r="G1623" s="74" t="inlineStr">
        <is>
          <t>kg</t>
        </is>
      </c>
      <c r="M1623" s="64" t="e">
        <v>#N/A</v>
      </c>
    </row>
    <row r="1624" ht="14.4" customHeight="1">
      <c r="G1624" s="74" t="inlineStr">
        <is>
          <t>kg</t>
        </is>
      </c>
      <c r="M1624" s="64" t="e">
        <v>#N/A</v>
      </c>
    </row>
    <row r="1625" ht="14.4" customHeight="1">
      <c r="G1625" s="74" t="inlineStr">
        <is>
          <t>kg</t>
        </is>
      </c>
      <c r="M1625" s="64" t="e">
        <v>#N/A</v>
      </c>
    </row>
    <row r="1626" ht="14.4" customHeight="1">
      <c r="G1626" s="74" t="inlineStr">
        <is>
          <t>kg</t>
        </is>
      </c>
      <c r="M1626" s="64" t="e">
        <v>#N/A</v>
      </c>
    </row>
    <row r="1627" ht="14.4" customHeight="1">
      <c r="G1627" s="74" t="inlineStr">
        <is>
          <t>kg</t>
        </is>
      </c>
      <c r="M1627" s="64" t="e">
        <v>#N/A</v>
      </c>
    </row>
    <row r="1628" ht="14.4" customHeight="1">
      <c r="G1628" s="74" t="inlineStr">
        <is>
          <t>kg</t>
        </is>
      </c>
      <c r="M1628" s="64" t="e">
        <v>#N/A</v>
      </c>
    </row>
    <row r="1629" ht="14.4" customHeight="1">
      <c r="G1629" s="74" t="inlineStr">
        <is>
          <t>kg</t>
        </is>
      </c>
      <c r="M1629" s="64" t="e">
        <v>#N/A</v>
      </c>
    </row>
    <row r="1630" ht="14.4" customHeight="1">
      <c r="G1630" s="74" t="inlineStr">
        <is>
          <t>kg</t>
        </is>
      </c>
      <c r="M1630" s="64" t="e">
        <v>#N/A</v>
      </c>
    </row>
    <row r="1631" ht="14.4" customHeight="1">
      <c r="G1631" s="74" t="inlineStr">
        <is>
          <t>kg</t>
        </is>
      </c>
      <c r="M1631" s="64" t="e">
        <v>#N/A</v>
      </c>
    </row>
    <row r="1632" ht="14.4" customHeight="1">
      <c r="G1632" s="74" t="inlineStr">
        <is>
          <t>kg</t>
        </is>
      </c>
      <c r="M1632" s="64" t="e">
        <v>#N/A</v>
      </c>
    </row>
    <row r="1633" ht="14.4" customHeight="1">
      <c r="G1633" s="74" t="inlineStr">
        <is>
          <t>kg</t>
        </is>
      </c>
      <c r="M1633" s="64" t="e">
        <v>#N/A</v>
      </c>
    </row>
    <row r="1634" ht="14.4" customHeight="1">
      <c r="G1634" s="74" t="inlineStr">
        <is>
          <t>kg</t>
        </is>
      </c>
      <c r="M1634" s="64" t="e">
        <v>#N/A</v>
      </c>
    </row>
    <row r="1635" ht="14.4" customHeight="1">
      <c r="G1635" s="74" t="inlineStr">
        <is>
          <t>kg</t>
        </is>
      </c>
      <c r="M1635" s="64" t="e">
        <v>#N/A</v>
      </c>
    </row>
    <row r="1636" ht="14.4" customHeight="1">
      <c r="G1636" s="74" t="inlineStr">
        <is>
          <t>kg</t>
        </is>
      </c>
      <c r="M1636" s="64" t="e">
        <v>#N/A</v>
      </c>
    </row>
    <row r="1637" ht="14.4" customHeight="1">
      <c r="G1637" s="74" t="inlineStr">
        <is>
          <t>kg</t>
        </is>
      </c>
      <c r="M1637" s="64" t="e">
        <v>#N/A</v>
      </c>
    </row>
    <row r="1638" ht="14.4" customHeight="1">
      <c r="G1638" s="74" t="inlineStr">
        <is>
          <t>kg</t>
        </is>
      </c>
      <c r="M1638" s="64" t="e">
        <v>#N/A</v>
      </c>
    </row>
    <row r="1639" ht="14.4" customHeight="1">
      <c r="G1639" s="74" t="inlineStr">
        <is>
          <t>kg</t>
        </is>
      </c>
      <c r="M1639" s="64" t="e">
        <v>#N/A</v>
      </c>
    </row>
    <row r="1640" ht="14.4" customHeight="1">
      <c r="G1640" s="74" t="inlineStr">
        <is>
          <t>kg</t>
        </is>
      </c>
      <c r="M1640" s="64" t="e">
        <v>#N/A</v>
      </c>
    </row>
    <row r="1641" ht="14.4" customHeight="1">
      <c r="G1641" s="74" t="inlineStr">
        <is>
          <t>kg</t>
        </is>
      </c>
      <c r="M1641" s="64" t="e">
        <v>#N/A</v>
      </c>
    </row>
    <row r="1642" ht="14.4" customHeight="1">
      <c r="G1642" s="74" t="inlineStr">
        <is>
          <t>kg</t>
        </is>
      </c>
      <c r="M1642" s="64" t="e">
        <v>#N/A</v>
      </c>
    </row>
    <row r="1643" ht="14.4" customHeight="1">
      <c r="G1643" s="74" t="inlineStr">
        <is>
          <t>kg</t>
        </is>
      </c>
      <c r="M1643" s="64" t="e">
        <v>#N/A</v>
      </c>
    </row>
    <row r="1644" ht="14.4" customHeight="1">
      <c r="G1644" s="74" t="inlineStr">
        <is>
          <t>kg</t>
        </is>
      </c>
      <c r="M1644" s="64" t="e">
        <v>#N/A</v>
      </c>
    </row>
    <row r="1645" ht="14.4" customHeight="1">
      <c r="G1645" s="74" t="inlineStr">
        <is>
          <t>kg</t>
        </is>
      </c>
      <c r="M1645" s="64" t="e">
        <v>#N/A</v>
      </c>
    </row>
    <row r="1646" ht="14.4" customHeight="1">
      <c r="G1646" s="74" t="inlineStr">
        <is>
          <t>kg</t>
        </is>
      </c>
      <c r="M1646" s="64" t="e">
        <v>#N/A</v>
      </c>
    </row>
    <row r="1647" ht="14.4" customHeight="1">
      <c r="G1647" s="74" t="inlineStr">
        <is>
          <t>kg</t>
        </is>
      </c>
      <c r="M1647" s="64" t="e">
        <v>#N/A</v>
      </c>
    </row>
    <row r="1648" ht="14.4" customHeight="1">
      <c r="G1648" s="74" t="inlineStr">
        <is>
          <t>kg</t>
        </is>
      </c>
      <c r="M1648" s="64" t="e">
        <v>#N/A</v>
      </c>
    </row>
    <row r="1649" ht="14.4" customHeight="1">
      <c r="G1649" s="74" t="inlineStr">
        <is>
          <t>kg</t>
        </is>
      </c>
      <c r="M1649" s="64" t="e">
        <v>#N/A</v>
      </c>
    </row>
    <row r="1650" ht="14.4" customHeight="1">
      <c r="G1650" s="74" t="inlineStr">
        <is>
          <t>kg</t>
        </is>
      </c>
      <c r="M1650" s="64" t="e">
        <v>#N/A</v>
      </c>
    </row>
    <row r="1651" ht="14.4" customHeight="1">
      <c r="G1651" s="74" t="inlineStr">
        <is>
          <t>kg</t>
        </is>
      </c>
      <c r="M1651" s="64" t="e">
        <v>#N/A</v>
      </c>
    </row>
    <row r="1652" ht="14.4" customHeight="1">
      <c r="G1652" s="74" t="inlineStr">
        <is>
          <t>kg</t>
        </is>
      </c>
      <c r="M1652" s="64" t="e">
        <v>#N/A</v>
      </c>
    </row>
    <row r="1653" ht="14.4" customHeight="1">
      <c r="G1653" s="74" t="inlineStr">
        <is>
          <t>kg</t>
        </is>
      </c>
      <c r="M1653" s="64" t="e">
        <v>#N/A</v>
      </c>
    </row>
    <row r="1654" ht="14.4" customHeight="1">
      <c r="G1654" s="74" t="inlineStr">
        <is>
          <t>kg</t>
        </is>
      </c>
      <c r="M1654" s="64" t="e">
        <v>#N/A</v>
      </c>
    </row>
    <row r="1655" ht="14.4" customHeight="1">
      <c r="G1655" s="74" t="inlineStr">
        <is>
          <t>kg</t>
        </is>
      </c>
      <c r="M1655" s="64" t="e">
        <v>#N/A</v>
      </c>
    </row>
    <row r="1656" ht="14.4" customHeight="1">
      <c r="G1656" s="74" t="inlineStr">
        <is>
          <t>kg</t>
        </is>
      </c>
      <c r="M1656" s="64" t="e">
        <v>#N/A</v>
      </c>
    </row>
    <row r="1657" ht="14.4" customHeight="1">
      <c r="G1657" s="74" t="inlineStr">
        <is>
          <t>kg</t>
        </is>
      </c>
      <c r="M1657" s="64" t="e">
        <v>#N/A</v>
      </c>
    </row>
    <row r="1658" ht="14.4" customHeight="1">
      <c r="G1658" s="74" t="inlineStr">
        <is>
          <t>kg</t>
        </is>
      </c>
      <c r="M1658" s="64" t="e">
        <v>#N/A</v>
      </c>
    </row>
    <row r="1659" ht="14.4" customHeight="1">
      <c r="G1659" s="74" t="inlineStr">
        <is>
          <t>kg</t>
        </is>
      </c>
      <c r="M1659" s="64" t="e">
        <v>#N/A</v>
      </c>
    </row>
    <row r="1660" ht="14.4" customHeight="1">
      <c r="G1660" s="74" t="inlineStr">
        <is>
          <t>kg</t>
        </is>
      </c>
      <c r="M1660" s="64" t="e">
        <v>#N/A</v>
      </c>
    </row>
    <row r="1661" ht="14.4" customHeight="1">
      <c r="G1661" s="74" t="inlineStr">
        <is>
          <t>kg</t>
        </is>
      </c>
      <c r="M1661" s="64" t="e">
        <v>#N/A</v>
      </c>
    </row>
    <row r="1662" ht="14.4" customHeight="1">
      <c r="G1662" s="74" t="inlineStr">
        <is>
          <t>kg</t>
        </is>
      </c>
      <c r="M1662" s="64" t="e">
        <v>#N/A</v>
      </c>
    </row>
    <row r="1663" ht="14.4" customHeight="1">
      <c r="G1663" s="74" t="inlineStr">
        <is>
          <t>kg</t>
        </is>
      </c>
      <c r="M1663" s="64" t="e">
        <v>#N/A</v>
      </c>
    </row>
    <row r="1664" ht="14.4" customHeight="1">
      <c r="G1664" s="74" t="inlineStr">
        <is>
          <t>kg</t>
        </is>
      </c>
      <c r="M1664" s="64" t="e">
        <v>#N/A</v>
      </c>
    </row>
    <row r="1665" ht="14.4" customHeight="1">
      <c r="G1665" s="74" t="inlineStr">
        <is>
          <t>kg</t>
        </is>
      </c>
      <c r="M1665" s="64" t="e">
        <v>#N/A</v>
      </c>
    </row>
    <row r="1666" ht="14.4" customHeight="1">
      <c r="G1666" s="74" t="inlineStr">
        <is>
          <t>kg</t>
        </is>
      </c>
      <c r="M1666" s="64" t="e">
        <v>#N/A</v>
      </c>
    </row>
    <row r="1667" ht="14.4" customHeight="1">
      <c r="G1667" s="74" t="inlineStr">
        <is>
          <t>kg</t>
        </is>
      </c>
      <c r="M1667" s="64" t="e">
        <v>#N/A</v>
      </c>
    </row>
    <row r="1668" ht="14.4" customHeight="1">
      <c r="G1668" s="74" t="inlineStr">
        <is>
          <t>kg</t>
        </is>
      </c>
      <c r="M1668" s="64" t="e">
        <v>#N/A</v>
      </c>
    </row>
    <row r="1669" ht="14.4" customHeight="1">
      <c r="G1669" s="74" t="inlineStr">
        <is>
          <t>kg</t>
        </is>
      </c>
      <c r="M1669" s="64" t="e">
        <v>#N/A</v>
      </c>
    </row>
    <row r="1670" ht="14.4" customHeight="1">
      <c r="G1670" s="74" t="inlineStr">
        <is>
          <t>kg</t>
        </is>
      </c>
      <c r="M1670" s="64" t="e">
        <v>#N/A</v>
      </c>
    </row>
    <row r="1671" ht="14.4" customHeight="1">
      <c r="G1671" s="74" t="inlineStr">
        <is>
          <t>kg</t>
        </is>
      </c>
      <c r="M1671" s="64" t="e">
        <v>#N/A</v>
      </c>
    </row>
    <row r="1672" ht="14.4" customHeight="1">
      <c r="G1672" s="74" t="inlineStr">
        <is>
          <t>kg</t>
        </is>
      </c>
      <c r="M1672" s="64" t="e">
        <v>#N/A</v>
      </c>
    </row>
    <row r="1673" ht="14.4" customHeight="1">
      <c r="G1673" s="74" t="inlineStr">
        <is>
          <t>kg</t>
        </is>
      </c>
      <c r="M1673" s="64" t="e">
        <v>#N/A</v>
      </c>
    </row>
    <row r="1674" ht="14.4" customHeight="1">
      <c r="G1674" s="74" t="inlineStr">
        <is>
          <t>kg</t>
        </is>
      </c>
      <c r="M1674" s="64" t="e">
        <v>#N/A</v>
      </c>
    </row>
    <row r="1675" ht="14.4" customHeight="1">
      <c r="G1675" s="74" t="inlineStr">
        <is>
          <t>kg</t>
        </is>
      </c>
      <c r="M1675" s="64" t="e">
        <v>#N/A</v>
      </c>
    </row>
    <row r="1676" ht="14.4" customHeight="1">
      <c r="G1676" s="74" t="inlineStr">
        <is>
          <t>kg</t>
        </is>
      </c>
      <c r="M1676" s="64" t="e">
        <v>#N/A</v>
      </c>
    </row>
    <row r="1677" ht="14.4" customHeight="1">
      <c r="G1677" s="74" t="inlineStr">
        <is>
          <t>kg</t>
        </is>
      </c>
      <c r="M1677" s="64" t="e">
        <v>#N/A</v>
      </c>
    </row>
    <row r="1678" ht="14.4" customHeight="1">
      <c r="G1678" s="74" t="inlineStr">
        <is>
          <t>kg</t>
        </is>
      </c>
      <c r="M1678" s="64" t="e">
        <v>#N/A</v>
      </c>
    </row>
    <row r="1679" ht="14.4" customHeight="1">
      <c r="G1679" s="74" t="inlineStr">
        <is>
          <t>kg</t>
        </is>
      </c>
      <c r="M1679" s="64" t="e">
        <v>#N/A</v>
      </c>
    </row>
    <row r="1680" ht="14.4" customHeight="1">
      <c r="G1680" s="74" t="inlineStr">
        <is>
          <t>kg</t>
        </is>
      </c>
      <c r="M1680" s="64" t="e">
        <v>#N/A</v>
      </c>
    </row>
    <row r="1681" ht="14.4" customHeight="1">
      <c r="G1681" s="74" t="inlineStr">
        <is>
          <t>kg</t>
        </is>
      </c>
      <c r="M1681" s="64" t="e">
        <v>#N/A</v>
      </c>
    </row>
    <row r="1682" ht="14.4" customHeight="1">
      <c r="G1682" s="74" t="inlineStr">
        <is>
          <t>kg</t>
        </is>
      </c>
      <c r="M1682" s="64" t="e">
        <v>#N/A</v>
      </c>
    </row>
    <row r="1683" ht="14.4" customHeight="1">
      <c r="G1683" s="74" t="inlineStr">
        <is>
          <t>kg</t>
        </is>
      </c>
      <c r="M1683" s="64" t="e">
        <v>#N/A</v>
      </c>
    </row>
    <row r="1684" ht="14.4" customHeight="1">
      <c r="G1684" s="74" t="inlineStr">
        <is>
          <t>kg</t>
        </is>
      </c>
      <c r="M1684" s="64" t="e">
        <v>#N/A</v>
      </c>
    </row>
    <row r="1685" ht="14.4" customHeight="1">
      <c r="G1685" s="74" t="inlineStr">
        <is>
          <t>kg</t>
        </is>
      </c>
      <c r="M1685" s="64" t="e">
        <v>#N/A</v>
      </c>
    </row>
    <row r="1686" ht="14.4" customHeight="1">
      <c r="G1686" s="74" t="inlineStr">
        <is>
          <t>kg</t>
        </is>
      </c>
      <c r="M1686" s="64" t="e">
        <v>#N/A</v>
      </c>
    </row>
    <row r="1687" ht="14.4" customHeight="1">
      <c r="G1687" s="74" t="inlineStr">
        <is>
          <t>kg</t>
        </is>
      </c>
      <c r="M1687" s="64" t="e">
        <v>#N/A</v>
      </c>
    </row>
    <row r="1688" ht="14.4" customHeight="1">
      <c r="G1688" s="74" t="inlineStr">
        <is>
          <t>kg</t>
        </is>
      </c>
      <c r="M1688" s="64" t="e">
        <v>#N/A</v>
      </c>
    </row>
    <row r="1689" ht="14.4" customHeight="1">
      <c r="G1689" s="74" t="inlineStr">
        <is>
          <t>kg</t>
        </is>
      </c>
      <c r="M1689" s="64" t="e">
        <v>#N/A</v>
      </c>
    </row>
    <row r="1690" ht="14.4" customHeight="1">
      <c r="G1690" s="74" t="inlineStr">
        <is>
          <t>kg</t>
        </is>
      </c>
      <c r="M1690" s="64" t="e">
        <v>#N/A</v>
      </c>
    </row>
    <row r="1691" ht="14.4" customHeight="1">
      <c r="G1691" s="74" t="inlineStr">
        <is>
          <t>kg</t>
        </is>
      </c>
      <c r="M1691" s="64" t="e">
        <v>#N/A</v>
      </c>
    </row>
    <row r="1692" ht="14.4" customHeight="1">
      <c r="G1692" s="74" t="inlineStr">
        <is>
          <t>kg</t>
        </is>
      </c>
      <c r="M1692" s="64" t="e">
        <v>#N/A</v>
      </c>
    </row>
    <row r="1693" ht="14.4" customHeight="1">
      <c r="G1693" s="74" t="inlineStr">
        <is>
          <t>kg</t>
        </is>
      </c>
      <c r="M1693" s="64" t="e">
        <v>#N/A</v>
      </c>
    </row>
    <row r="1694" ht="14.4" customHeight="1">
      <c r="G1694" s="74" t="inlineStr">
        <is>
          <t>kg</t>
        </is>
      </c>
      <c r="M1694" s="64" t="e">
        <v>#N/A</v>
      </c>
    </row>
    <row r="1695" ht="14.4" customHeight="1">
      <c r="G1695" s="74" t="inlineStr">
        <is>
          <t>kg</t>
        </is>
      </c>
      <c r="M1695" s="64" t="e">
        <v>#N/A</v>
      </c>
    </row>
    <row r="1696" ht="14.4" customHeight="1">
      <c r="G1696" s="74" t="inlineStr">
        <is>
          <t>kg</t>
        </is>
      </c>
      <c r="M1696" s="64" t="e">
        <v>#N/A</v>
      </c>
    </row>
    <row r="1697" ht="14.4" customHeight="1">
      <c r="G1697" s="74" t="inlineStr">
        <is>
          <t>kg</t>
        </is>
      </c>
      <c r="M1697" s="64" t="e">
        <v>#N/A</v>
      </c>
    </row>
    <row r="1698" ht="14.4" customHeight="1">
      <c r="G1698" s="74" t="inlineStr">
        <is>
          <t>kg</t>
        </is>
      </c>
      <c r="M1698" s="64" t="e">
        <v>#N/A</v>
      </c>
    </row>
    <row r="1699" ht="14.4" customHeight="1">
      <c r="G1699" s="74" t="inlineStr">
        <is>
          <t>kg</t>
        </is>
      </c>
      <c r="M1699" s="64" t="e">
        <v>#N/A</v>
      </c>
    </row>
    <row r="1700" ht="14.4" customHeight="1">
      <c r="G1700" s="74" t="inlineStr">
        <is>
          <t>kg</t>
        </is>
      </c>
      <c r="M1700" s="64" t="e">
        <v>#N/A</v>
      </c>
    </row>
    <row r="1701" ht="14.4" customHeight="1">
      <c r="G1701" s="74" t="inlineStr">
        <is>
          <t>kg</t>
        </is>
      </c>
      <c r="M1701" s="64" t="e">
        <v>#N/A</v>
      </c>
    </row>
    <row r="1702" ht="14.4" customHeight="1">
      <c r="G1702" s="74" t="inlineStr">
        <is>
          <t>kg</t>
        </is>
      </c>
      <c r="M1702" s="64" t="e">
        <v>#N/A</v>
      </c>
    </row>
    <row r="1703" ht="14.4" customHeight="1">
      <c r="G1703" s="74" t="inlineStr">
        <is>
          <t>kg</t>
        </is>
      </c>
      <c r="M1703" s="64" t="e">
        <v>#N/A</v>
      </c>
    </row>
    <row r="1704" ht="14.4" customHeight="1">
      <c r="G1704" s="74" t="inlineStr">
        <is>
          <t>kg</t>
        </is>
      </c>
      <c r="M1704" s="64" t="e">
        <v>#N/A</v>
      </c>
    </row>
    <row r="1705" ht="14.4" customHeight="1">
      <c r="G1705" s="74" t="inlineStr">
        <is>
          <t>kg</t>
        </is>
      </c>
      <c r="M1705" s="64" t="e">
        <v>#N/A</v>
      </c>
    </row>
    <row r="1706" ht="14.4" customHeight="1">
      <c r="G1706" s="74" t="inlineStr">
        <is>
          <t>kg</t>
        </is>
      </c>
      <c r="M1706" s="64" t="e">
        <v>#N/A</v>
      </c>
    </row>
    <row r="1707" ht="14.4" customHeight="1">
      <c r="G1707" s="74" t="inlineStr">
        <is>
          <t>kg</t>
        </is>
      </c>
      <c r="M1707" s="64" t="e">
        <v>#N/A</v>
      </c>
    </row>
    <row r="1708" ht="14.4" customHeight="1">
      <c r="G1708" s="74" t="inlineStr">
        <is>
          <t>kg</t>
        </is>
      </c>
      <c r="M1708" s="64" t="e">
        <v>#N/A</v>
      </c>
    </row>
    <row r="1709" ht="14.4" customHeight="1">
      <c r="G1709" s="74" t="inlineStr">
        <is>
          <t>kg</t>
        </is>
      </c>
      <c r="M1709" s="64" t="e">
        <v>#N/A</v>
      </c>
    </row>
    <row r="1710" ht="14.4" customHeight="1">
      <c r="G1710" s="74" t="inlineStr">
        <is>
          <t>kg</t>
        </is>
      </c>
      <c r="M1710" s="64" t="e">
        <v>#N/A</v>
      </c>
    </row>
    <row r="1711" ht="14.4" customHeight="1">
      <c r="G1711" s="74" t="inlineStr">
        <is>
          <t>kg</t>
        </is>
      </c>
      <c r="M1711" s="64" t="e">
        <v>#N/A</v>
      </c>
    </row>
    <row r="1712" ht="14.4" customHeight="1">
      <c r="G1712" s="74" t="inlineStr">
        <is>
          <t>kg</t>
        </is>
      </c>
      <c r="M1712" s="64" t="e">
        <v>#N/A</v>
      </c>
    </row>
    <row r="1713" ht="14.4" customHeight="1">
      <c r="G1713" s="74" t="inlineStr">
        <is>
          <t>kg</t>
        </is>
      </c>
      <c r="M1713" s="64" t="e">
        <v>#N/A</v>
      </c>
    </row>
    <row r="1714" ht="14.4" customHeight="1">
      <c r="G1714" s="74" t="inlineStr">
        <is>
          <t>kg</t>
        </is>
      </c>
      <c r="M1714" s="64" t="e">
        <v>#N/A</v>
      </c>
    </row>
    <row r="1715" ht="14.4" customHeight="1">
      <c r="G1715" s="74" t="inlineStr">
        <is>
          <t>kg</t>
        </is>
      </c>
      <c r="M1715" s="64" t="e">
        <v>#N/A</v>
      </c>
    </row>
    <row r="1716" ht="14.4" customHeight="1">
      <c r="G1716" s="74" t="inlineStr">
        <is>
          <t>kg</t>
        </is>
      </c>
      <c r="M1716" s="64" t="e">
        <v>#N/A</v>
      </c>
    </row>
    <row r="1717" ht="14.4" customHeight="1">
      <c r="G1717" s="74" t="inlineStr">
        <is>
          <t>kg</t>
        </is>
      </c>
      <c r="M1717" s="64" t="e">
        <v>#N/A</v>
      </c>
    </row>
    <row r="1718" ht="14.4" customHeight="1">
      <c r="G1718" s="74" t="inlineStr">
        <is>
          <t>kg</t>
        </is>
      </c>
      <c r="M1718" s="64" t="e">
        <v>#N/A</v>
      </c>
    </row>
    <row r="1719" ht="14.4" customHeight="1">
      <c r="G1719" s="74" t="inlineStr">
        <is>
          <t>kg</t>
        </is>
      </c>
      <c r="M1719" s="64" t="e">
        <v>#N/A</v>
      </c>
    </row>
    <row r="1720" ht="14.4" customHeight="1">
      <c r="G1720" s="74" t="inlineStr">
        <is>
          <t>kg</t>
        </is>
      </c>
      <c r="M1720" s="64" t="e">
        <v>#N/A</v>
      </c>
    </row>
    <row r="1721" ht="14.4" customHeight="1">
      <c r="G1721" s="74" t="inlineStr">
        <is>
          <t>kg</t>
        </is>
      </c>
      <c r="M1721" s="64" t="e">
        <v>#N/A</v>
      </c>
    </row>
    <row r="1722" ht="14.4" customHeight="1">
      <c r="G1722" s="74" t="inlineStr">
        <is>
          <t>kg</t>
        </is>
      </c>
      <c r="M1722" s="64" t="e">
        <v>#N/A</v>
      </c>
    </row>
    <row r="1723" ht="14.4" customHeight="1">
      <c r="G1723" s="74" t="inlineStr">
        <is>
          <t>kg</t>
        </is>
      </c>
      <c r="M1723" s="64" t="e">
        <v>#N/A</v>
      </c>
    </row>
    <row r="1724" ht="14.4" customHeight="1">
      <c r="G1724" s="74" t="inlineStr">
        <is>
          <t>kg</t>
        </is>
      </c>
      <c r="M1724" s="64" t="e">
        <v>#N/A</v>
      </c>
    </row>
    <row r="1725" ht="14.4" customHeight="1">
      <c r="G1725" s="74" t="inlineStr">
        <is>
          <t>kg</t>
        </is>
      </c>
      <c r="M1725" s="64" t="e">
        <v>#N/A</v>
      </c>
    </row>
    <row r="1726" ht="14.4" customHeight="1">
      <c r="G1726" s="74" t="inlineStr">
        <is>
          <t>kg</t>
        </is>
      </c>
      <c r="M1726" s="64" t="e">
        <v>#N/A</v>
      </c>
    </row>
    <row r="1727" ht="14.4" customHeight="1">
      <c r="G1727" s="74" t="inlineStr">
        <is>
          <t>kg</t>
        </is>
      </c>
      <c r="M1727" s="64" t="e">
        <v>#N/A</v>
      </c>
    </row>
    <row r="1728" ht="14.4" customHeight="1">
      <c r="G1728" s="74" t="inlineStr">
        <is>
          <t>kg</t>
        </is>
      </c>
      <c r="M1728" s="64" t="e">
        <v>#N/A</v>
      </c>
    </row>
    <row r="1729" ht="14.4" customHeight="1">
      <c r="G1729" s="74" t="inlineStr">
        <is>
          <t>kg</t>
        </is>
      </c>
      <c r="M1729" s="64" t="e">
        <v>#N/A</v>
      </c>
    </row>
    <row r="1730" ht="14.4" customHeight="1">
      <c r="G1730" s="74" t="inlineStr">
        <is>
          <t>kg</t>
        </is>
      </c>
      <c r="M1730" s="64" t="e">
        <v>#N/A</v>
      </c>
    </row>
    <row r="1731" ht="14.4" customHeight="1">
      <c r="G1731" s="74" t="inlineStr">
        <is>
          <t>kg</t>
        </is>
      </c>
      <c r="M1731" s="64" t="e">
        <v>#N/A</v>
      </c>
    </row>
    <row r="1732" ht="14.4" customHeight="1">
      <c r="G1732" s="74" t="inlineStr">
        <is>
          <t>kg</t>
        </is>
      </c>
      <c r="M1732" s="64" t="e">
        <v>#N/A</v>
      </c>
    </row>
    <row r="1733" ht="14.4" customHeight="1">
      <c r="G1733" s="74" t="inlineStr">
        <is>
          <t>kg</t>
        </is>
      </c>
      <c r="M1733" s="64" t="e">
        <v>#N/A</v>
      </c>
    </row>
    <row r="1734" ht="14.4" customHeight="1">
      <c r="G1734" s="74" t="inlineStr">
        <is>
          <t>kg</t>
        </is>
      </c>
      <c r="M1734" s="64" t="e">
        <v>#N/A</v>
      </c>
    </row>
    <row r="1735" ht="14.4" customHeight="1">
      <c r="G1735" s="74" t="inlineStr">
        <is>
          <t>kg</t>
        </is>
      </c>
      <c r="M1735" s="64" t="e">
        <v>#N/A</v>
      </c>
    </row>
    <row r="1736" ht="14.4" customHeight="1">
      <c r="G1736" s="74" t="inlineStr">
        <is>
          <t>kg</t>
        </is>
      </c>
      <c r="M1736" s="64" t="e">
        <v>#N/A</v>
      </c>
    </row>
    <row r="1737" ht="14.4" customHeight="1">
      <c r="G1737" s="74" t="inlineStr">
        <is>
          <t>kg</t>
        </is>
      </c>
      <c r="M1737" s="64" t="e">
        <v>#N/A</v>
      </c>
    </row>
    <row r="1738" ht="14.4" customHeight="1">
      <c r="G1738" s="74" t="inlineStr">
        <is>
          <t>kg</t>
        </is>
      </c>
      <c r="M1738" s="64" t="e">
        <v>#N/A</v>
      </c>
    </row>
    <row r="1739" ht="14.4" customHeight="1">
      <c r="G1739" s="74" t="inlineStr">
        <is>
          <t>kg</t>
        </is>
      </c>
      <c r="M1739" s="64" t="e">
        <v>#N/A</v>
      </c>
    </row>
    <row r="1740" ht="14.4" customHeight="1">
      <c r="G1740" s="74" t="inlineStr">
        <is>
          <t>kg</t>
        </is>
      </c>
      <c r="M1740" s="64" t="e">
        <v>#N/A</v>
      </c>
    </row>
    <row r="1741" ht="14.4" customHeight="1">
      <c r="G1741" s="74" t="inlineStr">
        <is>
          <t>kg</t>
        </is>
      </c>
      <c r="M1741" s="64" t="e">
        <v>#N/A</v>
      </c>
    </row>
    <row r="1742" ht="14.4" customHeight="1">
      <c r="G1742" s="74" t="inlineStr">
        <is>
          <t>kg</t>
        </is>
      </c>
      <c r="M1742" s="64" t="e">
        <v>#N/A</v>
      </c>
    </row>
    <row r="1743" ht="14.4" customHeight="1">
      <c r="G1743" s="74" t="inlineStr">
        <is>
          <t>kg</t>
        </is>
      </c>
      <c r="M1743" s="64" t="e">
        <v>#N/A</v>
      </c>
    </row>
    <row r="1744" ht="14.4" customHeight="1">
      <c r="G1744" s="74" t="inlineStr">
        <is>
          <t>kg</t>
        </is>
      </c>
      <c r="M1744" s="64" t="e">
        <v>#N/A</v>
      </c>
    </row>
    <row r="1745" ht="14.4" customHeight="1">
      <c r="G1745" s="74" t="inlineStr">
        <is>
          <t>kg</t>
        </is>
      </c>
      <c r="M1745" s="64" t="e">
        <v>#N/A</v>
      </c>
    </row>
    <row r="1746" ht="14.4" customHeight="1">
      <c r="G1746" s="74" t="inlineStr">
        <is>
          <t>kg</t>
        </is>
      </c>
      <c r="M1746" s="64" t="e">
        <v>#N/A</v>
      </c>
    </row>
    <row r="1747" ht="14.4" customHeight="1">
      <c r="G1747" s="74" t="inlineStr">
        <is>
          <t>kg</t>
        </is>
      </c>
      <c r="M1747" s="64" t="e">
        <v>#N/A</v>
      </c>
    </row>
    <row r="1748" ht="14.4" customHeight="1">
      <c r="G1748" s="74" t="inlineStr">
        <is>
          <t>kg</t>
        </is>
      </c>
      <c r="M1748" s="64" t="e">
        <v>#N/A</v>
      </c>
    </row>
    <row r="1749" ht="14.4" customHeight="1">
      <c r="G1749" s="74" t="inlineStr">
        <is>
          <t>kg</t>
        </is>
      </c>
      <c r="M1749" s="64" t="e">
        <v>#N/A</v>
      </c>
    </row>
    <row r="1750" ht="14.4" customHeight="1">
      <c r="G1750" s="74" t="inlineStr">
        <is>
          <t>kg</t>
        </is>
      </c>
      <c r="M1750" s="64" t="e">
        <v>#N/A</v>
      </c>
    </row>
    <row r="1751" ht="14.4" customHeight="1">
      <c r="G1751" s="74" t="inlineStr">
        <is>
          <t>kg</t>
        </is>
      </c>
      <c r="M1751" s="64" t="e">
        <v>#N/A</v>
      </c>
    </row>
    <row r="1752" ht="14.4" customHeight="1">
      <c r="G1752" s="74" t="inlineStr">
        <is>
          <t>kg</t>
        </is>
      </c>
      <c r="M1752" s="64" t="e">
        <v>#N/A</v>
      </c>
    </row>
    <row r="1753" ht="14.4" customHeight="1">
      <c r="G1753" s="74" t="inlineStr">
        <is>
          <t>kg</t>
        </is>
      </c>
      <c r="M1753" s="64" t="e">
        <v>#N/A</v>
      </c>
    </row>
    <row r="1754" ht="14.4" customHeight="1">
      <c r="G1754" s="74" t="inlineStr">
        <is>
          <t>kg</t>
        </is>
      </c>
      <c r="M1754" s="64" t="e">
        <v>#N/A</v>
      </c>
    </row>
    <row r="1755" ht="14.4" customHeight="1">
      <c r="G1755" s="74" t="inlineStr">
        <is>
          <t>kg</t>
        </is>
      </c>
      <c r="M1755" s="64" t="e">
        <v>#N/A</v>
      </c>
    </row>
    <row r="1756" ht="14.4" customHeight="1">
      <c r="G1756" s="74" t="inlineStr">
        <is>
          <t>kg</t>
        </is>
      </c>
      <c r="M1756" s="64" t="e">
        <v>#N/A</v>
      </c>
    </row>
    <row r="1757" ht="14.4" customHeight="1">
      <c r="G1757" s="74" t="inlineStr">
        <is>
          <t>kg</t>
        </is>
      </c>
      <c r="M1757" s="64" t="e">
        <v>#N/A</v>
      </c>
    </row>
    <row r="1758" ht="14.4" customHeight="1">
      <c r="G1758" s="74" t="inlineStr">
        <is>
          <t>kg</t>
        </is>
      </c>
      <c r="M1758" s="64" t="e">
        <v>#N/A</v>
      </c>
    </row>
    <row r="1759" ht="14.4" customHeight="1">
      <c r="G1759" s="74" t="inlineStr">
        <is>
          <t>kg</t>
        </is>
      </c>
      <c r="M1759" s="64" t="e">
        <v>#N/A</v>
      </c>
    </row>
    <row r="1760" ht="14.4" customHeight="1">
      <c r="G1760" s="74" t="inlineStr">
        <is>
          <t>kg</t>
        </is>
      </c>
      <c r="M1760" s="64" t="e">
        <v>#N/A</v>
      </c>
    </row>
    <row r="1761" ht="14.4" customHeight="1">
      <c r="G1761" s="74" t="inlineStr">
        <is>
          <t>kg</t>
        </is>
      </c>
      <c r="M1761" s="64" t="e">
        <v>#N/A</v>
      </c>
    </row>
    <row r="1762" ht="14.4" customHeight="1">
      <c r="G1762" s="74" t="inlineStr">
        <is>
          <t>kg</t>
        </is>
      </c>
      <c r="M1762" s="64" t="e">
        <v>#N/A</v>
      </c>
    </row>
    <row r="1763" ht="14.4" customHeight="1">
      <c r="G1763" s="74" t="inlineStr">
        <is>
          <t>kg</t>
        </is>
      </c>
      <c r="M1763" s="64" t="e">
        <v>#N/A</v>
      </c>
    </row>
    <row r="1764" ht="14.4" customHeight="1">
      <c r="G1764" s="74" t="inlineStr">
        <is>
          <t>kg</t>
        </is>
      </c>
      <c r="M1764" s="64" t="e">
        <v>#N/A</v>
      </c>
    </row>
    <row r="1765" ht="14.4" customHeight="1">
      <c r="G1765" s="74" t="inlineStr">
        <is>
          <t>kg</t>
        </is>
      </c>
      <c r="M1765" s="64" t="e">
        <v>#N/A</v>
      </c>
    </row>
    <row r="1766" ht="14.4" customHeight="1">
      <c r="G1766" s="74" t="inlineStr">
        <is>
          <t>kg</t>
        </is>
      </c>
      <c r="M1766" s="64" t="e">
        <v>#N/A</v>
      </c>
    </row>
    <row r="1767" ht="14.4" customHeight="1">
      <c r="G1767" s="74" t="inlineStr">
        <is>
          <t>kg</t>
        </is>
      </c>
      <c r="M1767" s="64" t="e">
        <v>#N/A</v>
      </c>
    </row>
    <row r="1768" ht="14.4" customHeight="1">
      <c r="G1768" s="74" t="inlineStr">
        <is>
          <t>kg</t>
        </is>
      </c>
      <c r="M1768" s="64" t="e">
        <v>#N/A</v>
      </c>
    </row>
    <row r="1769" ht="14.4" customHeight="1">
      <c r="G1769" s="74" t="inlineStr">
        <is>
          <t>kg</t>
        </is>
      </c>
      <c r="M1769" s="64" t="e">
        <v>#N/A</v>
      </c>
    </row>
    <row r="1770" ht="14.4" customHeight="1">
      <c r="G1770" s="74" t="inlineStr">
        <is>
          <t>kg</t>
        </is>
      </c>
      <c r="M1770" s="64" t="e">
        <v>#N/A</v>
      </c>
    </row>
    <row r="1771" ht="14.4" customHeight="1">
      <c r="G1771" s="74" t="inlineStr">
        <is>
          <t>kg</t>
        </is>
      </c>
      <c r="M1771" s="64" t="e">
        <v>#N/A</v>
      </c>
    </row>
    <row r="1772" ht="14.4" customHeight="1">
      <c r="G1772" s="74" t="inlineStr">
        <is>
          <t>kg</t>
        </is>
      </c>
      <c r="M1772" s="64" t="e">
        <v>#N/A</v>
      </c>
    </row>
    <row r="1773" ht="14.4" customHeight="1">
      <c r="G1773" s="74" t="inlineStr">
        <is>
          <t>kg</t>
        </is>
      </c>
      <c r="M1773" s="64" t="e">
        <v>#N/A</v>
      </c>
    </row>
    <row r="1774" ht="14.4" customHeight="1">
      <c r="G1774" s="74" t="inlineStr">
        <is>
          <t>kg</t>
        </is>
      </c>
      <c r="M1774" s="64" t="e">
        <v>#N/A</v>
      </c>
    </row>
    <row r="1775" ht="14.4" customHeight="1">
      <c r="G1775" s="74" t="inlineStr">
        <is>
          <t>kg</t>
        </is>
      </c>
      <c r="M1775" s="64" t="e">
        <v>#N/A</v>
      </c>
    </row>
    <row r="1776" ht="14.4" customHeight="1">
      <c r="G1776" s="74" t="inlineStr">
        <is>
          <t>kg</t>
        </is>
      </c>
      <c r="M1776" s="64" t="e">
        <v>#N/A</v>
      </c>
    </row>
    <row r="1777" ht="14.4" customHeight="1">
      <c r="G1777" s="74" t="inlineStr">
        <is>
          <t>kg</t>
        </is>
      </c>
      <c r="M1777" s="64" t="e">
        <v>#N/A</v>
      </c>
    </row>
    <row r="1778" ht="14.4" customHeight="1">
      <c r="G1778" s="74" t="inlineStr">
        <is>
          <t>kg</t>
        </is>
      </c>
      <c r="M1778" s="64" t="e">
        <v>#N/A</v>
      </c>
    </row>
    <row r="1779" ht="14.4" customHeight="1">
      <c r="G1779" s="74" t="inlineStr">
        <is>
          <t>kg</t>
        </is>
      </c>
      <c r="M1779" s="64" t="e">
        <v>#N/A</v>
      </c>
    </row>
    <row r="1780" ht="14.4" customHeight="1">
      <c r="G1780" s="74" t="inlineStr">
        <is>
          <t>kg</t>
        </is>
      </c>
      <c r="M1780" s="64" t="e">
        <v>#N/A</v>
      </c>
    </row>
    <row r="1781" ht="14.4" customHeight="1">
      <c r="G1781" s="74" t="inlineStr">
        <is>
          <t>kg</t>
        </is>
      </c>
      <c r="M1781" s="64" t="e">
        <v>#N/A</v>
      </c>
    </row>
    <row r="1782" ht="14.4" customHeight="1">
      <c r="G1782" s="74" t="inlineStr">
        <is>
          <t>kg</t>
        </is>
      </c>
      <c r="M1782" s="64" t="e">
        <v>#N/A</v>
      </c>
    </row>
    <row r="1783" ht="14.4" customHeight="1">
      <c r="G1783" s="74" t="inlineStr">
        <is>
          <t>kg</t>
        </is>
      </c>
      <c r="M1783" s="64" t="e">
        <v>#N/A</v>
      </c>
    </row>
    <row r="1784" ht="14.4" customHeight="1">
      <c r="G1784" s="74" t="inlineStr">
        <is>
          <t>kg</t>
        </is>
      </c>
      <c r="M1784" s="64" t="e">
        <v>#N/A</v>
      </c>
    </row>
    <row r="1785" ht="14.4" customHeight="1">
      <c r="G1785" s="74" t="inlineStr">
        <is>
          <t>kg</t>
        </is>
      </c>
      <c r="M1785" s="64" t="e">
        <v>#N/A</v>
      </c>
    </row>
    <row r="1786" ht="14.4" customHeight="1">
      <c r="G1786" s="74" t="inlineStr">
        <is>
          <t>kg</t>
        </is>
      </c>
      <c r="M1786" s="64" t="e">
        <v>#N/A</v>
      </c>
    </row>
    <row r="1787" ht="14.4" customHeight="1">
      <c r="G1787" s="74" t="inlineStr">
        <is>
          <t>kg</t>
        </is>
      </c>
      <c r="M1787" s="64" t="e">
        <v>#N/A</v>
      </c>
    </row>
    <row r="1788" ht="14.4" customHeight="1">
      <c r="G1788" s="74" t="inlineStr">
        <is>
          <t>kg</t>
        </is>
      </c>
      <c r="M1788" s="64" t="e">
        <v>#N/A</v>
      </c>
    </row>
    <row r="1789" ht="14.4" customHeight="1">
      <c r="G1789" s="74" t="inlineStr">
        <is>
          <t>kg</t>
        </is>
      </c>
      <c r="M1789" s="64" t="e">
        <v>#N/A</v>
      </c>
    </row>
    <row r="1790" ht="14.4" customHeight="1">
      <c r="G1790" s="74" t="inlineStr">
        <is>
          <t>kg</t>
        </is>
      </c>
      <c r="M1790" s="64" t="e">
        <v>#N/A</v>
      </c>
    </row>
    <row r="1791" ht="14.4" customHeight="1">
      <c r="G1791" s="74" t="inlineStr">
        <is>
          <t>kg</t>
        </is>
      </c>
      <c r="M1791" s="64" t="e">
        <v>#N/A</v>
      </c>
    </row>
    <row r="1792" ht="14.4" customHeight="1">
      <c r="G1792" s="74" t="inlineStr">
        <is>
          <t>kg</t>
        </is>
      </c>
      <c r="M1792" s="64" t="e">
        <v>#N/A</v>
      </c>
    </row>
    <row r="1793" ht="14.4" customHeight="1">
      <c r="G1793" s="74" t="inlineStr">
        <is>
          <t>kg</t>
        </is>
      </c>
      <c r="M1793" s="64" t="e">
        <v>#N/A</v>
      </c>
    </row>
    <row r="1794" ht="14.4" customHeight="1">
      <c r="G1794" s="74" t="inlineStr">
        <is>
          <t>kg</t>
        </is>
      </c>
      <c r="M1794" s="64" t="e">
        <v>#N/A</v>
      </c>
    </row>
    <row r="1795" ht="14.4" customHeight="1">
      <c r="G1795" s="74" t="inlineStr">
        <is>
          <t>kg</t>
        </is>
      </c>
      <c r="M1795" s="64" t="e">
        <v>#N/A</v>
      </c>
    </row>
    <row r="1796" ht="14.4" customHeight="1">
      <c r="G1796" s="74" t="inlineStr">
        <is>
          <t>kg</t>
        </is>
      </c>
      <c r="M1796" s="64" t="e">
        <v>#N/A</v>
      </c>
    </row>
    <row r="1797" ht="14.4" customHeight="1">
      <c r="G1797" s="74" t="inlineStr">
        <is>
          <t>kg</t>
        </is>
      </c>
      <c r="M1797" s="64" t="e">
        <v>#N/A</v>
      </c>
    </row>
    <row r="1798" ht="14.4" customHeight="1">
      <c r="G1798" s="74" t="inlineStr">
        <is>
          <t>kg</t>
        </is>
      </c>
      <c r="M1798" s="64" t="e">
        <v>#N/A</v>
      </c>
    </row>
    <row r="1799" ht="14.4" customHeight="1">
      <c r="G1799" s="74" t="inlineStr">
        <is>
          <t>kg</t>
        </is>
      </c>
      <c r="M1799" s="64" t="e">
        <v>#N/A</v>
      </c>
    </row>
    <row r="1800" ht="14.4" customHeight="1">
      <c r="G1800" s="74" t="inlineStr">
        <is>
          <t>kg</t>
        </is>
      </c>
      <c r="M1800" s="64" t="e">
        <v>#N/A</v>
      </c>
    </row>
    <row r="1801" ht="14.4" customHeight="1">
      <c r="G1801" s="74" t="inlineStr">
        <is>
          <t>kg</t>
        </is>
      </c>
      <c r="M1801" s="64" t="e">
        <v>#N/A</v>
      </c>
    </row>
    <row r="1802" ht="14.4" customHeight="1">
      <c r="G1802" s="74" t="inlineStr">
        <is>
          <t>kg</t>
        </is>
      </c>
      <c r="M1802" s="64" t="e">
        <v>#N/A</v>
      </c>
    </row>
    <row r="1803" ht="14.4" customHeight="1">
      <c r="G1803" s="74" t="inlineStr">
        <is>
          <t>kg</t>
        </is>
      </c>
      <c r="M1803" s="64" t="e">
        <v>#N/A</v>
      </c>
    </row>
    <row r="1804" ht="14.4" customHeight="1">
      <c r="G1804" s="74" t="inlineStr">
        <is>
          <t>kg</t>
        </is>
      </c>
      <c r="M1804" s="64" t="e">
        <v>#N/A</v>
      </c>
    </row>
    <row r="1805" ht="14.4" customHeight="1">
      <c r="G1805" s="74" t="inlineStr">
        <is>
          <t>kg</t>
        </is>
      </c>
      <c r="M1805" s="64" t="e">
        <v>#N/A</v>
      </c>
    </row>
    <row r="1806" ht="14.4" customHeight="1">
      <c r="G1806" s="74" t="inlineStr">
        <is>
          <t>kg</t>
        </is>
      </c>
      <c r="M1806" s="64" t="e">
        <v>#N/A</v>
      </c>
    </row>
    <row r="1807" ht="14.4" customHeight="1">
      <c r="G1807" s="74" t="inlineStr">
        <is>
          <t>kg</t>
        </is>
      </c>
      <c r="M1807" s="64" t="e">
        <v>#N/A</v>
      </c>
    </row>
    <row r="1808" ht="14.4" customHeight="1">
      <c r="G1808" s="74" t="inlineStr">
        <is>
          <t>kg</t>
        </is>
      </c>
      <c r="M1808" s="64" t="e">
        <v>#N/A</v>
      </c>
    </row>
    <row r="1809" ht="14.4" customHeight="1">
      <c r="G1809" s="74" t="inlineStr">
        <is>
          <t>kg</t>
        </is>
      </c>
      <c r="M1809" s="64" t="e">
        <v>#N/A</v>
      </c>
    </row>
    <row r="1810" ht="14.4" customHeight="1">
      <c r="G1810" s="74" t="inlineStr">
        <is>
          <t>kg</t>
        </is>
      </c>
      <c r="M1810" s="64" t="e">
        <v>#N/A</v>
      </c>
    </row>
    <row r="1811" ht="14.4" customHeight="1">
      <c r="G1811" s="74" t="inlineStr">
        <is>
          <t>kg</t>
        </is>
      </c>
      <c r="M1811" s="64" t="e">
        <v>#N/A</v>
      </c>
    </row>
    <row r="1812" ht="14.4" customHeight="1">
      <c r="G1812" s="74" t="inlineStr">
        <is>
          <t>kg</t>
        </is>
      </c>
      <c r="M1812" s="64" t="e">
        <v>#N/A</v>
      </c>
    </row>
    <row r="1813" ht="14.4" customHeight="1">
      <c r="G1813" s="74" t="inlineStr">
        <is>
          <t>kg</t>
        </is>
      </c>
      <c r="M1813" s="64" t="e">
        <v>#N/A</v>
      </c>
    </row>
    <row r="1814" ht="14.4" customHeight="1">
      <c r="G1814" s="74" t="inlineStr">
        <is>
          <t>kg</t>
        </is>
      </c>
      <c r="M1814" s="64" t="e">
        <v>#N/A</v>
      </c>
    </row>
    <row r="1815" ht="14.4" customHeight="1">
      <c r="G1815" s="74" t="inlineStr">
        <is>
          <t>kg</t>
        </is>
      </c>
      <c r="M1815" s="64" t="e">
        <v>#N/A</v>
      </c>
    </row>
    <row r="1816" ht="14.4" customHeight="1">
      <c r="G1816" s="74" t="inlineStr">
        <is>
          <t>kg</t>
        </is>
      </c>
      <c r="M1816" s="64" t="e">
        <v>#N/A</v>
      </c>
    </row>
    <row r="1817" ht="14.4" customHeight="1">
      <c r="G1817" s="74" t="inlineStr">
        <is>
          <t>kg</t>
        </is>
      </c>
      <c r="M1817" s="64" t="e">
        <v>#N/A</v>
      </c>
    </row>
    <row r="1818" ht="14.4" customHeight="1">
      <c r="G1818" s="74" t="inlineStr">
        <is>
          <t>kg</t>
        </is>
      </c>
      <c r="M1818" s="64" t="e">
        <v>#N/A</v>
      </c>
    </row>
    <row r="1819" ht="14.4" customHeight="1">
      <c r="G1819" s="74" t="inlineStr">
        <is>
          <t>kg</t>
        </is>
      </c>
      <c r="M1819" s="64" t="e">
        <v>#N/A</v>
      </c>
    </row>
    <row r="1820" ht="14.4" customHeight="1">
      <c r="G1820" s="74" t="inlineStr">
        <is>
          <t>kg</t>
        </is>
      </c>
      <c r="M1820" s="64" t="e">
        <v>#N/A</v>
      </c>
    </row>
    <row r="1821" ht="14.4" customHeight="1">
      <c r="G1821" s="74" t="inlineStr">
        <is>
          <t>kg</t>
        </is>
      </c>
      <c r="M1821" s="64" t="e">
        <v>#N/A</v>
      </c>
    </row>
    <row r="1822" ht="14.4" customHeight="1">
      <c r="G1822" s="74" t="inlineStr">
        <is>
          <t>kg</t>
        </is>
      </c>
      <c r="M1822" s="64" t="e">
        <v>#N/A</v>
      </c>
    </row>
    <row r="1823" ht="14.4" customHeight="1">
      <c r="G1823" s="74" t="inlineStr">
        <is>
          <t>kg</t>
        </is>
      </c>
      <c r="M1823" s="64" t="e">
        <v>#N/A</v>
      </c>
    </row>
    <row r="1824" ht="14.4" customHeight="1">
      <c r="G1824" s="74" t="inlineStr">
        <is>
          <t>kg</t>
        </is>
      </c>
      <c r="M1824" s="64" t="e">
        <v>#N/A</v>
      </c>
    </row>
    <row r="1825" ht="14.4" customHeight="1">
      <c r="G1825" s="74" t="inlineStr">
        <is>
          <t>kg</t>
        </is>
      </c>
      <c r="M1825" s="64" t="e">
        <v>#N/A</v>
      </c>
    </row>
    <row r="1826" ht="14.4" customHeight="1">
      <c r="G1826" s="74" t="inlineStr">
        <is>
          <t>kg</t>
        </is>
      </c>
      <c r="M1826" s="64" t="e">
        <v>#N/A</v>
      </c>
    </row>
    <row r="1827" ht="14.4" customHeight="1">
      <c r="G1827" s="74" t="inlineStr">
        <is>
          <t>kg</t>
        </is>
      </c>
      <c r="M1827" s="64" t="e">
        <v>#N/A</v>
      </c>
    </row>
    <row r="1828" ht="14.4" customHeight="1">
      <c r="G1828" s="74" t="inlineStr">
        <is>
          <t>kg</t>
        </is>
      </c>
      <c r="M1828" s="64" t="e">
        <v>#N/A</v>
      </c>
    </row>
    <row r="1829" ht="14.4" customHeight="1">
      <c r="G1829" s="74" t="inlineStr">
        <is>
          <t>kg</t>
        </is>
      </c>
      <c r="M1829" s="64" t="e">
        <v>#N/A</v>
      </c>
    </row>
    <row r="1830" ht="14.4" customHeight="1">
      <c r="G1830" s="74" t="inlineStr">
        <is>
          <t>kg</t>
        </is>
      </c>
      <c r="M1830" s="64" t="e">
        <v>#N/A</v>
      </c>
    </row>
    <row r="1831" ht="14.4" customHeight="1">
      <c r="G1831" s="74" t="inlineStr">
        <is>
          <t>kg</t>
        </is>
      </c>
      <c r="M1831" s="64" t="e">
        <v>#N/A</v>
      </c>
    </row>
    <row r="1832" ht="14.4" customHeight="1">
      <c r="G1832" s="74" t="inlineStr">
        <is>
          <t>kg</t>
        </is>
      </c>
      <c r="M1832" s="64" t="e">
        <v>#N/A</v>
      </c>
    </row>
    <row r="1833" ht="14.4" customHeight="1">
      <c r="G1833" s="74" t="inlineStr">
        <is>
          <t>kg</t>
        </is>
      </c>
      <c r="M1833" s="64" t="e">
        <v>#N/A</v>
      </c>
    </row>
    <row r="1834" ht="14.4" customHeight="1">
      <c r="G1834" s="74" t="inlineStr">
        <is>
          <t>kg</t>
        </is>
      </c>
      <c r="M1834" s="64" t="e">
        <v>#N/A</v>
      </c>
    </row>
    <row r="1835" ht="14.4" customHeight="1">
      <c r="G1835" s="74" t="inlineStr">
        <is>
          <t>kg</t>
        </is>
      </c>
      <c r="M1835" s="64" t="e">
        <v>#N/A</v>
      </c>
    </row>
    <row r="1836" ht="14.4" customHeight="1">
      <c r="G1836" s="74" t="inlineStr">
        <is>
          <t>kg</t>
        </is>
      </c>
      <c r="M1836" s="64" t="e">
        <v>#N/A</v>
      </c>
    </row>
    <row r="1837" ht="14.4" customHeight="1">
      <c r="G1837" s="74" t="inlineStr">
        <is>
          <t>kg</t>
        </is>
      </c>
      <c r="M1837" s="64" t="e">
        <v>#N/A</v>
      </c>
    </row>
    <row r="1838" ht="14.4" customHeight="1">
      <c r="G1838" s="74" t="inlineStr">
        <is>
          <t>kg</t>
        </is>
      </c>
      <c r="M1838" s="64" t="e">
        <v>#N/A</v>
      </c>
    </row>
    <row r="1839" ht="14.4" customHeight="1">
      <c r="G1839" s="74" t="inlineStr">
        <is>
          <t>kg</t>
        </is>
      </c>
      <c r="M1839" s="64" t="e">
        <v>#N/A</v>
      </c>
    </row>
    <row r="1840" ht="14.4" customHeight="1">
      <c r="G1840" s="74" t="inlineStr">
        <is>
          <t>kg</t>
        </is>
      </c>
      <c r="M1840" s="64" t="e">
        <v>#N/A</v>
      </c>
    </row>
    <row r="1841" ht="14.4" customHeight="1">
      <c r="G1841" s="74" t="inlineStr">
        <is>
          <t>kg</t>
        </is>
      </c>
      <c r="M1841" s="64" t="e">
        <v>#N/A</v>
      </c>
    </row>
    <row r="1842" ht="14.4" customHeight="1">
      <c r="G1842" s="74" t="inlineStr">
        <is>
          <t>kg</t>
        </is>
      </c>
      <c r="M1842" s="64" t="e">
        <v>#N/A</v>
      </c>
    </row>
    <row r="1843" ht="14.4" customHeight="1">
      <c r="G1843" s="74" t="inlineStr">
        <is>
          <t>kg</t>
        </is>
      </c>
      <c r="M1843" s="64" t="e">
        <v>#N/A</v>
      </c>
    </row>
    <row r="1844" ht="14.4" customHeight="1">
      <c r="G1844" s="74" t="inlineStr">
        <is>
          <t>kg</t>
        </is>
      </c>
      <c r="M1844" s="64" t="e">
        <v>#N/A</v>
      </c>
    </row>
    <row r="1845" ht="14.4" customHeight="1">
      <c r="G1845" s="74" t="inlineStr">
        <is>
          <t>kg</t>
        </is>
      </c>
      <c r="M1845" s="64" t="e">
        <v>#N/A</v>
      </c>
    </row>
    <row r="1846" ht="14.4" customHeight="1">
      <c r="G1846" s="74" t="inlineStr">
        <is>
          <t>kg</t>
        </is>
      </c>
      <c r="M1846" s="64" t="e">
        <v>#N/A</v>
      </c>
    </row>
    <row r="1847" ht="14.4" customHeight="1">
      <c r="G1847" s="74" t="inlineStr">
        <is>
          <t>kg</t>
        </is>
      </c>
      <c r="M1847" s="64" t="e">
        <v>#N/A</v>
      </c>
    </row>
    <row r="1848" ht="14.4" customHeight="1">
      <c r="G1848" s="74" t="inlineStr">
        <is>
          <t>kg</t>
        </is>
      </c>
      <c r="M1848" s="64" t="e">
        <v>#N/A</v>
      </c>
    </row>
    <row r="1849" ht="14.4" customHeight="1">
      <c r="G1849" s="74" t="inlineStr">
        <is>
          <t>kg</t>
        </is>
      </c>
      <c r="M1849" s="64" t="e">
        <v>#N/A</v>
      </c>
    </row>
    <row r="1850" ht="14.4" customHeight="1">
      <c r="G1850" s="74" t="inlineStr">
        <is>
          <t>kg</t>
        </is>
      </c>
      <c r="M1850" s="64" t="e">
        <v>#N/A</v>
      </c>
    </row>
    <row r="1851" ht="14.4" customHeight="1">
      <c r="G1851" s="74" t="inlineStr">
        <is>
          <t>kg</t>
        </is>
      </c>
      <c r="M1851" s="64" t="e">
        <v>#N/A</v>
      </c>
    </row>
    <row r="1852" ht="14.4" customHeight="1">
      <c r="G1852" s="74" t="inlineStr">
        <is>
          <t>kg</t>
        </is>
      </c>
      <c r="M1852" s="64" t="e">
        <v>#N/A</v>
      </c>
    </row>
    <row r="1853" ht="14.4" customHeight="1">
      <c r="G1853" s="74" t="inlineStr">
        <is>
          <t>kg</t>
        </is>
      </c>
      <c r="M1853" s="64" t="e">
        <v>#N/A</v>
      </c>
    </row>
    <row r="1854" ht="14.4" customHeight="1">
      <c r="G1854" s="74" t="inlineStr">
        <is>
          <t>kg</t>
        </is>
      </c>
      <c r="M1854" s="64" t="e">
        <v>#N/A</v>
      </c>
    </row>
    <row r="1855" ht="14.4" customHeight="1">
      <c r="G1855" s="74" t="inlineStr">
        <is>
          <t>kg</t>
        </is>
      </c>
      <c r="M1855" s="64" t="e">
        <v>#N/A</v>
      </c>
    </row>
    <row r="1856" ht="14.4" customHeight="1">
      <c r="G1856" s="74" t="inlineStr">
        <is>
          <t>kg</t>
        </is>
      </c>
      <c r="M1856" s="64" t="e">
        <v>#N/A</v>
      </c>
    </row>
    <row r="1857" ht="14.4" customHeight="1">
      <c r="G1857" s="74" t="inlineStr">
        <is>
          <t>kg</t>
        </is>
      </c>
      <c r="M1857" s="64" t="e">
        <v>#N/A</v>
      </c>
    </row>
    <row r="1858" ht="14.4" customHeight="1">
      <c r="G1858" s="74" t="inlineStr">
        <is>
          <t>kg</t>
        </is>
      </c>
      <c r="M1858" s="64" t="e">
        <v>#N/A</v>
      </c>
    </row>
    <row r="1859" ht="14.4" customHeight="1">
      <c r="G1859" s="74" t="inlineStr">
        <is>
          <t>kg</t>
        </is>
      </c>
      <c r="M1859" s="64" t="e">
        <v>#N/A</v>
      </c>
    </row>
    <row r="1860" ht="14.4" customHeight="1">
      <c r="G1860" s="74" t="inlineStr">
        <is>
          <t>kg</t>
        </is>
      </c>
      <c r="M1860" s="64" t="e">
        <v>#N/A</v>
      </c>
    </row>
    <row r="1861" ht="14.4" customHeight="1">
      <c r="G1861" s="74" t="inlineStr">
        <is>
          <t>kg</t>
        </is>
      </c>
      <c r="M1861" s="64" t="e">
        <v>#N/A</v>
      </c>
    </row>
    <row r="1862" ht="14.4" customHeight="1">
      <c r="G1862" s="74" t="inlineStr">
        <is>
          <t>kg</t>
        </is>
      </c>
      <c r="M1862" s="64" t="e">
        <v>#N/A</v>
      </c>
    </row>
    <row r="1863" ht="14.4" customHeight="1">
      <c r="G1863" s="74" t="inlineStr">
        <is>
          <t>kg</t>
        </is>
      </c>
      <c r="M1863" s="64" t="e">
        <v>#N/A</v>
      </c>
    </row>
    <row r="1864" ht="14.4" customHeight="1">
      <c r="G1864" s="74" t="inlineStr">
        <is>
          <t>kg</t>
        </is>
      </c>
      <c r="M1864" s="64" t="e">
        <v>#N/A</v>
      </c>
    </row>
    <row r="1865" ht="14.4" customHeight="1">
      <c r="G1865" s="74" t="inlineStr">
        <is>
          <t>kg</t>
        </is>
      </c>
      <c r="M1865" s="64" t="e">
        <v>#N/A</v>
      </c>
    </row>
    <row r="1866" ht="14.4" customHeight="1">
      <c r="G1866" s="74" t="inlineStr">
        <is>
          <t>kg</t>
        </is>
      </c>
      <c r="M1866" s="64" t="e">
        <v>#N/A</v>
      </c>
    </row>
    <row r="1867" ht="14.4" customHeight="1">
      <c r="G1867" s="74" t="inlineStr">
        <is>
          <t>kg</t>
        </is>
      </c>
      <c r="M1867" s="64" t="e">
        <v>#N/A</v>
      </c>
    </row>
    <row r="1868" ht="14.4" customHeight="1">
      <c r="G1868" s="74" t="inlineStr">
        <is>
          <t>kg</t>
        </is>
      </c>
      <c r="M1868" s="64" t="e">
        <v>#N/A</v>
      </c>
    </row>
    <row r="1869" ht="14.4" customHeight="1">
      <c r="G1869" s="74" t="inlineStr">
        <is>
          <t>kg</t>
        </is>
      </c>
      <c r="M1869" s="64" t="e">
        <v>#N/A</v>
      </c>
    </row>
    <row r="1870" ht="14.4" customHeight="1">
      <c r="G1870" s="74" t="inlineStr">
        <is>
          <t>kg</t>
        </is>
      </c>
      <c r="M1870" s="64" t="e">
        <v>#N/A</v>
      </c>
    </row>
    <row r="1871" ht="14.4" customHeight="1">
      <c r="G1871" s="74" t="inlineStr">
        <is>
          <t>kg</t>
        </is>
      </c>
      <c r="M1871" s="64" t="e">
        <v>#N/A</v>
      </c>
    </row>
    <row r="1872" ht="14.4" customHeight="1">
      <c r="G1872" s="74" t="inlineStr">
        <is>
          <t>kg</t>
        </is>
      </c>
      <c r="M1872" s="64" t="e">
        <v>#N/A</v>
      </c>
    </row>
    <row r="1873" ht="14.4" customHeight="1">
      <c r="G1873" s="74" t="inlineStr">
        <is>
          <t>kg</t>
        </is>
      </c>
      <c r="M1873" s="64" t="e">
        <v>#N/A</v>
      </c>
    </row>
    <row r="1874" ht="14.4" customHeight="1">
      <c r="G1874" s="74" t="inlineStr">
        <is>
          <t>kg</t>
        </is>
      </c>
      <c r="M1874" s="64" t="e">
        <v>#N/A</v>
      </c>
    </row>
    <row r="1875" ht="14.4" customHeight="1">
      <c r="G1875" s="74" t="inlineStr">
        <is>
          <t>kg</t>
        </is>
      </c>
      <c r="M1875" s="64" t="e">
        <v>#N/A</v>
      </c>
    </row>
    <row r="1876" ht="14.4" customHeight="1">
      <c r="G1876" s="74" t="inlineStr">
        <is>
          <t>kg</t>
        </is>
      </c>
      <c r="M1876" s="64" t="e">
        <v>#N/A</v>
      </c>
    </row>
    <row r="1877" ht="14.4" customHeight="1">
      <c r="G1877" s="74" t="inlineStr">
        <is>
          <t>kg</t>
        </is>
      </c>
      <c r="M1877" s="64" t="e">
        <v>#N/A</v>
      </c>
    </row>
    <row r="1878" ht="14.4" customHeight="1">
      <c r="G1878" s="74" t="inlineStr">
        <is>
          <t>kg</t>
        </is>
      </c>
      <c r="M1878" s="64" t="e">
        <v>#N/A</v>
      </c>
    </row>
    <row r="1879" ht="14.4" customHeight="1">
      <c r="G1879" s="74" t="inlineStr">
        <is>
          <t>kg</t>
        </is>
      </c>
      <c r="M1879" s="64" t="e">
        <v>#N/A</v>
      </c>
    </row>
    <row r="1880" ht="14.4" customHeight="1">
      <c r="G1880" s="74" t="inlineStr">
        <is>
          <t>kg</t>
        </is>
      </c>
      <c r="M1880" s="64" t="e">
        <v>#N/A</v>
      </c>
    </row>
    <row r="1881" ht="14.4" customHeight="1">
      <c r="G1881" s="74" t="inlineStr">
        <is>
          <t>kg</t>
        </is>
      </c>
      <c r="M1881" s="64" t="e">
        <v>#N/A</v>
      </c>
    </row>
    <row r="1882" ht="14.4" customHeight="1">
      <c r="G1882" s="74" t="inlineStr">
        <is>
          <t>kg</t>
        </is>
      </c>
      <c r="M1882" s="64" t="e">
        <v>#N/A</v>
      </c>
    </row>
    <row r="1883" ht="14.4" customHeight="1">
      <c r="G1883" s="74" t="inlineStr">
        <is>
          <t>kg</t>
        </is>
      </c>
      <c r="M1883" s="64" t="e">
        <v>#N/A</v>
      </c>
    </row>
    <row r="1884" ht="14.4" customHeight="1">
      <c r="G1884" s="74" t="inlineStr">
        <is>
          <t>kg</t>
        </is>
      </c>
      <c r="M1884" s="64" t="e">
        <v>#N/A</v>
      </c>
    </row>
    <row r="1885" ht="14.4" customHeight="1">
      <c r="G1885" s="74" t="inlineStr">
        <is>
          <t>kg</t>
        </is>
      </c>
      <c r="M1885" s="64" t="e">
        <v>#N/A</v>
      </c>
    </row>
    <row r="1886" ht="14.4" customHeight="1">
      <c r="G1886" s="74" t="inlineStr">
        <is>
          <t>kg</t>
        </is>
      </c>
      <c r="M1886" s="64" t="e">
        <v>#N/A</v>
      </c>
    </row>
    <row r="1887" ht="14.4" customHeight="1">
      <c r="G1887" s="74" t="inlineStr">
        <is>
          <t>kg</t>
        </is>
      </c>
      <c r="M1887" s="64" t="e">
        <v>#N/A</v>
      </c>
    </row>
    <row r="1888" ht="14.4" customHeight="1">
      <c r="G1888" s="74" t="inlineStr">
        <is>
          <t>kg</t>
        </is>
      </c>
      <c r="M1888" s="64" t="e">
        <v>#N/A</v>
      </c>
    </row>
    <row r="1889" ht="14.4" customHeight="1">
      <c r="G1889" s="74" t="inlineStr">
        <is>
          <t>kg</t>
        </is>
      </c>
      <c r="M1889" s="64" t="e">
        <v>#N/A</v>
      </c>
    </row>
    <row r="1890" ht="14.4" customHeight="1">
      <c r="G1890" s="74" t="inlineStr">
        <is>
          <t>kg</t>
        </is>
      </c>
      <c r="M1890" s="64" t="e">
        <v>#N/A</v>
      </c>
    </row>
    <row r="1891" ht="14.4" customHeight="1">
      <c r="G1891" s="74" t="inlineStr">
        <is>
          <t>kg</t>
        </is>
      </c>
      <c r="M1891" s="64" t="e">
        <v>#N/A</v>
      </c>
    </row>
    <row r="1892" ht="14.4" customHeight="1">
      <c r="G1892" s="74" t="inlineStr">
        <is>
          <t>kg</t>
        </is>
      </c>
      <c r="M1892" s="64" t="e">
        <v>#N/A</v>
      </c>
    </row>
    <row r="1893" ht="14.4" customHeight="1">
      <c r="G1893" s="74" t="inlineStr">
        <is>
          <t>kg</t>
        </is>
      </c>
      <c r="M1893" s="64" t="e">
        <v>#N/A</v>
      </c>
    </row>
    <row r="1894" ht="14.4" customHeight="1">
      <c r="G1894" s="74" t="inlineStr">
        <is>
          <t>kg</t>
        </is>
      </c>
      <c r="M1894" s="64" t="e">
        <v>#N/A</v>
      </c>
    </row>
    <row r="1895" ht="14.4" customHeight="1">
      <c r="G1895" s="74" t="inlineStr">
        <is>
          <t>kg</t>
        </is>
      </c>
      <c r="M1895" s="64" t="e">
        <v>#N/A</v>
      </c>
    </row>
    <row r="1896" ht="14.4" customHeight="1">
      <c r="G1896" s="74" t="inlineStr">
        <is>
          <t>kg</t>
        </is>
      </c>
      <c r="M1896" s="64" t="e">
        <v>#N/A</v>
      </c>
    </row>
    <row r="1897" ht="14.4" customHeight="1">
      <c r="G1897" s="74" t="inlineStr">
        <is>
          <t>kg</t>
        </is>
      </c>
      <c r="M1897" s="64" t="e">
        <v>#N/A</v>
      </c>
    </row>
    <row r="1898" ht="14.4" customHeight="1">
      <c r="G1898" s="74" t="inlineStr">
        <is>
          <t>kg</t>
        </is>
      </c>
      <c r="M1898" s="64" t="e">
        <v>#N/A</v>
      </c>
    </row>
    <row r="1899" ht="14.4" customHeight="1">
      <c r="G1899" s="74" t="inlineStr">
        <is>
          <t>kg</t>
        </is>
      </c>
      <c r="M1899" s="64" t="e">
        <v>#N/A</v>
      </c>
    </row>
    <row r="1900" ht="14.4" customHeight="1">
      <c r="G1900" s="74" t="inlineStr">
        <is>
          <t>kg</t>
        </is>
      </c>
      <c r="M1900" s="64" t="e">
        <v>#N/A</v>
      </c>
    </row>
    <row r="1901" ht="14.4" customHeight="1">
      <c r="G1901" s="74" t="inlineStr">
        <is>
          <t>kg</t>
        </is>
      </c>
      <c r="M1901" s="64" t="e">
        <v>#N/A</v>
      </c>
    </row>
    <row r="1902" ht="14.4" customHeight="1">
      <c r="G1902" s="74" t="inlineStr">
        <is>
          <t>kg</t>
        </is>
      </c>
      <c r="M1902" s="64" t="e">
        <v>#N/A</v>
      </c>
    </row>
    <row r="1903" ht="14.4" customHeight="1">
      <c r="G1903" s="74" t="inlineStr">
        <is>
          <t>kg</t>
        </is>
      </c>
      <c r="M1903" s="64" t="e">
        <v>#N/A</v>
      </c>
    </row>
    <row r="1904" ht="14.4" customHeight="1">
      <c r="G1904" s="74" t="inlineStr">
        <is>
          <t>kg</t>
        </is>
      </c>
      <c r="M1904" s="64" t="e">
        <v>#N/A</v>
      </c>
    </row>
    <row r="1905" ht="14.4" customHeight="1">
      <c r="G1905" s="74" t="inlineStr">
        <is>
          <t>kg</t>
        </is>
      </c>
      <c r="M1905" s="64" t="e">
        <v>#N/A</v>
      </c>
    </row>
    <row r="1906" ht="14.4" customHeight="1">
      <c r="G1906" s="74" t="inlineStr">
        <is>
          <t>kg</t>
        </is>
      </c>
      <c r="M1906" s="64" t="e">
        <v>#N/A</v>
      </c>
    </row>
    <row r="1907" ht="14.4" customHeight="1">
      <c r="G1907" s="74" t="inlineStr">
        <is>
          <t>kg</t>
        </is>
      </c>
      <c r="M1907" s="64" t="e">
        <v>#N/A</v>
      </c>
    </row>
    <row r="1908" ht="14.4" customHeight="1">
      <c r="G1908" s="74" t="inlineStr">
        <is>
          <t>kg</t>
        </is>
      </c>
      <c r="M1908" s="64" t="e">
        <v>#N/A</v>
      </c>
    </row>
    <row r="1909" ht="14.4" customHeight="1">
      <c r="G1909" s="74" t="inlineStr">
        <is>
          <t>kg</t>
        </is>
      </c>
      <c r="M1909" s="64" t="e">
        <v>#N/A</v>
      </c>
    </row>
    <row r="1910" ht="14.4" customHeight="1">
      <c r="G1910" s="74" t="inlineStr">
        <is>
          <t>kg</t>
        </is>
      </c>
      <c r="M1910" s="64" t="e">
        <v>#N/A</v>
      </c>
    </row>
    <row r="1911" ht="14.4" customHeight="1">
      <c r="G1911" s="74" t="inlineStr">
        <is>
          <t>kg</t>
        </is>
      </c>
      <c r="M1911" s="64" t="e">
        <v>#N/A</v>
      </c>
    </row>
    <row r="1912" ht="14.4" customHeight="1">
      <c r="G1912" s="74" t="inlineStr">
        <is>
          <t>kg</t>
        </is>
      </c>
      <c r="M1912" s="64" t="e">
        <v>#N/A</v>
      </c>
    </row>
    <row r="1913" ht="14.4" customHeight="1">
      <c r="G1913" s="74" t="inlineStr">
        <is>
          <t>kg</t>
        </is>
      </c>
      <c r="M1913" s="64" t="e">
        <v>#N/A</v>
      </c>
    </row>
    <row r="1914" ht="14.4" customHeight="1">
      <c r="G1914" s="74" t="inlineStr">
        <is>
          <t>kg</t>
        </is>
      </c>
      <c r="M1914" s="64" t="e">
        <v>#N/A</v>
      </c>
    </row>
    <row r="1915" ht="14.4" customHeight="1">
      <c r="G1915" s="74" t="inlineStr">
        <is>
          <t>kg</t>
        </is>
      </c>
      <c r="M1915" s="64" t="e">
        <v>#N/A</v>
      </c>
    </row>
    <row r="1916" ht="14.4" customHeight="1">
      <c r="G1916" s="74" t="inlineStr">
        <is>
          <t>kg</t>
        </is>
      </c>
      <c r="M1916" s="64" t="e">
        <v>#N/A</v>
      </c>
    </row>
    <row r="1917" ht="14.4" customHeight="1">
      <c r="G1917" s="74" t="inlineStr">
        <is>
          <t>kg</t>
        </is>
      </c>
      <c r="M1917" s="64" t="e">
        <v>#N/A</v>
      </c>
    </row>
    <row r="1918" ht="14.4" customHeight="1">
      <c r="G1918" s="74" t="inlineStr">
        <is>
          <t>kg</t>
        </is>
      </c>
      <c r="M1918" s="64" t="e">
        <v>#N/A</v>
      </c>
    </row>
    <row r="1919" ht="14.4" customHeight="1">
      <c r="G1919" s="74" t="inlineStr">
        <is>
          <t>kg</t>
        </is>
      </c>
      <c r="M1919" s="64" t="e">
        <v>#N/A</v>
      </c>
    </row>
    <row r="1920" ht="14.4" customHeight="1">
      <c r="G1920" s="74" t="inlineStr">
        <is>
          <t>kg</t>
        </is>
      </c>
      <c r="M1920" s="64" t="e">
        <v>#N/A</v>
      </c>
    </row>
    <row r="1921" ht="14.4" customHeight="1">
      <c r="G1921" s="74" t="inlineStr">
        <is>
          <t>kg</t>
        </is>
      </c>
      <c r="M1921" s="64" t="e">
        <v>#N/A</v>
      </c>
    </row>
    <row r="1922" ht="14.4" customHeight="1">
      <c r="G1922" s="74" t="inlineStr">
        <is>
          <t>kg</t>
        </is>
      </c>
      <c r="M1922" s="64" t="e">
        <v>#N/A</v>
      </c>
    </row>
    <row r="1923" ht="14.4" customHeight="1">
      <c r="G1923" s="74" t="inlineStr">
        <is>
          <t>kg</t>
        </is>
      </c>
      <c r="M1923" s="64" t="e">
        <v>#N/A</v>
      </c>
    </row>
    <row r="1924" ht="14.4" customHeight="1">
      <c r="G1924" s="74" t="inlineStr">
        <is>
          <t>kg</t>
        </is>
      </c>
      <c r="M1924" s="64" t="e">
        <v>#N/A</v>
      </c>
    </row>
    <row r="1925" ht="14.4" customHeight="1">
      <c r="G1925" s="74" t="inlineStr">
        <is>
          <t>kg</t>
        </is>
      </c>
      <c r="M1925" s="64" t="e">
        <v>#N/A</v>
      </c>
    </row>
    <row r="1926" ht="14.4" customHeight="1">
      <c r="G1926" s="74" t="inlineStr">
        <is>
          <t>kg</t>
        </is>
      </c>
      <c r="M1926" s="64" t="e">
        <v>#N/A</v>
      </c>
    </row>
    <row r="1927" ht="14.4" customHeight="1">
      <c r="G1927" s="74" t="inlineStr">
        <is>
          <t>kg</t>
        </is>
      </c>
      <c r="M1927" s="64" t="e">
        <v>#N/A</v>
      </c>
    </row>
    <row r="1928" ht="14.4" customHeight="1">
      <c r="G1928" s="74" t="inlineStr">
        <is>
          <t>kg</t>
        </is>
      </c>
      <c r="M1928" s="64" t="e">
        <v>#N/A</v>
      </c>
    </row>
    <row r="1929" ht="14.4" customHeight="1">
      <c r="G1929" s="74" t="inlineStr">
        <is>
          <t>kg</t>
        </is>
      </c>
      <c r="M1929" s="64" t="e">
        <v>#N/A</v>
      </c>
    </row>
    <row r="1930" ht="14.4" customHeight="1">
      <c r="G1930" s="74" t="inlineStr">
        <is>
          <t>kg</t>
        </is>
      </c>
      <c r="M1930" s="64" t="e">
        <v>#N/A</v>
      </c>
    </row>
    <row r="1931" ht="14.4" customHeight="1">
      <c r="G1931" s="74" t="inlineStr">
        <is>
          <t>kg</t>
        </is>
      </c>
      <c r="M1931" s="64" t="e">
        <v>#N/A</v>
      </c>
    </row>
    <row r="1932" ht="14.4" customHeight="1">
      <c r="G1932" s="74" t="inlineStr">
        <is>
          <t>kg</t>
        </is>
      </c>
      <c r="M1932" s="64" t="e">
        <v>#N/A</v>
      </c>
    </row>
    <row r="1933" ht="14.4" customHeight="1">
      <c r="G1933" s="74" t="inlineStr">
        <is>
          <t>kg</t>
        </is>
      </c>
      <c r="M1933" s="64" t="e">
        <v>#N/A</v>
      </c>
    </row>
    <row r="1934" ht="14.4" customHeight="1">
      <c r="G1934" s="74" t="inlineStr">
        <is>
          <t>kg</t>
        </is>
      </c>
      <c r="M1934" s="64" t="e">
        <v>#N/A</v>
      </c>
    </row>
    <row r="1935" ht="14.4" customHeight="1">
      <c r="G1935" s="74" t="inlineStr">
        <is>
          <t>kg</t>
        </is>
      </c>
      <c r="M1935" s="64" t="e">
        <v>#N/A</v>
      </c>
    </row>
    <row r="1936" ht="14.4" customHeight="1">
      <c r="G1936" s="74" t="inlineStr">
        <is>
          <t>kg</t>
        </is>
      </c>
      <c r="M1936" s="64" t="e">
        <v>#N/A</v>
      </c>
    </row>
    <row r="1937" ht="14.4" customHeight="1">
      <c r="G1937" s="74" t="inlineStr">
        <is>
          <t>kg</t>
        </is>
      </c>
      <c r="M1937" s="64" t="e">
        <v>#N/A</v>
      </c>
    </row>
    <row r="1938" ht="14.4" customHeight="1">
      <c r="G1938" s="74" t="inlineStr">
        <is>
          <t>kg</t>
        </is>
      </c>
      <c r="M1938" s="64" t="e">
        <v>#N/A</v>
      </c>
    </row>
    <row r="1939" ht="14.4" customHeight="1">
      <c r="G1939" s="74" t="inlineStr">
        <is>
          <t>kg</t>
        </is>
      </c>
      <c r="M1939" s="64" t="e">
        <v>#N/A</v>
      </c>
    </row>
    <row r="1940" ht="14.4" customHeight="1">
      <c r="G1940" s="74" t="inlineStr">
        <is>
          <t>kg</t>
        </is>
      </c>
      <c r="M1940" s="64" t="e">
        <v>#N/A</v>
      </c>
    </row>
    <row r="1941" ht="14.4" customHeight="1">
      <c r="G1941" s="74" t="inlineStr">
        <is>
          <t>kg</t>
        </is>
      </c>
      <c r="M1941" s="64" t="e">
        <v>#N/A</v>
      </c>
    </row>
    <row r="1942" ht="14.4" customHeight="1">
      <c r="G1942" s="74" t="inlineStr">
        <is>
          <t>kg</t>
        </is>
      </c>
      <c r="M1942" s="64" t="e">
        <v>#N/A</v>
      </c>
    </row>
    <row r="1943" ht="14.4" customHeight="1">
      <c r="G1943" s="74" t="inlineStr">
        <is>
          <t>kg</t>
        </is>
      </c>
      <c r="M1943" s="64" t="e">
        <v>#N/A</v>
      </c>
    </row>
    <row r="1944" ht="14.4" customHeight="1">
      <c r="G1944" s="74" t="inlineStr">
        <is>
          <t>kg</t>
        </is>
      </c>
      <c r="M1944" s="64" t="e">
        <v>#N/A</v>
      </c>
    </row>
    <row r="1945" ht="14.4" customHeight="1">
      <c r="G1945" s="74" t="inlineStr">
        <is>
          <t>kg</t>
        </is>
      </c>
      <c r="M1945" s="64" t="e">
        <v>#N/A</v>
      </c>
    </row>
    <row r="1946" ht="14.4" customHeight="1">
      <c r="G1946" s="74" t="inlineStr">
        <is>
          <t>kg</t>
        </is>
      </c>
      <c r="M1946" s="64" t="e">
        <v>#N/A</v>
      </c>
    </row>
    <row r="1947" ht="14.4" customHeight="1">
      <c r="G1947" s="74" t="inlineStr">
        <is>
          <t>kg</t>
        </is>
      </c>
      <c r="M1947" s="64" t="e">
        <v>#N/A</v>
      </c>
    </row>
    <row r="1948" ht="14.4" customHeight="1">
      <c r="G1948" s="74" t="inlineStr">
        <is>
          <t>kg</t>
        </is>
      </c>
      <c r="M1948" s="64" t="e">
        <v>#N/A</v>
      </c>
    </row>
    <row r="1949" ht="14.4" customHeight="1">
      <c r="G1949" s="74" t="inlineStr">
        <is>
          <t>kg</t>
        </is>
      </c>
      <c r="M1949" s="64" t="e">
        <v>#N/A</v>
      </c>
    </row>
    <row r="1950" ht="14.4" customHeight="1">
      <c r="G1950" s="74" t="inlineStr">
        <is>
          <t>kg</t>
        </is>
      </c>
      <c r="M1950" s="64" t="e">
        <v>#N/A</v>
      </c>
    </row>
    <row r="1951" ht="14.4" customHeight="1">
      <c r="G1951" s="74" t="inlineStr">
        <is>
          <t>kg</t>
        </is>
      </c>
      <c r="M1951" s="64" t="e">
        <v>#N/A</v>
      </c>
    </row>
    <row r="1952" ht="14.4" customHeight="1">
      <c r="G1952" s="74" t="inlineStr">
        <is>
          <t>kg</t>
        </is>
      </c>
      <c r="M1952" s="64" t="e">
        <v>#N/A</v>
      </c>
    </row>
    <row r="1953" ht="14.4" customHeight="1">
      <c r="G1953" s="74" t="inlineStr">
        <is>
          <t>kg</t>
        </is>
      </c>
      <c r="M1953" s="64" t="e">
        <v>#N/A</v>
      </c>
    </row>
    <row r="1954" ht="14.4" customHeight="1">
      <c r="G1954" s="74" t="inlineStr">
        <is>
          <t>kg</t>
        </is>
      </c>
      <c r="M1954" s="64" t="e">
        <v>#N/A</v>
      </c>
    </row>
    <row r="1955" ht="14.4" customHeight="1">
      <c r="G1955" s="74" t="inlineStr">
        <is>
          <t>kg</t>
        </is>
      </c>
      <c r="M1955" s="64" t="e">
        <v>#N/A</v>
      </c>
    </row>
    <row r="1956" ht="14.4" customHeight="1">
      <c r="G1956" s="74" t="inlineStr">
        <is>
          <t>kg</t>
        </is>
      </c>
      <c r="M1956" s="64" t="e">
        <v>#N/A</v>
      </c>
    </row>
    <row r="1957" ht="14.4" customHeight="1">
      <c r="G1957" s="74" t="inlineStr">
        <is>
          <t>kg</t>
        </is>
      </c>
      <c r="M1957" s="64" t="e">
        <v>#N/A</v>
      </c>
    </row>
    <row r="1958" ht="14.4" customHeight="1">
      <c r="G1958" s="74" t="inlineStr">
        <is>
          <t>kg</t>
        </is>
      </c>
      <c r="M1958" s="64" t="e">
        <v>#N/A</v>
      </c>
    </row>
    <row r="1959" ht="14.4" customHeight="1">
      <c r="G1959" s="74" t="inlineStr">
        <is>
          <t>kg</t>
        </is>
      </c>
      <c r="M1959" s="64" t="e">
        <v>#N/A</v>
      </c>
    </row>
    <row r="1960" ht="14.4" customHeight="1">
      <c r="G1960" s="74" t="inlineStr">
        <is>
          <t>kg</t>
        </is>
      </c>
      <c r="M1960" s="64" t="e">
        <v>#N/A</v>
      </c>
    </row>
    <row r="1961" ht="14.4" customHeight="1">
      <c r="G1961" s="74" t="inlineStr">
        <is>
          <t>kg</t>
        </is>
      </c>
      <c r="M1961" s="64" t="e">
        <v>#N/A</v>
      </c>
    </row>
    <row r="1962" ht="14.4" customHeight="1">
      <c r="G1962" s="74" t="inlineStr">
        <is>
          <t>kg</t>
        </is>
      </c>
      <c r="M1962" s="64" t="e">
        <v>#N/A</v>
      </c>
    </row>
    <row r="1963" ht="14.4" customHeight="1">
      <c r="G1963" s="74" t="inlineStr">
        <is>
          <t>kg</t>
        </is>
      </c>
      <c r="M1963" s="64" t="e">
        <v>#N/A</v>
      </c>
    </row>
    <row r="1964" ht="14.4" customHeight="1">
      <c r="G1964" s="74" t="inlineStr">
        <is>
          <t>kg</t>
        </is>
      </c>
      <c r="M1964" s="64" t="e">
        <v>#N/A</v>
      </c>
    </row>
    <row r="1965" ht="14.4" customHeight="1">
      <c r="G1965" s="74" t="inlineStr">
        <is>
          <t>kg</t>
        </is>
      </c>
      <c r="M1965" s="64" t="e">
        <v>#N/A</v>
      </c>
    </row>
    <row r="1966" ht="14.4" customHeight="1">
      <c r="G1966" s="74" t="inlineStr">
        <is>
          <t>kg</t>
        </is>
      </c>
      <c r="M1966" s="64" t="e">
        <v>#N/A</v>
      </c>
    </row>
    <row r="1967" ht="14.4" customHeight="1">
      <c r="G1967" s="74" t="inlineStr">
        <is>
          <t>kg</t>
        </is>
      </c>
      <c r="M1967" s="64" t="e">
        <v>#N/A</v>
      </c>
    </row>
    <row r="1968" ht="14.4" customHeight="1">
      <c r="G1968" s="74" t="inlineStr">
        <is>
          <t>kg</t>
        </is>
      </c>
      <c r="M1968" s="64" t="e">
        <v>#N/A</v>
      </c>
    </row>
    <row r="1969" ht="14.4" customHeight="1">
      <c r="G1969" s="74" t="inlineStr">
        <is>
          <t>kg</t>
        </is>
      </c>
      <c r="M1969" s="64" t="e">
        <v>#N/A</v>
      </c>
    </row>
    <row r="1970" ht="14.4" customHeight="1">
      <c r="G1970" s="74" t="inlineStr">
        <is>
          <t>kg</t>
        </is>
      </c>
      <c r="M1970" s="64" t="e">
        <v>#N/A</v>
      </c>
    </row>
    <row r="1971" ht="14.4" customHeight="1">
      <c r="G1971" s="74" t="inlineStr">
        <is>
          <t>kg</t>
        </is>
      </c>
      <c r="M1971" s="64" t="e">
        <v>#N/A</v>
      </c>
    </row>
    <row r="1972" ht="14.4" customHeight="1">
      <c r="G1972" s="74" t="inlineStr">
        <is>
          <t>kg</t>
        </is>
      </c>
      <c r="M1972" s="64" t="e">
        <v>#N/A</v>
      </c>
    </row>
    <row r="1973" ht="14.4" customHeight="1">
      <c r="G1973" s="74" t="inlineStr">
        <is>
          <t>kg</t>
        </is>
      </c>
      <c r="M1973" s="64" t="e">
        <v>#N/A</v>
      </c>
    </row>
    <row r="1974" ht="14.4" customHeight="1">
      <c r="G1974" s="74" t="inlineStr">
        <is>
          <t>kg</t>
        </is>
      </c>
      <c r="M1974" s="64" t="e">
        <v>#N/A</v>
      </c>
    </row>
    <row r="1975" ht="14.4" customHeight="1">
      <c r="G1975" s="74" t="inlineStr">
        <is>
          <t>kg</t>
        </is>
      </c>
      <c r="M1975" s="64" t="e">
        <v>#N/A</v>
      </c>
    </row>
    <row r="1976" ht="14.4" customHeight="1">
      <c r="G1976" s="74" t="inlineStr">
        <is>
          <t>kg</t>
        </is>
      </c>
      <c r="M1976" s="64" t="e">
        <v>#N/A</v>
      </c>
    </row>
    <row r="1977" ht="14.4" customHeight="1">
      <c r="G1977" s="74" t="inlineStr">
        <is>
          <t>kg</t>
        </is>
      </c>
      <c r="M1977" s="64" t="e">
        <v>#N/A</v>
      </c>
    </row>
    <row r="1978" ht="14.4" customHeight="1">
      <c r="G1978" s="74" t="inlineStr">
        <is>
          <t>kg</t>
        </is>
      </c>
      <c r="M1978" s="64" t="e">
        <v>#N/A</v>
      </c>
    </row>
    <row r="1979" ht="14.4" customHeight="1">
      <c r="G1979" s="74" t="inlineStr">
        <is>
          <t>kg</t>
        </is>
      </c>
      <c r="M1979" s="64" t="e">
        <v>#N/A</v>
      </c>
    </row>
    <row r="1980" ht="14.4" customHeight="1">
      <c r="G1980" s="74" t="inlineStr">
        <is>
          <t>kg</t>
        </is>
      </c>
      <c r="M1980" s="64" t="e">
        <v>#N/A</v>
      </c>
    </row>
    <row r="1981" ht="14.4" customHeight="1">
      <c r="G1981" s="74" t="inlineStr">
        <is>
          <t>kg</t>
        </is>
      </c>
      <c r="M1981" s="64" t="e">
        <v>#N/A</v>
      </c>
    </row>
    <row r="1982" ht="14.4" customHeight="1">
      <c r="G1982" s="74" t="inlineStr">
        <is>
          <t>kg</t>
        </is>
      </c>
      <c r="M1982" s="64" t="e">
        <v>#N/A</v>
      </c>
    </row>
    <row r="1983" ht="14.4" customHeight="1">
      <c r="G1983" s="74" t="inlineStr">
        <is>
          <t>kg</t>
        </is>
      </c>
      <c r="M1983" s="64" t="e">
        <v>#N/A</v>
      </c>
    </row>
    <row r="1984" ht="14.4" customHeight="1">
      <c r="G1984" s="74" t="inlineStr">
        <is>
          <t>kg</t>
        </is>
      </c>
      <c r="M1984" s="64" t="e">
        <v>#N/A</v>
      </c>
    </row>
    <row r="1985" ht="14.4" customHeight="1">
      <c r="G1985" s="74" t="inlineStr">
        <is>
          <t>kg</t>
        </is>
      </c>
      <c r="M1985" s="64" t="e">
        <v>#N/A</v>
      </c>
    </row>
    <row r="1986" ht="14.4" customHeight="1">
      <c r="G1986" s="74" t="inlineStr">
        <is>
          <t>kg</t>
        </is>
      </c>
      <c r="M1986" s="64" t="e">
        <v>#N/A</v>
      </c>
    </row>
    <row r="1987" ht="14.4" customHeight="1">
      <c r="G1987" s="74" t="inlineStr">
        <is>
          <t>kg</t>
        </is>
      </c>
      <c r="M1987" s="64" t="e">
        <v>#N/A</v>
      </c>
    </row>
    <row r="1988" ht="14.4" customHeight="1">
      <c r="G1988" s="74" t="inlineStr">
        <is>
          <t>kg</t>
        </is>
      </c>
      <c r="M1988" s="64" t="e">
        <v>#N/A</v>
      </c>
    </row>
    <row r="1989" ht="14.4" customHeight="1">
      <c r="G1989" s="74" t="inlineStr">
        <is>
          <t>kg</t>
        </is>
      </c>
      <c r="M1989" s="64" t="e">
        <v>#N/A</v>
      </c>
    </row>
    <row r="1990" ht="14.4" customHeight="1">
      <c r="G1990" s="74" t="inlineStr">
        <is>
          <t>kg</t>
        </is>
      </c>
      <c r="M1990" s="64" t="e">
        <v>#N/A</v>
      </c>
    </row>
    <row r="1991" ht="14.4" customHeight="1">
      <c r="G1991" s="74" t="inlineStr">
        <is>
          <t>kg</t>
        </is>
      </c>
      <c r="M1991" s="64" t="e">
        <v>#N/A</v>
      </c>
    </row>
    <row r="1992" ht="14.4" customHeight="1">
      <c r="G1992" s="74" t="inlineStr">
        <is>
          <t>kg</t>
        </is>
      </c>
      <c r="M1992" s="64" t="e">
        <v>#N/A</v>
      </c>
    </row>
    <row r="1993" ht="14.4" customHeight="1">
      <c r="G1993" s="74" t="inlineStr">
        <is>
          <t>kg</t>
        </is>
      </c>
      <c r="M1993" s="64" t="e">
        <v>#N/A</v>
      </c>
    </row>
    <row r="1994" ht="14.4" customHeight="1">
      <c r="G1994" s="74" t="inlineStr">
        <is>
          <t>kg</t>
        </is>
      </c>
      <c r="M1994" s="64" t="e">
        <v>#N/A</v>
      </c>
    </row>
    <row r="1995" ht="14.4" customHeight="1">
      <c r="G1995" s="74" t="inlineStr">
        <is>
          <t>kg</t>
        </is>
      </c>
      <c r="M1995" s="64" t="e">
        <v>#N/A</v>
      </c>
    </row>
    <row r="1996" ht="14.4" customHeight="1">
      <c r="G1996" s="74" t="inlineStr">
        <is>
          <t>kg</t>
        </is>
      </c>
      <c r="M1996" s="64" t="e">
        <v>#N/A</v>
      </c>
    </row>
    <row r="1997" ht="14.4" customHeight="1">
      <c r="G1997" s="74" t="inlineStr">
        <is>
          <t>kg</t>
        </is>
      </c>
      <c r="M1997" s="64" t="e">
        <v>#N/A</v>
      </c>
    </row>
    <row r="1998" ht="14.4" customHeight="1">
      <c r="G1998" s="74" t="inlineStr">
        <is>
          <t>kg</t>
        </is>
      </c>
      <c r="M1998" s="64" t="e">
        <v>#N/A</v>
      </c>
    </row>
    <row r="1999" ht="14.4" customHeight="1">
      <c r="G1999" s="74" t="inlineStr">
        <is>
          <t>kg</t>
        </is>
      </c>
      <c r="M1999" s="64" t="e">
        <v>#N/A</v>
      </c>
    </row>
    <row r="2000" ht="14.4" customHeight="1">
      <c r="G2000" s="74" t="inlineStr">
        <is>
          <t>kg</t>
        </is>
      </c>
      <c r="M2000" s="64" t="e">
        <v>#N/A</v>
      </c>
    </row>
    <row r="2001" ht="14.4" customHeight="1">
      <c r="G2001" s="74" t="inlineStr">
        <is>
          <t>kg</t>
        </is>
      </c>
      <c r="M2001" s="64" t="e">
        <v>#N/A</v>
      </c>
    </row>
    <row r="2002" ht="14.4" customHeight="1">
      <c r="G2002" s="74" t="inlineStr">
        <is>
          <t>kg</t>
        </is>
      </c>
      <c r="M2002" s="64" t="e">
        <v>#N/A</v>
      </c>
    </row>
    <row r="2003" ht="14.4" customHeight="1">
      <c r="G2003" s="74" t="inlineStr">
        <is>
          <t>kg</t>
        </is>
      </c>
      <c r="M2003" s="64" t="e">
        <v>#N/A</v>
      </c>
    </row>
    <row r="2004" ht="14.4" customHeight="1">
      <c r="G2004" s="74" t="inlineStr">
        <is>
          <t>kg</t>
        </is>
      </c>
      <c r="M2004" s="64" t="e">
        <v>#N/A</v>
      </c>
    </row>
    <row r="2005" ht="14.4" customHeight="1">
      <c r="G2005" s="74" t="inlineStr">
        <is>
          <t>kg</t>
        </is>
      </c>
      <c r="M2005" s="64" t="e">
        <v>#N/A</v>
      </c>
    </row>
    <row r="2006" ht="14.4" customHeight="1">
      <c r="G2006" s="74" t="inlineStr">
        <is>
          <t>kg</t>
        </is>
      </c>
      <c r="M2006" s="64" t="e">
        <v>#N/A</v>
      </c>
    </row>
    <row r="2007" ht="14.4" customHeight="1">
      <c r="G2007" s="74" t="inlineStr">
        <is>
          <t>kg</t>
        </is>
      </c>
      <c r="M2007" s="64" t="e">
        <v>#N/A</v>
      </c>
    </row>
    <row r="2008" ht="14.4" customHeight="1">
      <c r="G2008" s="74" t="inlineStr">
        <is>
          <t>kg</t>
        </is>
      </c>
      <c r="M2008" s="64" t="e">
        <v>#N/A</v>
      </c>
    </row>
    <row r="2009" ht="14.4" customHeight="1">
      <c r="G2009" s="74" t="inlineStr">
        <is>
          <t>kg</t>
        </is>
      </c>
      <c r="M2009" s="64" t="e">
        <v>#N/A</v>
      </c>
    </row>
    <row r="2010" ht="14.4" customHeight="1">
      <c r="G2010" s="74" t="inlineStr">
        <is>
          <t>kg</t>
        </is>
      </c>
      <c r="M2010" s="64" t="e">
        <v>#N/A</v>
      </c>
    </row>
    <row r="2011" ht="14.4" customHeight="1">
      <c r="G2011" s="74" t="inlineStr">
        <is>
          <t>kg</t>
        </is>
      </c>
      <c r="M2011" s="64" t="e">
        <v>#N/A</v>
      </c>
    </row>
    <row r="2012" ht="14.4" customHeight="1">
      <c r="G2012" s="74" t="inlineStr">
        <is>
          <t>kg</t>
        </is>
      </c>
      <c r="M2012" s="64" t="e">
        <v>#N/A</v>
      </c>
    </row>
    <row r="2013" ht="14.4" customHeight="1">
      <c r="G2013" s="74" t="inlineStr">
        <is>
          <t>kg</t>
        </is>
      </c>
      <c r="M2013" s="64" t="e">
        <v>#N/A</v>
      </c>
    </row>
    <row r="2014" ht="14.4" customHeight="1">
      <c r="G2014" s="74" t="inlineStr">
        <is>
          <t>kg</t>
        </is>
      </c>
      <c r="M2014" s="64" t="e">
        <v>#N/A</v>
      </c>
    </row>
    <row r="2015" ht="14.4" customHeight="1">
      <c r="G2015" s="74" t="inlineStr">
        <is>
          <t>kg</t>
        </is>
      </c>
      <c r="M2015" s="64" t="e">
        <v>#N/A</v>
      </c>
    </row>
    <row r="2016" ht="14.4" customHeight="1">
      <c r="G2016" s="74" t="inlineStr">
        <is>
          <t>kg</t>
        </is>
      </c>
      <c r="M2016" s="64" t="e">
        <v>#N/A</v>
      </c>
    </row>
    <row r="2017" ht="14.4" customHeight="1">
      <c r="G2017" s="74" t="inlineStr">
        <is>
          <t>kg</t>
        </is>
      </c>
      <c r="M2017" s="64" t="e">
        <v>#N/A</v>
      </c>
    </row>
    <row r="2018" ht="14.4" customHeight="1">
      <c r="G2018" s="74" t="inlineStr">
        <is>
          <t>kg</t>
        </is>
      </c>
      <c r="M2018" s="64" t="e">
        <v>#N/A</v>
      </c>
    </row>
    <row r="2019" ht="14.4" customHeight="1">
      <c r="G2019" s="74" t="inlineStr">
        <is>
          <t>kg</t>
        </is>
      </c>
      <c r="M2019" s="64" t="e">
        <v>#N/A</v>
      </c>
    </row>
    <row r="2020" ht="14.4" customHeight="1">
      <c r="G2020" s="74" t="inlineStr">
        <is>
          <t>kg</t>
        </is>
      </c>
      <c r="M2020" s="64" t="e">
        <v>#N/A</v>
      </c>
    </row>
    <row r="2021" ht="14.4" customHeight="1">
      <c r="G2021" s="74" t="inlineStr">
        <is>
          <t>kg</t>
        </is>
      </c>
      <c r="M2021" s="64" t="e">
        <v>#N/A</v>
      </c>
    </row>
    <row r="2022" ht="14.4" customHeight="1">
      <c r="G2022" s="74" t="inlineStr">
        <is>
          <t>kg</t>
        </is>
      </c>
      <c r="M2022" s="64" t="e">
        <v>#N/A</v>
      </c>
    </row>
    <row r="2023" ht="14.4" customHeight="1">
      <c r="G2023" s="74" t="inlineStr">
        <is>
          <t>kg</t>
        </is>
      </c>
      <c r="M2023" s="64" t="e">
        <v>#N/A</v>
      </c>
    </row>
    <row r="2024" ht="14.4" customHeight="1">
      <c r="G2024" s="74" t="inlineStr">
        <is>
          <t>kg</t>
        </is>
      </c>
      <c r="M2024" s="64" t="e">
        <v>#N/A</v>
      </c>
    </row>
    <row r="2025" ht="14.4" customHeight="1">
      <c r="G2025" s="74" t="inlineStr">
        <is>
          <t>kg</t>
        </is>
      </c>
      <c r="M2025" s="64" t="e">
        <v>#N/A</v>
      </c>
    </row>
    <row r="2026" ht="14.4" customHeight="1">
      <c r="G2026" s="74" t="inlineStr">
        <is>
          <t>kg</t>
        </is>
      </c>
      <c r="M2026" s="64" t="e">
        <v>#N/A</v>
      </c>
    </row>
    <row r="2027" ht="14.4" customHeight="1">
      <c r="G2027" s="74" t="inlineStr">
        <is>
          <t>kg</t>
        </is>
      </c>
      <c r="M2027" s="64" t="e">
        <v>#N/A</v>
      </c>
    </row>
    <row r="2028" ht="14.4" customHeight="1">
      <c r="G2028" s="74" t="inlineStr">
        <is>
          <t>kg</t>
        </is>
      </c>
      <c r="M2028" s="64" t="e">
        <v>#N/A</v>
      </c>
    </row>
    <row r="2029" ht="14.4" customHeight="1">
      <c r="G2029" s="74" t="inlineStr">
        <is>
          <t>kg</t>
        </is>
      </c>
      <c r="M2029" s="64" t="e">
        <v>#N/A</v>
      </c>
    </row>
    <row r="2030" ht="14.4" customHeight="1">
      <c r="G2030" s="74" t="inlineStr">
        <is>
          <t>kg</t>
        </is>
      </c>
      <c r="M2030" s="64" t="e">
        <v>#N/A</v>
      </c>
    </row>
    <row r="2031" ht="14.4" customHeight="1">
      <c r="G2031" s="74" t="inlineStr">
        <is>
          <t>kg</t>
        </is>
      </c>
      <c r="M2031" s="64" t="e">
        <v>#N/A</v>
      </c>
    </row>
    <row r="2032" ht="14.4" customHeight="1">
      <c r="G2032" s="74" t="inlineStr">
        <is>
          <t>kg</t>
        </is>
      </c>
      <c r="M2032" s="64" t="e">
        <v>#N/A</v>
      </c>
    </row>
    <row r="2033" ht="14.4" customHeight="1">
      <c r="G2033" s="74" t="inlineStr">
        <is>
          <t>kg</t>
        </is>
      </c>
      <c r="M2033" s="64" t="e">
        <v>#N/A</v>
      </c>
    </row>
    <row r="2034" ht="14.4" customHeight="1">
      <c r="G2034" s="74" t="inlineStr">
        <is>
          <t>kg</t>
        </is>
      </c>
      <c r="M2034" s="64" t="e">
        <v>#N/A</v>
      </c>
    </row>
    <row r="2035" ht="14.4" customHeight="1">
      <c r="G2035" s="74" t="inlineStr">
        <is>
          <t>kg</t>
        </is>
      </c>
      <c r="M2035" s="64" t="e">
        <v>#N/A</v>
      </c>
    </row>
    <row r="2036" ht="14.4" customHeight="1">
      <c r="G2036" s="74" t="inlineStr">
        <is>
          <t>kg</t>
        </is>
      </c>
      <c r="M2036" s="64" t="e">
        <v>#N/A</v>
      </c>
    </row>
    <row r="2037" ht="14.4" customHeight="1">
      <c r="G2037" s="74" t="inlineStr">
        <is>
          <t>kg</t>
        </is>
      </c>
      <c r="M2037" s="64" t="e">
        <v>#N/A</v>
      </c>
    </row>
    <row r="2038" ht="14.4" customHeight="1">
      <c r="G2038" s="74" t="inlineStr">
        <is>
          <t>kg</t>
        </is>
      </c>
      <c r="M2038" s="64" t="e">
        <v>#N/A</v>
      </c>
    </row>
    <row r="2039" ht="14.4" customHeight="1">
      <c r="G2039" s="74" t="inlineStr">
        <is>
          <t>kg</t>
        </is>
      </c>
      <c r="M2039" s="64" t="e">
        <v>#N/A</v>
      </c>
    </row>
    <row r="2040" ht="14.4" customHeight="1">
      <c r="G2040" s="74" t="inlineStr">
        <is>
          <t>kg</t>
        </is>
      </c>
      <c r="M2040" s="64" t="e">
        <v>#N/A</v>
      </c>
    </row>
    <row r="2041" ht="14.4" customHeight="1">
      <c r="G2041" s="74" t="inlineStr">
        <is>
          <t>kg</t>
        </is>
      </c>
      <c r="M2041" s="64" t="e">
        <v>#N/A</v>
      </c>
    </row>
    <row r="2042" ht="14.4" customHeight="1">
      <c r="G2042" s="74" t="inlineStr">
        <is>
          <t>kg</t>
        </is>
      </c>
      <c r="M2042" s="64" t="e">
        <v>#N/A</v>
      </c>
    </row>
    <row r="2043" ht="14.4" customHeight="1">
      <c r="G2043" s="74" t="inlineStr">
        <is>
          <t>kg</t>
        </is>
      </c>
      <c r="M2043" s="64" t="e">
        <v>#N/A</v>
      </c>
    </row>
    <row r="2044" ht="14.4" customHeight="1">
      <c r="G2044" s="74" t="inlineStr">
        <is>
          <t>kg</t>
        </is>
      </c>
      <c r="M2044" s="64" t="e">
        <v>#N/A</v>
      </c>
    </row>
    <row r="2045" ht="14.4" customHeight="1">
      <c r="G2045" s="74" t="inlineStr">
        <is>
          <t>kg</t>
        </is>
      </c>
      <c r="M2045" s="64" t="e">
        <v>#N/A</v>
      </c>
    </row>
    <row r="2046" ht="14.4" customHeight="1">
      <c r="G2046" s="74" t="inlineStr">
        <is>
          <t>kg</t>
        </is>
      </c>
      <c r="M2046" s="64" t="e">
        <v>#N/A</v>
      </c>
    </row>
    <row r="2047" ht="14.4" customHeight="1">
      <c r="G2047" s="74" t="inlineStr">
        <is>
          <t>kg</t>
        </is>
      </c>
      <c r="M2047" s="64" t="e">
        <v>#N/A</v>
      </c>
    </row>
    <row r="2048" ht="14.4" customHeight="1">
      <c r="G2048" s="74" t="inlineStr">
        <is>
          <t>kg</t>
        </is>
      </c>
      <c r="M2048" s="64" t="e">
        <v>#N/A</v>
      </c>
    </row>
    <row r="2049" ht="14.4" customHeight="1">
      <c r="G2049" s="74" t="inlineStr">
        <is>
          <t>kg</t>
        </is>
      </c>
      <c r="M2049" s="64" t="e">
        <v>#N/A</v>
      </c>
    </row>
    <row r="2050" ht="14.4" customHeight="1">
      <c r="G2050" s="74" t="inlineStr">
        <is>
          <t>kg</t>
        </is>
      </c>
      <c r="M2050" s="64" t="e">
        <v>#N/A</v>
      </c>
    </row>
    <row r="2051" ht="14.4" customHeight="1">
      <c r="G2051" s="74" t="inlineStr">
        <is>
          <t>kg</t>
        </is>
      </c>
      <c r="M2051" s="64" t="e">
        <v>#N/A</v>
      </c>
    </row>
    <row r="2052" ht="14.4" customHeight="1">
      <c r="G2052" s="74" t="inlineStr">
        <is>
          <t>kg</t>
        </is>
      </c>
      <c r="M2052" s="64" t="e">
        <v>#N/A</v>
      </c>
    </row>
    <row r="2053" ht="14.4" customHeight="1">
      <c r="G2053" s="74" t="inlineStr">
        <is>
          <t>kg</t>
        </is>
      </c>
      <c r="M2053" s="64" t="e">
        <v>#N/A</v>
      </c>
    </row>
    <row r="2054" ht="14.4" customHeight="1">
      <c r="G2054" s="74" t="inlineStr">
        <is>
          <t>kg</t>
        </is>
      </c>
      <c r="M2054" s="64" t="e">
        <v>#N/A</v>
      </c>
    </row>
    <row r="2055" ht="14.4" customHeight="1">
      <c r="G2055" s="74" t="inlineStr">
        <is>
          <t>kg</t>
        </is>
      </c>
      <c r="M2055" s="64" t="e">
        <v>#N/A</v>
      </c>
    </row>
    <row r="2056" ht="14.4" customHeight="1">
      <c r="G2056" s="74" t="inlineStr">
        <is>
          <t>kg</t>
        </is>
      </c>
      <c r="M2056" s="64" t="e">
        <v>#N/A</v>
      </c>
    </row>
    <row r="2057" ht="14.4" customHeight="1">
      <c r="G2057" s="74" t="inlineStr">
        <is>
          <t>kg</t>
        </is>
      </c>
      <c r="M2057" s="64" t="e">
        <v>#N/A</v>
      </c>
    </row>
    <row r="2058" ht="14.4" customHeight="1">
      <c r="G2058" s="74" t="inlineStr">
        <is>
          <t>kg</t>
        </is>
      </c>
      <c r="M2058" s="64" t="e">
        <v>#N/A</v>
      </c>
    </row>
    <row r="2059" ht="14.4" customHeight="1">
      <c r="G2059" s="74" t="inlineStr">
        <is>
          <t>kg</t>
        </is>
      </c>
      <c r="M2059" s="64" t="e">
        <v>#N/A</v>
      </c>
    </row>
    <row r="2060" ht="14.4" customHeight="1">
      <c r="G2060" s="74" t="inlineStr">
        <is>
          <t>kg</t>
        </is>
      </c>
      <c r="M2060" s="64" t="e">
        <v>#N/A</v>
      </c>
    </row>
    <row r="2061" ht="14.4" customHeight="1">
      <c r="G2061" s="74" t="inlineStr">
        <is>
          <t>kg</t>
        </is>
      </c>
      <c r="M2061" s="64" t="e">
        <v>#N/A</v>
      </c>
    </row>
    <row r="2062" ht="14.4" customHeight="1">
      <c r="G2062" s="74" t="inlineStr">
        <is>
          <t>kg</t>
        </is>
      </c>
      <c r="M2062" s="64" t="e">
        <v>#N/A</v>
      </c>
    </row>
    <row r="2063" ht="14.4" customHeight="1">
      <c r="G2063" s="74" t="inlineStr">
        <is>
          <t>kg</t>
        </is>
      </c>
      <c r="M2063" s="64" t="e">
        <v>#N/A</v>
      </c>
    </row>
    <row r="2064" ht="14.4" customHeight="1">
      <c r="G2064" s="74" t="inlineStr">
        <is>
          <t>kg</t>
        </is>
      </c>
      <c r="M2064" s="64" t="e">
        <v>#N/A</v>
      </c>
    </row>
    <row r="2065" ht="14.4" customHeight="1">
      <c r="G2065" s="74" t="inlineStr">
        <is>
          <t>kg</t>
        </is>
      </c>
      <c r="M2065" s="64" t="e">
        <v>#N/A</v>
      </c>
    </row>
    <row r="2066" ht="14.4" customHeight="1">
      <c r="G2066" s="74" t="inlineStr">
        <is>
          <t>kg</t>
        </is>
      </c>
      <c r="M2066" s="64" t="e">
        <v>#N/A</v>
      </c>
    </row>
    <row r="2067" ht="14.4" customHeight="1">
      <c r="G2067" s="74" t="inlineStr">
        <is>
          <t>kg</t>
        </is>
      </c>
      <c r="M2067" s="64" t="e">
        <v>#N/A</v>
      </c>
    </row>
    <row r="2068" ht="14.4" customHeight="1">
      <c r="G2068" s="74" t="inlineStr">
        <is>
          <t>kg</t>
        </is>
      </c>
      <c r="M2068" s="64" t="e">
        <v>#N/A</v>
      </c>
    </row>
    <row r="2069" ht="14.4" customHeight="1">
      <c r="G2069" s="74" t="inlineStr">
        <is>
          <t>kg</t>
        </is>
      </c>
      <c r="M2069" s="64" t="e">
        <v>#N/A</v>
      </c>
    </row>
    <row r="2070" ht="14.4" customHeight="1">
      <c r="G2070" s="74" t="inlineStr">
        <is>
          <t>kg</t>
        </is>
      </c>
      <c r="M2070" s="64" t="e">
        <v>#N/A</v>
      </c>
    </row>
    <row r="2071" ht="14.4" customHeight="1">
      <c r="G2071" s="74" t="inlineStr">
        <is>
          <t>kg</t>
        </is>
      </c>
      <c r="M2071" s="64" t="e">
        <v>#N/A</v>
      </c>
    </row>
    <row r="2072" ht="14.4" customHeight="1">
      <c r="G2072" s="74" t="inlineStr">
        <is>
          <t>kg</t>
        </is>
      </c>
      <c r="M2072" s="64" t="e">
        <v>#N/A</v>
      </c>
    </row>
    <row r="2073" ht="14.4" customHeight="1">
      <c r="G2073" s="74" t="inlineStr">
        <is>
          <t>kg</t>
        </is>
      </c>
      <c r="M2073" s="64" t="e">
        <v>#N/A</v>
      </c>
    </row>
    <row r="2074" ht="14.4" customHeight="1">
      <c r="G2074" s="74" t="inlineStr">
        <is>
          <t>kg</t>
        </is>
      </c>
      <c r="M2074" s="64" t="e">
        <v>#N/A</v>
      </c>
    </row>
    <row r="2075" ht="14.4" customHeight="1">
      <c r="G2075" s="74" t="inlineStr">
        <is>
          <t>kg</t>
        </is>
      </c>
      <c r="M2075" s="64" t="e">
        <v>#N/A</v>
      </c>
    </row>
    <row r="2076" ht="14.4" customHeight="1">
      <c r="G2076" s="74" t="inlineStr">
        <is>
          <t>kg</t>
        </is>
      </c>
      <c r="M2076" s="64" t="e">
        <v>#N/A</v>
      </c>
    </row>
    <row r="2077" ht="14.4" customHeight="1">
      <c r="G2077" s="74" t="inlineStr">
        <is>
          <t>kg</t>
        </is>
      </c>
      <c r="M2077" s="64" t="e">
        <v>#N/A</v>
      </c>
    </row>
    <row r="2078" ht="14.4" customHeight="1">
      <c r="G2078" s="74" t="inlineStr">
        <is>
          <t>kg</t>
        </is>
      </c>
      <c r="M2078" s="64" t="e">
        <v>#N/A</v>
      </c>
    </row>
    <row r="2079" ht="14.4" customHeight="1">
      <c r="G2079" s="74" t="inlineStr">
        <is>
          <t>kg</t>
        </is>
      </c>
      <c r="M2079" s="64" t="e">
        <v>#N/A</v>
      </c>
    </row>
    <row r="2080" ht="14.4" customHeight="1">
      <c r="G2080" s="74" t="inlineStr">
        <is>
          <t>kg</t>
        </is>
      </c>
      <c r="M2080" s="64" t="e">
        <v>#N/A</v>
      </c>
    </row>
    <row r="2081" ht="14.4" customHeight="1">
      <c r="G2081" s="74" t="inlineStr">
        <is>
          <t>kg</t>
        </is>
      </c>
      <c r="M2081" s="64" t="e">
        <v>#N/A</v>
      </c>
    </row>
    <row r="2082" ht="14.4" customHeight="1">
      <c r="G2082" s="74" t="inlineStr">
        <is>
          <t>kg</t>
        </is>
      </c>
      <c r="M2082" s="64" t="e">
        <v>#N/A</v>
      </c>
    </row>
    <row r="2083" ht="14.4" customHeight="1">
      <c r="G2083" s="74" t="inlineStr">
        <is>
          <t>kg</t>
        </is>
      </c>
      <c r="M2083" s="64" t="e">
        <v>#N/A</v>
      </c>
    </row>
    <row r="2084" ht="14.4" customHeight="1">
      <c r="G2084" s="74" t="inlineStr">
        <is>
          <t>kg</t>
        </is>
      </c>
      <c r="M2084" s="64" t="e">
        <v>#N/A</v>
      </c>
    </row>
    <row r="2085" ht="14.4" customHeight="1">
      <c r="G2085" s="74" t="inlineStr">
        <is>
          <t>kg</t>
        </is>
      </c>
      <c r="M2085" s="64" t="e">
        <v>#N/A</v>
      </c>
    </row>
    <row r="2086" ht="14.4" customHeight="1">
      <c r="G2086" s="74" t="inlineStr">
        <is>
          <t>kg</t>
        </is>
      </c>
      <c r="M2086" s="64" t="e">
        <v>#N/A</v>
      </c>
    </row>
    <row r="2087" ht="14.4" customHeight="1">
      <c r="G2087" s="74" t="inlineStr">
        <is>
          <t>kg</t>
        </is>
      </c>
      <c r="M2087" s="64" t="e">
        <v>#N/A</v>
      </c>
    </row>
    <row r="2088" ht="14.4" customHeight="1">
      <c r="G2088" s="74" t="inlineStr">
        <is>
          <t>kg</t>
        </is>
      </c>
      <c r="M2088" s="64" t="e">
        <v>#N/A</v>
      </c>
    </row>
    <row r="2089" ht="14.4" customHeight="1">
      <c r="G2089" s="74" t="inlineStr">
        <is>
          <t>kg</t>
        </is>
      </c>
      <c r="M2089" s="64" t="e">
        <v>#N/A</v>
      </c>
    </row>
    <row r="2090" ht="14.4" customHeight="1">
      <c r="G2090" s="74" t="inlineStr">
        <is>
          <t>kg</t>
        </is>
      </c>
      <c r="M2090" s="64" t="e">
        <v>#N/A</v>
      </c>
    </row>
    <row r="2091" ht="14.4" customHeight="1">
      <c r="G2091" s="74" t="inlineStr">
        <is>
          <t>kg</t>
        </is>
      </c>
      <c r="M2091" s="64" t="e">
        <v>#N/A</v>
      </c>
    </row>
    <row r="2092" ht="14.4" customHeight="1">
      <c r="G2092" s="74" t="inlineStr">
        <is>
          <t>kg</t>
        </is>
      </c>
      <c r="M2092" s="64" t="e">
        <v>#N/A</v>
      </c>
    </row>
    <row r="2093" ht="14.4" customHeight="1">
      <c r="G2093" s="74" t="inlineStr">
        <is>
          <t>kg</t>
        </is>
      </c>
      <c r="M2093" s="64" t="e">
        <v>#N/A</v>
      </c>
    </row>
    <row r="2094" ht="14.4" customHeight="1">
      <c r="G2094" s="74" t="inlineStr">
        <is>
          <t>kg</t>
        </is>
      </c>
      <c r="M2094" s="64" t="e">
        <v>#N/A</v>
      </c>
    </row>
    <row r="2095" ht="14.4" customHeight="1">
      <c r="G2095" s="74" t="inlineStr">
        <is>
          <t>kg</t>
        </is>
      </c>
      <c r="M2095" s="64" t="e">
        <v>#N/A</v>
      </c>
    </row>
    <row r="2096" ht="14.4" customHeight="1">
      <c r="G2096" s="74" t="inlineStr">
        <is>
          <t>kg</t>
        </is>
      </c>
      <c r="M2096" s="64" t="e">
        <v>#N/A</v>
      </c>
    </row>
    <row r="2097" ht="14.4" customHeight="1">
      <c r="G2097" s="74" t="inlineStr">
        <is>
          <t>kg</t>
        </is>
      </c>
      <c r="M2097" s="64" t="e">
        <v>#N/A</v>
      </c>
    </row>
    <row r="2098" ht="14.4" customHeight="1">
      <c r="G2098" s="74" t="inlineStr">
        <is>
          <t>kg</t>
        </is>
      </c>
      <c r="M2098" s="64" t="e">
        <v>#N/A</v>
      </c>
    </row>
    <row r="2099" ht="14.4" customHeight="1">
      <c r="G2099" s="74" t="inlineStr">
        <is>
          <t>kg</t>
        </is>
      </c>
      <c r="M2099" s="64" t="e">
        <v>#N/A</v>
      </c>
    </row>
    <row r="2100" ht="14.4" customHeight="1">
      <c r="G2100" s="74" t="inlineStr">
        <is>
          <t>kg</t>
        </is>
      </c>
      <c r="M2100" s="64" t="e">
        <v>#N/A</v>
      </c>
    </row>
    <row r="2101" ht="14.4" customHeight="1">
      <c r="G2101" s="74" t="inlineStr">
        <is>
          <t>kg</t>
        </is>
      </c>
      <c r="M2101" s="64" t="e">
        <v>#N/A</v>
      </c>
    </row>
    <row r="2102" ht="14.4" customHeight="1">
      <c r="G2102" s="74" t="inlineStr">
        <is>
          <t>kg</t>
        </is>
      </c>
      <c r="M2102" s="64" t="e">
        <v>#N/A</v>
      </c>
    </row>
    <row r="2103" ht="14.4" customHeight="1">
      <c r="G2103" s="74" t="inlineStr">
        <is>
          <t>kg</t>
        </is>
      </c>
      <c r="M2103" s="64" t="e">
        <v>#N/A</v>
      </c>
    </row>
    <row r="2104" ht="14.4" customHeight="1">
      <c r="G2104" s="74" t="inlineStr">
        <is>
          <t>kg</t>
        </is>
      </c>
      <c r="M2104" s="64" t="e">
        <v>#N/A</v>
      </c>
    </row>
    <row r="2105" ht="14.4" customHeight="1">
      <c r="G2105" s="74" t="inlineStr">
        <is>
          <t>kg</t>
        </is>
      </c>
      <c r="M2105" s="64" t="e">
        <v>#N/A</v>
      </c>
    </row>
    <row r="2106" ht="14.4" customHeight="1">
      <c r="G2106" s="74" t="inlineStr">
        <is>
          <t>kg</t>
        </is>
      </c>
      <c r="M2106" s="64" t="e">
        <v>#N/A</v>
      </c>
    </row>
    <row r="2107" ht="14.4" customHeight="1">
      <c r="G2107" s="74" t="inlineStr">
        <is>
          <t>kg</t>
        </is>
      </c>
      <c r="M2107" s="64" t="e">
        <v>#N/A</v>
      </c>
    </row>
    <row r="2108" ht="14.4" customHeight="1">
      <c r="G2108" s="74" t="inlineStr">
        <is>
          <t>kg</t>
        </is>
      </c>
      <c r="M2108" s="64" t="e">
        <v>#N/A</v>
      </c>
    </row>
    <row r="2109" ht="14.4" customHeight="1">
      <c r="G2109" s="74" t="inlineStr">
        <is>
          <t>kg</t>
        </is>
      </c>
      <c r="M2109" s="64" t="e">
        <v>#N/A</v>
      </c>
    </row>
    <row r="2110" ht="14.4" customHeight="1">
      <c r="G2110" s="74" t="inlineStr">
        <is>
          <t>kg</t>
        </is>
      </c>
      <c r="M2110" s="64" t="e">
        <v>#N/A</v>
      </c>
    </row>
    <row r="2111" ht="14.4" customHeight="1">
      <c r="G2111" s="74" t="inlineStr">
        <is>
          <t>kg</t>
        </is>
      </c>
      <c r="M2111" s="64" t="e">
        <v>#N/A</v>
      </c>
    </row>
    <row r="2112" ht="14.4" customHeight="1">
      <c r="G2112" s="74" t="inlineStr">
        <is>
          <t>kg</t>
        </is>
      </c>
      <c r="M2112" s="64" t="e">
        <v>#N/A</v>
      </c>
    </row>
    <row r="2113" ht="14.4" customHeight="1">
      <c r="G2113" s="74" t="inlineStr">
        <is>
          <t>kg</t>
        </is>
      </c>
      <c r="M2113" s="64" t="e">
        <v>#N/A</v>
      </c>
    </row>
    <row r="2114" ht="14.4" customHeight="1">
      <c r="G2114" s="74" t="inlineStr">
        <is>
          <t>kg</t>
        </is>
      </c>
      <c r="M2114" s="64" t="e">
        <v>#N/A</v>
      </c>
    </row>
    <row r="2115" ht="14.4" customHeight="1">
      <c r="G2115" s="74" t="inlineStr">
        <is>
          <t>kg</t>
        </is>
      </c>
      <c r="M2115" s="64" t="e">
        <v>#N/A</v>
      </c>
    </row>
    <row r="2116" ht="14.4" customHeight="1">
      <c r="G2116" s="74" t="inlineStr">
        <is>
          <t>kg</t>
        </is>
      </c>
      <c r="M2116" s="64" t="e">
        <v>#N/A</v>
      </c>
    </row>
    <row r="2117" ht="14.4" customHeight="1">
      <c r="G2117" s="74" t="inlineStr">
        <is>
          <t>kg</t>
        </is>
      </c>
      <c r="M2117" s="64" t="e">
        <v>#N/A</v>
      </c>
    </row>
    <row r="2118" ht="14.4" customHeight="1">
      <c r="G2118" s="74" t="inlineStr">
        <is>
          <t>kg</t>
        </is>
      </c>
      <c r="M2118" s="64" t="e">
        <v>#N/A</v>
      </c>
    </row>
    <row r="2119" ht="14.4" customHeight="1">
      <c r="G2119" s="74" t="inlineStr">
        <is>
          <t>kg</t>
        </is>
      </c>
      <c r="M2119" s="64" t="e">
        <v>#N/A</v>
      </c>
    </row>
    <row r="2120" ht="14.4" customHeight="1">
      <c r="G2120" s="74" t="inlineStr">
        <is>
          <t>kg</t>
        </is>
      </c>
      <c r="M2120" s="64" t="e">
        <v>#N/A</v>
      </c>
    </row>
    <row r="2121" ht="14.4" customHeight="1">
      <c r="G2121" s="74" t="inlineStr">
        <is>
          <t>kg</t>
        </is>
      </c>
      <c r="M2121" s="64" t="e">
        <v>#N/A</v>
      </c>
    </row>
    <row r="2122" ht="14.4" customHeight="1">
      <c r="G2122" s="74" t="inlineStr">
        <is>
          <t>kg</t>
        </is>
      </c>
      <c r="M2122" s="64" t="e">
        <v>#N/A</v>
      </c>
    </row>
    <row r="2123" ht="14.4" customHeight="1">
      <c r="G2123" s="74" t="inlineStr">
        <is>
          <t>kg</t>
        </is>
      </c>
      <c r="M2123" s="64" t="e">
        <v>#N/A</v>
      </c>
    </row>
    <row r="2124" ht="14.4" customHeight="1">
      <c r="G2124" s="74" t="inlineStr">
        <is>
          <t>kg</t>
        </is>
      </c>
      <c r="M2124" s="64" t="e">
        <v>#N/A</v>
      </c>
    </row>
    <row r="2125" ht="14.4" customHeight="1">
      <c r="G2125" s="74" t="inlineStr">
        <is>
          <t>kg</t>
        </is>
      </c>
      <c r="M2125" s="64" t="e">
        <v>#N/A</v>
      </c>
    </row>
    <row r="2126" ht="14.4" customHeight="1">
      <c r="G2126" s="74" t="inlineStr">
        <is>
          <t>kg</t>
        </is>
      </c>
      <c r="M2126" s="64" t="e">
        <v>#N/A</v>
      </c>
    </row>
    <row r="2127" ht="14.4" customHeight="1">
      <c r="G2127" s="74" t="inlineStr">
        <is>
          <t>kg</t>
        </is>
      </c>
      <c r="M2127" s="64" t="e">
        <v>#N/A</v>
      </c>
    </row>
    <row r="2128" ht="14.4" customHeight="1">
      <c r="G2128" s="74" t="inlineStr">
        <is>
          <t>kg</t>
        </is>
      </c>
      <c r="M2128" s="64" t="e">
        <v>#N/A</v>
      </c>
    </row>
    <row r="2129" ht="14.4" customHeight="1">
      <c r="G2129" s="74" t="inlineStr">
        <is>
          <t>kg</t>
        </is>
      </c>
      <c r="M2129" s="64" t="e">
        <v>#N/A</v>
      </c>
    </row>
    <row r="2130" ht="14.4" customHeight="1">
      <c r="G2130" s="74" t="inlineStr">
        <is>
          <t>kg</t>
        </is>
      </c>
      <c r="M2130" s="64" t="e">
        <v>#N/A</v>
      </c>
    </row>
    <row r="2131" ht="14.4" customHeight="1">
      <c r="G2131" s="74" t="inlineStr">
        <is>
          <t>kg</t>
        </is>
      </c>
      <c r="M2131" s="64" t="e">
        <v>#N/A</v>
      </c>
    </row>
    <row r="2132" ht="14.4" customHeight="1">
      <c r="G2132" s="74" t="inlineStr">
        <is>
          <t>kg</t>
        </is>
      </c>
      <c r="M2132" s="64" t="e">
        <v>#N/A</v>
      </c>
    </row>
    <row r="2133" ht="14.4" customHeight="1">
      <c r="G2133" s="74" t="inlineStr">
        <is>
          <t>kg</t>
        </is>
      </c>
      <c r="M2133" s="64" t="e">
        <v>#N/A</v>
      </c>
    </row>
    <row r="2134" ht="14.4" customHeight="1">
      <c r="G2134" s="74" t="inlineStr">
        <is>
          <t>kg</t>
        </is>
      </c>
      <c r="M2134" s="64" t="e">
        <v>#N/A</v>
      </c>
    </row>
    <row r="2135" ht="14.4" customHeight="1">
      <c r="G2135" s="74" t="inlineStr">
        <is>
          <t>kg</t>
        </is>
      </c>
      <c r="M2135" s="64" t="e">
        <v>#N/A</v>
      </c>
    </row>
    <row r="2136" ht="14.4" customHeight="1">
      <c r="G2136" s="74" t="inlineStr">
        <is>
          <t>kg</t>
        </is>
      </c>
      <c r="M2136" s="64" t="e">
        <v>#N/A</v>
      </c>
    </row>
    <row r="2137" ht="14.4" customHeight="1">
      <c r="G2137" s="74" t="inlineStr">
        <is>
          <t>kg</t>
        </is>
      </c>
      <c r="M2137" s="64" t="e">
        <v>#N/A</v>
      </c>
    </row>
    <row r="2138" ht="14.4" customHeight="1">
      <c r="G2138" s="74" t="inlineStr">
        <is>
          <t>kg</t>
        </is>
      </c>
      <c r="M2138" s="64" t="e">
        <v>#N/A</v>
      </c>
    </row>
    <row r="2139" ht="14.4" customHeight="1">
      <c r="G2139" s="74" t="inlineStr">
        <is>
          <t>kg</t>
        </is>
      </c>
      <c r="M2139" s="64" t="e">
        <v>#N/A</v>
      </c>
    </row>
    <row r="2140" ht="14.4" customHeight="1">
      <c r="G2140" s="74" t="inlineStr">
        <is>
          <t>kg</t>
        </is>
      </c>
      <c r="M2140" s="64" t="e">
        <v>#N/A</v>
      </c>
    </row>
    <row r="2141" ht="14.4" customHeight="1">
      <c r="G2141" s="74" t="inlineStr">
        <is>
          <t>kg</t>
        </is>
      </c>
      <c r="M2141" s="64" t="e">
        <v>#N/A</v>
      </c>
    </row>
    <row r="2142" ht="14.4" customHeight="1">
      <c r="G2142" s="74" t="inlineStr">
        <is>
          <t>kg</t>
        </is>
      </c>
      <c r="M2142" s="64" t="e">
        <v>#N/A</v>
      </c>
    </row>
    <row r="2143" ht="14.4" customHeight="1">
      <c r="G2143" s="74" t="inlineStr">
        <is>
          <t>kg</t>
        </is>
      </c>
      <c r="M2143" s="64" t="e">
        <v>#N/A</v>
      </c>
    </row>
    <row r="2144" ht="14.4" customHeight="1">
      <c r="G2144" s="74" t="inlineStr">
        <is>
          <t>kg</t>
        </is>
      </c>
      <c r="M2144" s="64" t="e">
        <v>#N/A</v>
      </c>
    </row>
    <row r="2145" ht="14.4" customHeight="1">
      <c r="G2145" s="74" t="inlineStr">
        <is>
          <t>kg</t>
        </is>
      </c>
      <c r="M2145" s="64" t="e">
        <v>#N/A</v>
      </c>
    </row>
    <row r="2146" ht="14.4" customHeight="1">
      <c r="G2146" s="74" t="inlineStr">
        <is>
          <t>kg</t>
        </is>
      </c>
      <c r="M2146" s="64" t="e">
        <v>#N/A</v>
      </c>
    </row>
    <row r="2147" ht="14.4" customHeight="1">
      <c r="G2147" s="74" t="inlineStr">
        <is>
          <t>kg</t>
        </is>
      </c>
      <c r="M2147" s="64" t="e">
        <v>#N/A</v>
      </c>
    </row>
    <row r="2148" ht="14.4" customHeight="1">
      <c r="G2148" s="74" t="inlineStr">
        <is>
          <t>kg</t>
        </is>
      </c>
      <c r="M2148" s="64" t="e">
        <v>#N/A</v>
      </c>
    </row>
    <row r="2149" ht="14.4" customHeight="1">
      <c r="G2149" s="74" t="inlineStr">
        <is>
          <t>kg</t>
        </is>
      </c>
      <c r="M2149" s="64" t="e">
        <v>#N/A</v>
      </c>
    </row>
    <row r="2150" ht="14.4" customHeight="1">
      <c r="G2150" s="74" t="inlineStr">
        <is>
          <t>kg</t>
        </is>
      </c>
      <c r="M2150" s="64" t="e">
        <v>#N/A</v>
      </c>
    </row>
    <row r="2151" ht="14.4" customHeight="1">
      <c r="G2151" s="74" t="inlineStr">
        <is>
          <t>kg</t>
        </is>
      </c>
      <c r="M2151" s="64" t="e">
        <v>#N/A</v>
      </c>
    </row>
    <row r="2152" ht="14.4" customHeight="1">
      <c r="G2152" s="74" t="inlineStr">
        <is>
          <t>kg</t>
        </is>
      </c>
      <c r="M2152" s="64" t="e">
        <v>#N/A</v>
      </c>
    </row>
    <row r="2153" ht="14.4" customHeight="1">
      <c r="G2153" s="74" t="inlineStr">
        <is>
          <t>kg</t>
        </is>
      </c>
      <c r="M2153" s="64" t="e">
        <v>#N/A</v>
      </c>
    </row>
    <row r="2154" ht="14.4" customHeight="1">
      <c r="G2154" s="74" t="inlineStr">
        <is>
          <t>kg</t>
        </is>
      </c>
      <c r="M2154" s="64" t="e">
        <v>#N/A</v>
      </c>
    </row>
    <row r="2155" ht="14.4" customHeight="1">
      <c r="G2155" s="74" t="inlineStr">
        <is>
          <t>kg</t>
        </is>
      </c>
      <c r="M2155" s="64" t="e">
        <v>#N/A</v>
      </c>
    </row>
    <row r="2156" ht="14.4" customHeight="1">
      <c r="G2156" s="74" t="inlineStr">
        <is>
          <t>kg</t>
        </is>
      </c>
      <c r="M2156" s="64" t="e">
        <v>#N/A</v>
      </c>
    </row>
    <row r="2157" ht="14.4" customHeight="1">
      <c r="G2157" s="74" t="inlineStr">
        <is>
          <t>kg</t>
        </is>
      </c>
      <c r="M2157" s="64" t="e">
        <v>#N/A</v>
      </c>
    </row>
    <row r="2158" ht="14.4" customHeight="1">
      <c r="G2158" s="74" t="inlineStr">
        <is>
          <t>kg</t>
        </is>
      </c>
      <c r="M2158" s="64" t="e">
        <v>#N/A</v>
      </c>
    </row>
    <row r="2159" ht="14.4" customHeight="1">
      <c r="G2159" s="74" t="inlineStr">
        <is>
          <t>kg</t>
        </is>
      </c>
      <c r="M2159" s="64" t="e">
        <v>#N/A</v>
      </c>
    </row>
    <row r="2160" ht="14.4" customHeight="1">
      <c r="G2160" s="74" t="inlineStr">
        <is>
          <t>kg</t>
        </is>
      </c>
      <c r="M2160" s="64" t="e">
        <v>#N/A</v>
      </c>
    </row>
    <row r="2161" ht="14.4" customHeight="1">
      <c r="G2161" s="74" t="inlineStr">
        <is>
          <t>kg</t>
        </is>
      </c>
      <c r="M2161" s="64" t="e">
        <v>#N/A</v>
      </c>
    </row>
    <row r="2162" ht="14.4" customHeight="1">
      <c r="G2162" s="74" t="inlineStr">
        <is>
          <t>kg</t>
        </is>
      </c>
      <c r="M2162" s="64" t="e">
        <v>#N/A</v>
      </c>
    </row>
    <row r="2163" ht="14.4" customHeight="1">
      <c r="G2163" s="74" t="inlineStr">
        <is>
          <t>kg</t>
        </is>
      </c>
      <c r="M2163" s="64" t="e">
        <v>#N/A</v>
      </c>
    </row>
    <row r="2164" ht="14.4" customHeight="1">
      <c r="G2164" s="74" t="inlineStr">
        <is>
          <t>kg</t>
        </is>
      </c>
      <c r="M2164" s="64" t="e">
        <v>#N/A</v>
      </c>
    </row>
    <row r="2165" ht="14.4" customHeight="1">
      <c r="G2165" s="74" t="inlineStr">
        <is>
          <t>kg</t>
        </is>
      </c>
      <c r="M2165" s="64" t="e">
        <v>#N/A</v>
      </c>
    </row>
    <row r="2166" ht="14.4" customHeight="1">
      <c r="G2166" s="74" t="inlineStr">
        <is>
          <t>kg</t>
        </is>
      </c>
      <c r="M2166" s="64" t="e">
        <v>#N/A</v>
      </c>
    </row>
    <row r="2167" ht="14.4" customHeight="1">
      <c r="G2167" s="74" t="inlineStr">
        <is>
          <t>kg</t>
        </is>
      </c>
      <c r="M2167" s="64" t="e">
        <v>#N/A</v>
      </c>
    </row>
    <row r="2168" ht="14.4" customHeight="1">
      <c r="G2168" s="74" t="inlineStr">
        <is>
          <t>kg</t>
        </is>
      </c>
      <c r="M2168" s="64" t="e">
        <v>#N/A</v>
      </c>
    </row>
    <row r="2169" ht="14.4" customHeight="1">
      <c r="G2169" s="74" t="inlineStr">
        <is>
          <t>kg</t>
        </is>
      </c>
      <c r="M2169" s="64" t="e">
        <v>#N/A</v>
      </c>
    </row>
    <row r="2170" ht="14.4" customHeight="1">
      <c r="G2170" s="74" t="inlineStr">
        <is>
          <t>kg</t>
        </is>
      </c>
      <c r="M2170" s="64" t="e">
        <v>#N/A</v>
      </c>
    </row>
    <row r="2171" ht="14.4" customHeight="1">
      <c r="G2171" s="74" t="inlineStr">
        <is>
          <t>kg</t>
        </is>
      </c>
      <c r="M2171" s="64" t="e">
        <v>#N/A</v>
      </c>
    </row>
    <row r="2172" ht="14.4" customHeight="1">
      <c r="G2172" s="74" t="inlineStr">
        <is>
          <t>kg</t>
        </is>
      </c>
      <c r="M2172" s="64" t="e">
        <v>#N/A</v>
      </c>
    </row>
    <row r="2173" ht="14.4" customHeight="1">
      <c r="G2173" s="74" t="inlineStr">
        <is>
          <t>kg</t>
        </is>
      </c>
      <c r="M2173" s="64" t="e">
        <v>#N/A</v>
      </c>
    </row>
    <row r="2174" ht="14.4" customHeight="1">
      <c r="G2174" s="74" t="inlineStr">
        <is>
          <t>kg</t>
        </is>
      </c>
      <c r="M2174" s="64" t="e">
        <v>#N/A</v>
      </c>
    </row>
    <row r="2175" ht="14.4" customHeight="1">
      <c r="G2175" s="74" t="inlineStr">
        <is>
          <t>kg</t>
        </is>
      </c>
      <c r="M2175" s="64" t="e">
        <v>#N/A</v>
      </c>
    </row>
    <row r="2176" ht="14.4" customHeight="1">
      <c r="G2176" s="74" t="inlineStr">
        <is>
          <t>kg</t>
        </is>
      </c>
      <c r="M2176" s="64" t="e">
        <v>#N/A</v>
      </c>
    </row>
    <row r="2177" ht="14.4" customHeight="1">
      <c r="G2177" s="74" t="inlineStr">
        <is>
          <t>kg</t>
        </is>
      </c>
      <c r="M2177" s="64" t="e">
        <v>#N/A</v>
      </c>
    </row>
    <row r="2178" ht="14.4" customHeight="1">
      <c r="G2178" s="74" t="inlineStr">
        <is>
          <t>kg</t>
        </is>
      </c>
      <c r="M2178" s="64" t="e">
        <v>#N/A</v>
      </c>
    </row>
    <row r="2179" ht="14.4" customHeight="1">
      <c r="G2179" s="74" t="inlineStr">
        <is>
          <t>kg</t>
        </is>
      </c>
      <c r="M2179" s="64" t="e">
        <v>#N/A</v>
      </c>
    </row>
    <row r="2180" ht="14.4" customHeight="1">
      <c r="G2180" s="74" t="inlineStr">
        <is>
          <t>kg</t>
        </is>
      </c>
      <c r="M2180" s="64" t="e">
        <v>#N/A</v>
      </c>
    </row>
    <row r="2181" ht="14.4" customHeight="1">
      <c r="G2181" s="74" t="inlineStr">
        <is>
          <t>kg</t>
        </is>
      </c>
      <c r="M2181" s="64" t="e">
        <v>#N/A</v>
      </c>
    </row>
    <row r="2182" ht="14.4" customHeight="1">
      <c r="G2182" s="74" t="inlineStr">
        <is>
          <t>kg</t>
        </is>
      </c>
      <c r="M2182" s="64" t="e">
        <v>#N/A</v>
      </c>
    </row>
    <row r="2183" ht="14.4" customHeight="1">
      <c r="G2183" s="74" t="inlineStr">
        <is>
          <t>kg</t>
        </is>
      </c>
      <c r="M2183" s="64" t="e">
        <v>#N/A</v>
      </c>
    </row>
    <row r="2184" ht="14.4" customHeight="1">
      <c r="G2184" s="74" t="inlineStr">
        <is>
          <t>kg</t>
        </is>
      </c>
      <c r="M2184" s="64" t="e">
        <v>#N/A</v>
      </c>
    </row>
    <row r="2185" ht="14.4" customHeight="1">
      <c r="G2185" s="74" t="inlineStr">
        <is>
          <t>kg</t>
        </is>
      </c>
      <c r="M2185" s="64" t="e">
        <v>#N/A</v>
      </c>
    </row>
    <row r="2186" ht="14.4" customHeight="1">
      <c r="G2186" s="74" t="inlineStr">
        <is>
          <t>kg</t>
        </is>
      </c>
      <c r="M2186" s="64" t="e">
        <v>#N/A</v>
      </c>
    </row>
    <row r="2187" ht="14.4" customHeight="1">
      <c r="G2187" s="74" t="inlineStr">
        <is>
          <t>kg</t>
        </is>
      </c>
      <c r="M2187" s="64" t="e">
        <v>#N/A</v>
      </c>
    </row>
    <row r="2188" ht="14.4" customHeight="1">
      <c r="G2188" s="74" t="inlineStr">
        <is>
          <t>kg</t>
        </is>
      </c>
      <c r="M2188" s="64" t="e">
        <v>#N/A</v>
      </c>
    </row>
    <row r="2189" ht="14.4" customHeight="1">
      <c r="G2189" s="74" t="inlineStr">
        <is>
          <t>kg</t>
        </is>
      </c>
      <c r="M2189" s="64" t="e">
        <v>#N/A</v>
      </c>
    </row>
    <row r="2190" ht="14.4" customHeight="1">
      <c r="G2190" s="74" t="inlineStr">
        <is>
          <t>kg</t>
        </is>
      </c>
      <c r="M2190" s="64" t="e">
        <v>#N/A</v>
      </c>
    </row>
    <row r="2191" ht="14.4" customHeight="1">
      <c r="G2191" s="74" t="inlineStr">
        <is>
          <t>kg</t>
        </is>
      </c>
      <c r="M2191" s="64" t="e">
        <v>#N/A</v>
      </c>
    </row>
    <row r="2192" ht="14.4" customHeight="1">
      <c r="G2192" s="74" t="inlineStr">
        <is>
          <t>kg</t>
        </is>
      </c>
      <c r="M2192" s="64" t="e">
        <v>#N/A</v>
      </c>
    </row>
    <row r="2193" ht="14.4" customHeight="1">
      <c r="G2193" s="74" t="inlineStr">
        <is>
          <t>kg</t>
        </is>
      </c>
      <c r="M2193" s="64" t="e">
        <v>#N/A</v>
      </c>
    </row>
    <row r="2194" ht="14.4" customHeight="1">
      <c r="G2194" s="74" t="inlineStr">
        <is>
          <t>kg</t>
        </is>
      </c>
      <c r="M2194" s="64" t="e">
        <v>#N/A</v>
      </c>
    </row>
    <row r="2195" ht="14.4" customHeight="1">
      <c r="G2195" s="74" t="inlineStr">
        <is>
          <t>kg</t>
        </is>
      </c>
      <c r="M2195" s="64" t="e">
        <v>#N/A</v>
      </c>
    </row>
    <row r="2196" ht="14.4" customHeight="1">
      <c r="G2196" s="74" t="inlineStr">
        <is>
          <t>kg</t>
        </is>
      </c>
      <c r="M2196" s="64" t="e">
        <v>#N/A</v>
      </c>
    </row>
    <row r="2197" ht="14.4" customHeight="1">
      <c r="G2197" s="74" t="inlineStr">
        <is>
          <t>kg</t>
        </is>
      </c>
      <c r="M2197" s="64" t="e">
        <v>#N/A</v>
      </c>
    </row>
    <row r="2198" ht="14.4" customHeight="1">
      <c r="G2198" s="74" t="inlineStr">
        <is>
          <t>kg</t>
        </is>
      </c>
      <c r="M2198" s="64" t="e">
        <v>#N/A</v>
      </c>
    </row>
    <row r="2199" ht="14.4" customHeight="1">
      <c r="G2199" s="74" t="inlineStr">
        <is>
          <t>kg</t>
        </is>
      </c>
      <c r="M2199" s="64" t="e">
        <v>#N/A</v>
      </c>
    </row>
    <row r="2200" ht="14.4" customHeight="1">
      <c r="G2200" s="74" t="inlineStr">
        <is>
          <t>kg</t>
        </is>
      </c>
      <c r="M2200" s="64" t="e">
        <v>#N/A</v>
      </c>
    </row>
    <row r="2201" ht="14.4" customHeight="1">
      <c r="G2201" s="74" t="inlineStr">
        <is>
          <t>kg</t>
        </is>
      </c>
      <c r="M2201" s="64" t="e">
        <v>#N/A</v>
      </c>
    </row>
    <row r="2202" ht="14.4" customHeight="1">
      <c r="G2202" s="74" t="inlineStr">
        <is>
          <t>kg</t>
        </is>
      </c>
      <c r="M2202" s="64" t="e">
        <v>#N/A</v>
      </c>
    </row>
    <row r="2203" ht="14.4" customHeight="1">
      <c r="G2203" s="74" t="inlineStr">
        <is>
          <t>kg</t>
        </is>
      </c>
      <c r="M2203" s="64" t="e">
        <v>#N/A</v>
      </c>
    </row>
    <row r="2204" ht="14.4" customHeight="1">
      <c r="G2204" s="74" t="inlineStr">
        <is>
          <t>kg</t>
        </is>
      </c>
      <c r="M2204" s="64" t="e">
        <v>#N/A</v>
      </c>
    </row>
    <row r="2205" ht="14.4" customHeight="1">
      <c r="G2205" s="74" t="inlineStr">
        <is>
          <t>kg</t>
        </is>
      </c>
      <c r="M2205" s="64" t="e">
        <v>#N/A</v>
      </c>
    </row>
    <row r="2206" ht="14.4" customHeight="1">
      <c r="G2206" s="74" t="inlineStr">
        <is>
          <t>kg</t>
        </is>
      </c>
      <c r="M2206" s="64" t="e">
        <v>#N/A</v>
      </c>
    </row>
    <row r="2207" ht="14.4" customHeight="1">
      <c r="G2207" s="74" t="inlineStr">
        <is>
          <t>kg</t>
        </is>
      </c>
      <c r="M2207" s="64" t="e">
        <v>#N/A</v>
      </c>
    </row>
    <row r="2208" ht="14.4" customHeight="1">
      <c r="G2208" s="74" t="inlineStr">
        <is>
          <t>kg</t>
        </is>
      </c>
      <c r="M2208" s="64" t="e">
        <v>#N/A</v>
      </c>
    </row>
    <row r="2209" ht="14.4" customHeight="1">
      <c r="G2209" s="74" t="inlineStr">
        <is>
          <t>kg</t>
        </is>
      </c>
      <c r="M2209" s="64" t="e">
        <v>#N/A</v>
      </c>
    </row>
    <row r="2210" ht="14.4" customHeight="1">
      <c r="G2210" s="74" t="inlineStr">
        <is>
          <t>kg</t>
        </is>
      </c>
      <c r="M2210" s="64" t="e">
        <v>#N/A</v>
      </c>
    </row>
    <row r="2211" ht="14.4" customHeight="1">
      <c r="G2211" s="74" t="inlineStr">
        <is>
          <t>kg</t>
        </is>
      </c>
      <c r="M2211" s="64" t="e">
        <v>#N/A</v>
      </c>
    </row>
    <row r="2212" ht="14.4" customHeight="1">
      <c r="G2212" s="74" t="inlineStr">
        <is>
          <t>kg</t>
        </is>
      </c>
      <c r="M2212" s="64" t="e">
        <v>#N/A</v>
      </c>
    </row>
    <row r="2213" ht="14.4" customHeight="1">
      <c r="G2213" s="74" t="inlineStr">
        <is>
          <t>kg</t>
        </is>
      </c>
      <c r="M2213" s="64" t="e">
        <v>#N/A</v>
      </c>
    </row>
    <row r="2214" ht="14.4" customHeight="1">
      <c r="G2214" s="74" t="inlineStr">
        <is>
          <t>kg</t>
        </is>
      </c>
      <c r="M2214" s="64" t="e">
        <v>#N/A</v>
      </c>
    </row>
    <row r="2215" ht="14.4" customHeight="1">
      <c r="G2215" s="74" t="inlineStr">
        <is>
          <t>kg</t>
        </is>
      </c>
      <c r="M2215" s="64" t="e">
        <v>#N/A</v>
      </c>
    </row>
    <row r="2216" ht="14.4" customHeight="1">
      <c r="G2216" s="74" t="inlineStr">
        <is>
          <t>kg</t>
        </is>
      </c>
      <c r="M2216" s="64" t="e">
        <v>#N/A</v>
      </c>
    </row>
    <row r="2217" ht="14.4" customHeight="1">
      <c r="G2217" s="74" t="inlineStr">
        <is>
          <t>kg</t>
        </is>
      </c>
      <c r="M2217" s="64" t="e">
        <v>#N/A</v>
      </c>
    </row>
    <row r="2218" ht="14.4" customHeight="1">
      <c r="G2218" s="74" t="inlineStr">
        <is>
          <t>kg</t>
        </is>
      </c>
      <c r="M2218" s="64" t="e">
        <v>#N/A</v>
      </c>
    </row>
    <row r="2219" ht="14.4" customHeight="1">
      <c r="G2219" s="74" t="inlineStr">
        <is>
          <t>kg</t>
        </is>
      </c>
      <c r="M2219" s="64" t="e">
        <v>#N/A</v>
      </c>
    </row>
    <row r="2220" ht="14.4" customHeight="1">
      <c r="G2220" s="74" t="inlineStr">
        <is>
          <t>kg</t>
        </is>
      </c>
      <c r="M2220" s="64" t="e">
        <v>#N/A</v>
      </c>
    </row>
    <row r="2221" ht="14.4" customHeight="1">
      <c r="G2221" s="74" t="inlineStr">
        <is>
          <t>kg</t>
        </is>
      </c>
      <c r="M2221" s="64" t="e">
        <v>#N/A</v>
      </c>
    </row>
    <row r="2222" ht="14.4" customHeight="1">
      <c r="G2222" s="74" t="inlineStr">
        <is>
          <t>kg</t>
        </is>
      </c>
      <c r="M2222" s="64" t="e">
        <v>#N/A</v>
      </c>
    </row>
    <row r="2223" ht="14.4" customHeight="1">
      <c r="G2223" s="74" t="inlineStr">
        <is>
          <t>kg</t>
        </is>
      </c>
      <c r="M2223" s="64" t="e">
        <v>#N/A</v>
      </c>
    </row>
    <row r="2224" ht="14.4" customHeight="1">
      <c r="G2224" s="74" t="inlineStr">
        <is>
          <t>kg</t>
        </is>
      </c>
      <c r="M2224" s="64" t="e">
        <v>#N/A</v>
      </c>
    </row>
    <row r="2225" ht="14.4" customHeight="1">
      <c r="G2225" s="74" t="inlineStr">
        <is>
          <t>kg</t>
        </is>
      </c>
      <c r="M2225" s="64" t="e">
        <v>#N/A</v>
      </c>
    </row>
    <row r="2226" ht="14.4" customHeight="1">
      <c r="G2226" s="74" t="inlineStr">
        <is>
          <t>kg</t>
        </is>
      </c>
      <c r="M2226" s="64" t="e">
        <v>#N/A</v>
      </c>
    </row>
    <row r="2227" ht="14.4" customHeight="1">
      <c r="G2227" s="74" t="inlineStr">
        <is>
          <t>kg</t>
        </is>
      </c>
      <c r="M2227" s="64" t="e">
        <v>#N/A</v>
      </c>
    </row>
    <row r="2228" ht="14.4" customHeight="1">
      <c r="G2228" s="74" t="inlineStr">
        <is>
          <t>kg</t>
        </is>
      </c>
      <c r="M2228" s="64" t="e">
        <v>#N/A</v>
      </c>
    </row>
    <row r="2229" ht="14.4" customHeight="1">
      <c r="G2229" s="74" t="inlineStr">
        <is>
          <t>kg</t>
        </is>
      </c>
      <c r="M2229" s="64" t="e">
        <v>#N/A</v>
      </c>
    </row>
    <row r="2230" ht="14.4" customHeight="1">
      <c r="G2230" s="74" t="inlineStr">
        <is>
          <t>kg</t>
        </is>
      </c>
      <c r="M2230" s="64" t="e">
        <v>#N/A</v>
      </c>
    </row>
    <row r="2231" ht="14.4" customHeight="1">
      <c r="G2231" s="74" t="inlineStr">
        <is>
          <t>kg</t>
        </is>
      </c>
      <c r="M2231" s="64" t="e">
        <v>#N/A</v>
      </c>
    </row>
    <row r="2232" ht="14.4" customHeight="1">
      <c r="G2232" s="74" t="inlineStr">
        <is>
          <t>kg</t>
        </is>
      </c>
      <c r="M2232" s="64" t="e">
        <v>#N/A</v>
      </c>
    </row>
    <row r="2233" ht="14.4" customHeight="1">
      <c r="G2233" s="74" t="inlineStr">
        <is>
          <t>kg</t>
        </is>
      </c>
      <c r="M2233" s="64" t="e">
        <v>#N/A</v>
      </c>
    </row>
    <row r="2234" ht="14.4" customHeight="1">
      <c r="G2234" s="74" t="inlineStr">
        <is>
          <t>kg</t>
        </is>
      </c>
      <c r="M2234" s="64" t="e">
        <v>#N/A</v>
      </c>
    </row>
    <row r="2235" ht="14.4" customHeight="1">
      <c r="G2235" s="74" t="inlineStr">
        <is>
          <t>kg</t>
        </is>
      </c>
      <c r="M2235" s="64" t="e">
        <v>#N/A</v>
      </c>
    </row>
    <row r="2236" ht="14.4" customHeight="1">
      <c r="G2236" s="74" t="inlineStr">
        <is>
          <t>kg</t>
        </is>
      </c>
      <c r="M2236" s="64" t="e">
        <v>#N/A</v>
      </c>
    </row>
    <row r="2237" ht="14.4" customHeight="1">
      <c r="G2237" s="74" t="inlineStr">
        <is>
          <t>kg</t>
        </is>
      </c>
      <c r="M2237" s="64" t="e">
        <v>#N/A</v>
      </c>
    </row>
    <row r="2238" ht="14.4" customHeight="1">
      <c r="G2238" s="74" t="inlineStr">
        <is>
          <t>kg</t>
        </is>
      </c>
      <c r="M2238" s="64" t="e">
        <v>#N/A</v>
      </c>
    </row>
    <row r="2239" ht="14.4" customHeight="1">
      <c r="G2239" s="74" t="inlineStr">
        <is>
          <t>kg</t>
        </is>
      </c>
      <c r="M2239" s="64" t="e">
        <v>#N/A</v>
      </c>
    </row>
    <row r="2240" ht="14.4" customHeight="1">
      <c r="G2240" s="74" t="inlineStr">
        <is>
          <t>kg</t>
        </is>
      </c>
      <c r="M2240" s="64" t="e">
        <v>#N/A</v>
      </c>
    </row>
    <row r="2241" ht="14.4" customHeight="1">
      <c r="G2241" s="74" t="inlineStr">
        <is>
          <t>kg</t>
        </is>
      </c>
      <c r="M2241" s="64" t="e">
        <v>#N/A</v>
      </c>
    </row>
    <row r="2242" ht="14.4" customHeight="1">
      <c r="G2242" s="74" t="inlineStr">
        <is>
          <t>kg</t>
        </is>
      </c>
      <c r="M2242" s="64" t="e">
        <v>#N/A</v>
      </c>
    </row>
    <row r="2243" ht="14.4" customHeight="1">
      <c r="G2243" s="74" t="inlineStr">
        <is>
          <t>kg</t>
        </is>
      </c>
      <c r="M2243" s="64" t="e">
        <v>#N/A</v>
      </c>
    </row>
    <row r="2244" ht="14.4" customHeight="1">
      <c r="G2244" s="74" t="inlineStr">
        <is>
          <t>kg</t>
        </is>
      </c>
      <c r="M2244" s="64" t="e">
        <v>#N/A</v>
      </c>
    </row>
    <row r="2245" ht="14.4" customHeight="1">
      <c r="G2245" s="74" t="inlineStr">
        <is>
          <t>kg</t>
        </is>
      </c>
      <c r="M2245" s="64" t="e">
        <v>#N/A</v>
      </c>
    </row>
    <row r="2246" ht="14.4" customHeight="1">
      <c r="G2246" s="74" t="inlineStr">
        <is>
          <t>kg</t>
        </is>
      </c>
      <c r="M2246" s="64" t="e">
        <v>#N/A</v>
      </c>
    </row>
    <row r="2247" ht="14.4" customHeight="1">
      <c r="G2247" s="74" t="inlineStr">
        <is>
          <t>kg</t>
        </is>
      </c>
      <c r="M2247" s="64" t="e">
        <v>#N/A</v>
      </c>
    </row>
    <row r="2248" ht="14.4" customHeight="1">
      <c r="G2248" s="74" t="inlineStr">
        <is>
          <t>kg</t>
        </is>
      </c>
      <c r="M2248" s="64" t="e">
        <v>#N/A</v>
      </c>
    </row>
    <row r="2249" ht="14.4" customHeight="1">
      <c r="G2249" s="74" t="inlineStr">
        <is>
          <t>kg</t>
        </is>
      </c>
      <c r="M2249" s="64" t="e">
        <v>#N/A</v>
      </c>
    </row>
    <row r="2250" ht="14.4" customHeight="1">
      <c r="G2250" s="74" t="inlineStr">
        <is>
          <t>kg</t>
        </is>
      </c>
      <c r="M2250" s="64" t="e">
        <v>#N/A</v>
      </c>
    </row>
    <row r="2251" ht="14.4" customHeight="1">
      <c r="G2251" s="74" t="inlineStr">
        <is>
          <t>kg</t>
        </is>
      </c>
      <c r="M2251" s="64" t="e">
        <v>#N/A</v>
      </c>
    </row>
    <row r="2252" ht="14.4" customHeight="1">
      <c r="G2252" s="74" t="inlineStr">
        <is>
          <t>kg</t>
        </is>
      </c>
      <c r="M2252" s="64" t="e">
        <v>#N/A</v>
      </c>
    </row>
    <row r="2253" ht="14.4" customHeight="1">
      <c r="G2253" s="74" t="inlineStr">
        <is>
          <t>kg</t>
        </is>
      </c>
      <c r="M2253" s="64" t="e">
        <v>#N/A</v>
      </c>
    </row>
    <row r="2254" ht="14.4" customHeight="1">
      <c r="G2254" s="74" t="inlineStr">
        <is>
          <t>kg</t>
        </is>
      </c>
      <c r="M2254" s="64" t="e">
        <v>#N/A</v>
      </c>
    </row>
    <row r="2255" ht="14.4" customHeight="1">
      <c r="G2255" s="74" t="inlineStr">
        <is>
          <t>kg</t>
        </is>
      </c>
      <c r="M2255" s="64" t="e">
        <v>#N/A</v>
      </c>
    </row>
    <row r="2256" ht="14.4" customHeight="1">
      <c r="G2256" s="74" t="inlineStr">
        <is>
          <t>kg</t>
        </is>
      </c>
      <c r="M2256" s="64" t="e">
        <v>#N/A</v>
      </c>
    </row>
    <row r="2257" ht="14.4" customHeight="1">
      <c r="G2257" s="74" t="inlineStr">
        <is>
          <t>kg</t>
        </is>
      </c>
      <c r="M2257" s="64" t="e">
        <v>#N/A</v>
      </c>
    </row>
    <row r="2258" ht="14.4" customHeight="1">
      <c r="G2258" s="74" t="inlineStr">
        <is>
          <t>kg</t>
        </is>
      </c>
      <c r="M2258" s="64" t="e">
        <v>#N/A</v>
      </c>
    </row>
    <row r="2259" ht="14.4" customHeight="1">
      <c r="G2259" s="74" t="inlineStr">
        <is>
          <t>kg</t>
        </is>
      </c>
      <c r="M2259" s="64" t="e">
        <v>#N/A</v>
      </c>
    </row>
    <row r="2260" ht="14.4" customHeight="1">
      <c r="G2260" s="74" t="inlineStr">
        <is>
          <t>kg</t>
        </is>
      </c>
      <c r="M2260" s="64" t="e">
        <v>#N/A</v>
      </c>
    </row>
    <row r="2261" ht="14.4" customHeight="1">
      <c r="G2261" s="74" t="inlineStr">
        <is>
          <t>kg</t>
        </is>
      </c>
      <c r="M2261" s="64" t="e">
        <v>#N/A</v>
      </c>
    </row>
    <row r="2262" ht="14.4" customHeight="1">
      <c r="G2262" s="74" t="inlineStr">
        <is>
          <t>kg</t>
        </is>
      </c>
      <c r="M2262" s="64" t="e">
        <v>#N/A</v>
      </c>
    </row>
    <row r="2263" ht="14.4" customHeight="1">
      <c r="G2263" s="74" t="inlineStr">
        <is>
          <t>kg</t>
        </is>
      </c>
      <c r="M2263" s="64" t="e">
        <v>#N/A</v>
      </c>
    </row>
    <row r="2264" ht="14.4" customHeight="1">
      <c r="G2264" s="74" t="inlineStr">
        <is>
          <t>kg</t>
        </is>
      </c>
      <c r="M2264" s="64" t="e">
        <v>#N/A</v>
      </c>
    </row>
    <row r="2265" ht="14.4" customHeight="1">
      <c r="G2265" s="74" t="inlineStr">
        <is>
          <t>kg</t>
        </is>
      </c>
      <c r="M2265" s="64" t="e">
        <v>#N/A</v>
      </c>
    </row>
    <row r="2266" ht="14.4" customHeight="1">
      <c r="G2266" s="74" t="inlineStr">
        <is>
          <t>kg</t>
        </is>
      </c>
      <c r="M2266" s="64" t="e">
        <v>#N/A</v>
      </c>
    </row>
    <row r="2267" ht="14.4" customHeight="1">
      <c r="G2267" s="74" t="inlineStr">
        <is>
          <t>kg</t>
        </is>
      </c>
      <c r="M2267" s="64" t="e">
        <v>#N/A</v>
      </c>
    </row>
    <row r="2268" ht="14.4" customHeight="1">
      <c r="G2268" s="74" t="inlineStr">
        <is>
          <t>kg</t>
        </is>
      </c>
      <c r="M2268" s="64" t="e">
        <v>#N/A</v>
      </c>
    </row>
    <row r="2269" ht="14.4" customHeight="1">
      <c r="G2269" s="74" t="inlineStr">
        <is>
          <t>kg</t>
        </is>
      </c>
      <c r="M2269" s="64" t="e">
        <v>#N/A</v>
      </c>
    </row>
    <row r="2270" ht="14.4" customHeight="1">
      <c r="G2270" s="74" t="inlineStr">
        <is>
          <t>kg</t>
        </is>
      </c>
      <c r="M2270" s="64" t="e">
        <v>#N/A</v>
      </c>
    </row>
    <row r="2271" ht="14.4" customHeight="1">
      <c r="G2271" s="74" t="inlineStr">
        <is>
          <t>kg</t>
        </is>
      </c>
      <c r="M2271" s="64" t="e">
        <v>#N/A</v>
      </c>
    </row>
    <row r="2272" ht="14.4" customHeight="1">
      <c r="G2272" s="74" t="inlineStr">
        <is>
          <t>kg</t>
        </is>
      </c>
      <c r="M2272" s="64" t="e">
        <v>#N/A</v>
      </c>
    </row>
    <row r="2273" ht="14.4" customHeight="1">
      <c r="G2273" s="74" t="inlineStr">
        <is>
          <t>kg</t>
        </is>
      </c>
      <c r="M2273" s="64" t="e">
        <v>#N/A</v>
      </c>
    </row>
    <row r="2274" ht="14.4" customHeight="1">
      <c r="G2274" s="74" t="inlineStr">
        <is>
          <t>kg</t>
        </is>
      </c>
      <c r="M2274" s="64" t="e">
        <v>#N/A</v>
      </c>
    </row>
    <row r="2275" ht="14.4" customHeight="1">
      <c r="G2275" s="74" t="inlineStr">
        <is>
          <t>kg</t>
        </is>
      </c>
      <c r="M2275" s="64" t="e">
        <v>#N/A</v>
      </c>
    </row>
    <row r="2276" ht="14.4" customHeight="1">
      <c r="G2276" s="74" t="inlineStr">
        <is>
          <t>kg</t>
        </is>
      </c>
      <c r="M2276" s="64" t="e">
        <v>#N/A</v>
      </c>
    </row>
    <row r="2277" ht="14.4" customHeight="1">
      <c r="G2277" s="74" t="inlineStr">
        <is>
          <t>kg</t>
        </is>
      </c>
      <c r="M2277" s="64" t="e">
        <v>#N/A</v>
      </c>
    </row>
    <row r="2278" ht="14.4" customHeight="1">
      <c r="G2278" s="74" t="inlineStr">
        <is>
          <t>kg</t>
        </is>
      </c>
      <c r="M2278" s="64" t="e">
        <v>#N/A</v>
      </c>
    </row>
    <row r="2279" ht="14.4" customHeight="1">
      <c r="G2279" s="74" t="inlineStr">
        <is>
          <t>kg</t>
        </is>
      </c>
      <c r="M2279" s="64" t="e">
        <v>#N/A</v>
      </c>
    </row>
    <row r="2280" ht="14.4" customHeight="1">
      <c r="G2280" s="74" t="inlineStr">
        <is>
          <t>kg</t>
        </is>
      </c>
      <c r="M2280" s="64" t="e">
        <v>#N/A</v>
      </c>
    </row>
    <row r="2281" ht="14.4" customHeight="1">
      <c r="G2281" s="74" t="inlineStr">
        <is>
          <t>kg</t>
        </is>
      </c>
      <c r="M2281" s="64" t="e">
        <v>#N/A</v>
      </c>
    </row>
    <row r="2282" ht="14.4" customHeight="1">
      <c r="G2282" s="74" t="inlineStr">
        <is>
          <t>kg</t>
        </is>
      </c>
      <c r="M2282" s="64" t="e">
        <v>#N/A</v>
      </c>
    </row>
    <row r="2283" ht="14.4" customHeight="1">
      <c r="G2283" s="74" t="inlineStr">
        <is>
          <t>kg</t>
        </is>
      </c>
      <c r="M2283" s="64" t="e">
        <v>#N/A</v>
      </c>
    </row>
    <row r="2284" ht="14.4" customHeight="1">
      <c r="G2284" s="74" t="inlineStr">
        <is>
          <t>kg</t>
        </is>
      </c>
      <c r="M2284" s="64" t="e">
        <v>#N/A</v>
      </c>
    </row>
    <row r="2285" ht="14.4" customHeight="1">
      <c r="G2285" s="74" t="inlineStr">
        <is>
          <t>kg</t>
        </is>
      </c>
      <c r="M2285" s="64" t="e">
        <v>#N/A</v>
      </c>
    </row>
    <row r="2286" ht="14.4" customHeight="1">
      <c r="G2286" s="74" t="inlineStr">
        <is>
          <t>kg</t>
        </is>
      </c>
      <c r="M2286" s="64" t="e">
        <v>#N/A</v>
      </c>
    </row>
    <row r="2287" ht="14.4" customHeight="1">
      <c r="G2287" s="74" t="inlineStr">
        <is>
          <t>kg</t>
        </is>
      </c>
      <c r="M2287" s="64" t="e">
        <v>#N/A</v>
      </c>
    </row>
    <row r="2288" ht="14.4" customHeight="1">
      <c r="G2288" s="74" t="inlineStr">
        <is>
          <t>kg</t>
        </is>
      </c>
      <c r="M2288" s="64" t="e">
        <v>#N/A</v>
      </c>
    </row>
    <row r="2289" ht="14.4" customHeight="1">
      <c r="G2289" s="74" t="inlineStr">
        <is>
          <t>kg</t>
        </is>
      </c>
      <c r="M2289" s="64" t="e">
        <v>#N/A</v>
      </c>
    </row>
    <row r="2290" ht="14.4" customHeight="1">
      <c r="G2290" s="74" t="inlineStr">
        <is>
          <t>kg</t>
        </is>
      </c>
      <c r="M2290" s="64" t="e">
        <v>#N/A</v>
      </c>
    </row>
    <row r="2291" ht="14.4" customHeight="1">
      <c r="G2291" s="74" t="inlineStr">
        <is>
          <t>kg</t>
        </is>
      </c>
      <c r="M2291" s="64" t="e">
        <v>#N/A</v>
      </c>
    </row>
    <row r="2292" ht="14.4" customHeight="1">
      <c r="G2292" s="74" t="inlineStr">
        <is>
          <t>kg</t>
        </is>
      </c>
      <c r="M2292" s="64" t="e">
        <v>#N/A</v>
      </c>
    </row>
    <row r="2293" ht="14.4" customHeight="1">
      <c r="G2293" s="74" t="inlineStr">
        <is>
          <t>kg</t>
        </is>
      </c>
      <c r="M2293" s="64" t="e">
        <v>#N/A</v>
      </c>
    </row>
    <row r="2294" ht="14.4" customHeight="1">
      <c r="G2294" s="74" t="inlineStr">
        <is>
          <t>kg</t>
        </is>
      </c>
      <c r="M2294" s="64" t="e">
        <v>#N/A</v>
      </c>
    </row>
    <row r="2295" ht="14.4" customHeight="1">
      <c r="G2295" s="74" t="inlineStr">
        <is>
          <t>kg</t>
        </is>
      </c>
      <c r="M2295" s="64" t="e">
        <v>#N/A</v>
      </c>
    </row>
    <row r="2296" ht="14.4" customHeight="1">
      <c r="G2296" s="74" t="inlineStr">
        <is>
          <t>kg</t>
        </is>
      </c>
      <c r="M2296" s="64" t="e">
        <v>#N/A</v>
      </c>
    </row>
    <row r="2297" ht="14.4" customHeight="1">
      <c r="G2297" s="74" t="inlineStr">
        <is>
          <t>kg</t>
        </is>
      </c>
      <c r="M2297" s="64" t="e">
        <v>#N/A</v>
      </c>
    </row>
    <row r="2298" ht="14.4" customHeight="1">
      <c r="G2298" s="74" t="inlineStr">
        <is>
          <t>kg</t>
        </is>
      </c>
      <c r="M2298" s="64" t="e">
        <v>#N/A</v>
      </c>
    </row>
    <row r="2299" ht="14.4" customHeight="1">
      <c r="G2299" s="74" t="inlineStr">
        <is>
          <t>kg</t>
        </is>
      </c>
      <c r="M2299" s="64" t="e">
        <v>#N/A</v>
      </c>
    </row>
    <row r="2300" ht="14.4" customHeight="1">
      <c r="G2300" s="74" t="inlineStr">
        <is>
          <t>kg</t>
        </is>
      </c>
      <c r="M2300" s="64" t="e">
        <v>#N/A</v>
      </c>
    </row>
    <row r="2301" ht="14.4" customHeight="1">
      <c r="G2301" s="74" t="inlineStr">
        <is>
          <t>kg</t>
        </is>
      </c>
      <c r="M2301" s="64" t="e">
        <v>#N/A</v>
      </c>
    </row>
    <row r="2302" ht="14.4" customHeight="1">
      <c r="G2302" s="74" t="inlineStr">
        <is>
          <t>kg</t>
        </is>
      </c>
      <c r="M2302" s="64" t="e">
        <v>#N/A</v>
      </c>
    </row>
    <row r="2303" ht="14.4" customHeight="1">
      <c r="G2303" s="74" t="inlineStr">
        <is>
          <t>kg</t>
        </is>
      </c>
      <c r="M2303" s="64" t="e">
        <v>#N/A</v>
      </c>
    </row>
    <row r="2304" ht="14.4" customHeight="1">
      <c r="G2304" s="74" t="inlineStr">
        <is>
          <t>kg</t>
        </is>
      </c>
      <c r="M2304" s="64" t="e">
        <v>#N/A</v>
      </c>
    </row>
    <row r="2305" ht="14.4" customHeight="1">
      <c r="G2305" s="74" t="inlineStr">
        <is>
          <t>kg</t>
        </is>
      </c>
      <c r="M2305" s="64" t="e">
        <v>#N/A</v>
      </c>
    </row>
    <row r="2306" ht="14.4" customHeight="1">
      <c r="G2306" s="74" t="inlineStr">
        <is>
          <t>kg</t>
        </is>
      </c>
      <c r="M2306" s="64" t="e">
        <v>#N/A</v>
      </c>
    </row>
    <row r="2307" ht="14.4" customHeight="1">
      <c r="G2307" s="74" t="inlineStr">
        <is>
          <t>kg</t>
        </is>
      </c>
      <c r="M2307" s="64" t="e">
        <v>#N/A</v>
      </c>
    </row>
    <row r="2308" ht="14.4" customHeight="1">
      <c r="G2308" s="74" t="inlineStr">
        <is>
          <t>kg</t>
        </is>
      </c>
      <c r="M2308" s="64" t="e">
        <v>#N/A</v>
      </c>
    </row>
    <row r="2309" ht="14.4" customHeight="1">
      <c r="G2309" s="74" t="inlineStr">
        <is>
          <t>kg</t>
        </is>
      </c>
      <c r="M2309" s="64" t="e">
        <v>#N/A</v>
      </c>
    </row>
    <row r="2310" ht="14.4" customHeight="1">
      <c r="G2310" s="74" t="inlineStr">
        <is>
          <t>kg</t>
        </is>
      </c>
      <c r="M2310" s="64" t="e">
        <v>#N/A</v>
      </c>
    </row>
    <row r="2311" ht="14.4" customHeight="1">
      <c r="G2311" s="74" t="inlineStr">
        <is>
          <t>kg</t>
        </is>
      </c>
      <c r="M2311" s="64" t="e">
        <v>#N/A</v>
      </c>
    </row>
    <row r="2312" ht="14.4" customHeight="1">
      <c r="G2312" s="74" t="inlineStr">
        <is>
          <t>kg</t>
        </is>
      </c>
      <c r="M2312" s="64" t="e">
        <v>#N/A</v>
      </c>
    </row>
    <row r="2313" ht="14.4" customHeight="1">
      <c r="G2313" s="74" t="inlineStr">
        <is>
          <t>kg</t>
        </is>
      </c>
      <c r="M2313" s="64" t="e">
        <v>#N/A</v>
      </c>
    </row>
    <row r="2314" ht="14.4" customHeight="1">
      <c r="G2314" s="74" t="inlineStr">
        <is>
          <t>kg</t>
        </is>
      </c>
      <c r="M2314" s="64" t="e">
        <v>#N/A</v>
      </c>
    </row>
    <row r="2315" ht="14.4" customHeight="1">
      <c r="G2315" s="74" t="inlineStr">
        <is>
          <t>kg</t>
        </is>
      </c>
      <c r="M2315" s="64" t="e">
        <v>#N/A</v>
      </c>
    </row>
    <row r="2316" ht="14.4" customHeight="1">
      <c r="G2316" s="74" t="inlineStr">
        <is>
          <t>kg</t>
        </is>
      </c>
      <c r="M2316" s="64" t="e">
        <v>#N/A</v>
      </c>
    </row>
    <row r="2317" ht="14.4" customHeight="1">
      <c r="G2317" s="74" t="inlineStr">
        <is>
          <t>kg</t>
        </is>
      </c>
      <c r="M2317" s="64" t="e">
        <v>#N/A</v>
      </c>
    </row>
    <row r="2318" ht="14.4" customHeight="1">
      <c r="G2318" s="74" t="inlineStr">
        <is>
          <t>kg</t>
        </is>
      </c>
      <c r="M2318" s="64" t="e">
        <v>#N/A</v>
      </c>
    </row>
    <row r="2319" ht="14.4" customHeight="1">
      <c r="G2319" s="74" t="inlineStr">
        <is>
          <t>kg</t>
        </is>
      </c>
      <c r="M2319" s="64" t="e">
        <v>#N/A</v>
      </c>
    </row>
    <row r="2320" ht="14.4" customHeight="1">
      <c r="G2320" s="74" t="inlineStr">
        <is>
          <t>kg</t>
        </is>
      </c>
      <c r="M2320" s="64" t="e">
        <v>#N/A</v>
      </c>
    </row>
    <row r="2321" ht="14.4" customHeight="1">
      <c r="G2321" s="74" t="inlineStr">
        <is>
          <t>kg</t>
        </is>
      </c>
      <c r="M2321" s="64" t="e">
        <v>#N/A</v>
      </c>
    </row>
    <row r="2322" ht="14.4" customHeight="1">
      <c r="G2322" s="74" t="inlineStr">
        <is>
          <t>kg</t>
        </is>
      </c>
      <c r="M2322" s="64" t="e">
        <v>#N/A</v>
      </c>
    </row>
    <row r="2323" ht="14.4" customHeight="1">
      <c r="G2323" s="74" t="inlineStr">
        <is>
          <t>kg</t>
        </is>
      </c>
      <c r="M2323" s="64" t="e">
        <v>#N/A</v>
      </c>
    </row>
    <row r="2324" ht="14.4" customHeight="1">
      <c r="G2324" s="74" t="inlineStr">
        <is>
          <t>kg</t>
        </is>
      </c>
      <c r="M2324" s="64" t="e">
        <v>#N/A</v>
      </c>
    </row>
    <row r="2325" ht="14.4" customHeight="1">
      <c r="G2325" s="74" t="inlineStr">
        <is>
          <t>kg</t>
        </is>
      </c>
      <c r="M2325" s="64" t="e">
        <v>#N/A</v>
      </c>
    </row>
    <row r="2326" ht="14.4" customHeight="1">
      <c r="G2326" s="74" t="inlineStr">
        <is>
          <t>kg</t>
        </is>
      </c>
      <c r="M2326" s="64" t="e">
        <v>#N/A</v>
      </c>
    </row>
    <row r="2327" ht="14.4" customHeight="1">
      <c r="G2327" s="74" t="inlineStr">
        <is>
          <t>kg</t>
        </is>
      </c>
      <c r="M2327" s="64" t="e">
        <v>#N/A</v>
      </c>
    </row>
    <row r="2328" ht="14.4" customHeight="1">
      <c r="G2328" s="74" t="inlineStr">
        <is>
          <t>kg</t>
        </is>
      </c>
      <c r="M2328" s="64" t="e">
        <v>#N/A</v>
      </c>
    </row>
    <row r="2329" ht="14.4" customHeight="1">
      <c r="G2329" s="74" t="inlineStr">
        <is>
          <t>kg</t>
        </is>
      </c>
      <c r="M2329" s="64" t="e">
        <v>#N/A</v>
      </c>
    </row>
    <row r="2330" ht="14.4" customHeight="1">
      <c r="G2330" s="74" t="inlineStr">
        <is>
          <t>kg</t>
        </is>
      </c>
      <c r="M2330" s="64" t="e">
        <v>#N/A</v>
      </c>
    </row>
    <row r="2331" ht="14.4" customHeight="1">
      <c r="G2331" s="74" t="inlineStr">
        <is>
          <t>kg</t>
        </is>
      </c>
      <c r="M2331" s="64" t="e">
        <v>#N/A</v>
      </c>
    </row>
    <row r="2332" ht="14.4" customHeight="1">
      <c r="G2332" s="74" t="inlineStr">
        <is>
          <t>kg</t>
        </is>
      </c>
      <c r="M2332" s="64" t="e">
        <v>#N/A</v>
      </c>
    </row>
    <row r="2333" ht="14.4" customHeight="1">
      <c r="G2333" s="74" t="inlineStr">
        <is>
          <t>kg</t>
        </is>
      </c>
      <c r="M2333" s="64" t="e">
        <v>#N/A</v>
      </c>
    </row>
    <row r="2334" ht="14.4" customHeight="1">
      <c r="G2334" s="74" t="inlineStr">
        <is>
          <t>kg</t>
        </is>
      </c>
      <c r="M2334" s="64" t="e">
        <v>#N/A</v>
      </c>
    </row>
    <row r="2335" ht="14.4" customHeight="1">
      <c r="G2335" s="74" t="inlineStr">
        <is>
          <t>kg</t>
        </is>
      </c>
      <c r="M2335" s="64" t="e">
        <v>#N/A</v>
      </c>
    </row>
    <row r="2336" ht="14.4" customHeight="1">
      <c r="G2336" s="74" t="inlineStr">
        <is>
          <t>kg</t>
        </is>
      </c>
      <c r="M2336" s="64" t="e">
        <v>#N/A</v>
      </c>
    </row>
    <row r="2337" ht="14.4" customHeight="1">
      <c r="G2337" s="74" t="inlineStr">
        <is>
          <t>kg</t>
        </is>
      </c>
      <c r="M2337" s="64" t="e">
        <v>#N/A</v>
      </c>
    </row>
    <row r="2338" ht="14.4" customHeight="1">
      <c r="G2338" s="74" t="inlineStr">
        <is>
          <t>kg</t>
        </is>
      </c>
      <c r="M2338" s="64" t="e">
        <v>#N/A</v>
      </c>
    </row>
    <row r="2339" ht="14.4" customHeight="1">
      <c r="G2339" s="74" t="inlineStr">
        <is>
          <t>kg</t>
        </is>
      </c>
      <c r="M2339" s="64" t="e">
        <v>#N/A</v>
      </c>
    </row>
    <row r="2340" ht="14.4" customHeight="1">
      <c r="G2340" s="74" t="inlineStr">
        <is>
          <t>kg</t>
        </is>
      </c>
      <c r="M2340" s="64" t="e">
        <v>#N/A</v>
      </c>
    </row>
    <row r="2341" ht="14.4" customHeight="1">
      <c r="G2341" s="74" t="inlineStr">
        <is>
          <t>kg</t>
        </is>
      </c>
      <c r="M2341" s="64" t="e">
        <v>#N/A</v>
      </c>
    </row>
    <row r="2342" ht="14.4" customHeight="1">
      <c r="G2342" s="74" t="inlineStr">
        <is>
          <t>kg</t>
        </is>
      </c>
      <c r="M2342" s="64" t="e">
        <v>#N/A</v>
      </c>
    </row>
    <row r="2343" ht="14.4" customHeight="1">
      <c r="G2343" s="74" t="inlineStr">
        <is>
          <t>kg</t>
        </is>
      </c>
      <c r="M2343" s="64" t="e">
        <v>#N/A</v>
      </c>
    </row>
    <row r="2344" ht="14.4" customHeight="1">
      <c r="G2344" s="74" t="inlineStr">
        <is>
          <t>kg</t>
        </is>
      </c>
      <c r="M2344" s="64" t="e">
        <v>#N/A</v>
      </c>
    </row>
    <row r="2345" ht="14.4" customHeight="1">
      <c r="G2345" s="74" t="inlineStr">
        <is>
          <t>kg</t>
        </is>
      </c>
      <c r="M2345" s="64" t="e">
        <v>#N/A</v>
      </c>
    </row>
    <row r="2346" ht="14.4" customHeight="1">
      <c r="G2346" s="74" t="inlineStr">
        <is>
          <t>kg</t>
        </is>
      </c>
      <c r="M2346" s="64" t="e">
        <v>#N/A</v>
      </c>
    </row>
    <row r="2347" ht="14.4" customHeight="1">
      <c r="G2347" s="74" t="inlineStr">
        <is>
          <t>kg</t>
        </is>
      </c>
      <c r="M2347" s="64" t="e">
        <v>#N/A</v>
      </c>
    </row>
    <row r="2348" ht="14.4" customHeight="1">
      <c r="G2348" s="74" t="inlineStr">
        <is>
          <t>kg</t>
        </is>
      </c>
      <c r="M2348" s="64" t="e">
        <v>#N/A</v>
      </c>
    </row>
    <row r="2349" ht="14.4" customHeight="1">
      <c r="G2349" s="74" t="inlineStr">
        <is>
          <t>kg</t>
        </is>
      </c>
      <c r="M2349" s="64" t="e">
        <v>#N/A</v>
      </c>
    </row>
    <row r="2350" ht="14.4" customHeight="1">
      <c r="G2350" s="74" t="inlineStr">
        <is>
          <t>kg</t>
        </is>
      </c>
      <c r="M2350" s="64" t="e">
        <v>#N/A</v>
      </c>
    </row>
    <row r="2351" ht="14.4" customHeight="1">
      <c r="G2351" s="74" t="inlineStr">
        <is>
          <t>kg</t>
        </is>
      </c>
      <c r="M2351" s="64" t="e">
        <v>#N/A</v>
      </c>
    </row>
    <row r="2352" ht="14.4" customHeight="1">
      <c r="G2352" s="74" t="inlineStr">
        <is>
          <t>kg</t>
        </is>
      </c>
      <c r="M2352" s="64" t="e">
        <v>#N/A</v>
      </c>
    </row>
    <row r="2353" ht="14.4" customHeight="1">
      <c r="G2353" s="74" t="inlineStr">
        <is>
          <t>kg</t>
        </is>
      </c>
      <c r="M2353" s="64" t="e">
        <v>#N/A</v>
      </c>
    </row>
    <row r="2354" ht="14.4" customHeight="1">
      <c r="G2354" s="74" t="inlineStr">
        <is>
          <t>kg</t>
        </is>
      </c>
      <c r="M2354" s="64" t="e">
        <v>#N/A</v>
      </c>
    </row>
    <row r="2355" ht="14.4" customHeight="1">
      <c r="G2355" s="74" t="inlineStr">
        <is>
          <t>kg</t>
        </is>
      </c>
      <c r="M2355" s="64" t="e">
        <v>#N/A</v>
      </c>
    </row>
    <row r="2356" ht="14.4" customHeight="1">
      <c r="G2356" s="74" t="inlineStr">
        <is>
          <t>kg</t>
        </is>
      </c>
      <c r="M2356" s="64" t="e">
        <v>#N/A</v>
      </c>
    </row>
    <row r="2357" ht="14.4" customHeight="1">
      <c r="G2357" s="74" t="inlineStr">
        <is>
          <t>kg</t>
        </is>
      </c>
      <c r="M2357" s="64" t="e">
        <v>#N/A</v>
      </c>
    </row>
    <row r="2358" ht="14.4" customHeight="1">
      <c r="G2358" s="74" t="inlineStr">
        <is>
          <t>kg</t>
        </is>
      </c>
      <c r="M2358" s="64" t="e">
        <v>#N/A</v>
      </c>
    </row>
    <row r="2359" ht="14.4" customHeight="1">
      <c r="G2359" s="74" t="inlineStr">
        <is>
          <t>kg</t>
        </is>
      </c>
      <c r="M2359" s="64" t="e">
        <v>#N/A</v>
      </c>
    </row>
    <row r="2360" ht="14.4" customHeight="1">
      <c r="G2360" s="74" t="inlineStr">
        <is>
          <t>kg</t>
        </is>
      </c>
      <c r="M2360" s="64" t="e">
        <v>#N/A</v>
      </c>
    </row>
    <row r="2361" ht="14.4" customHeight="1">
      <c r="G2361" s="74" t="inlineStr">
        <is>
          <t>kg</t>
        </is>
      </c>
      <c r="M2361" s="64" t="e">
        <v>#N/A</v>
      </c>
    </row>
    <row r="2362" ht="14.4" customHeight="1">
      <c r="G2362" s="74" t="inlineStr">
        <is>
          <t>kg</t>
        </is>
      </c>
      <c r="M2362" s="64" t="e">
        <v>#N/A</v>
      </c>
    </row>
    <row r="2363" ht="14.4" customHeight="1">
      <c r="G2363" s="74" t="inlineStr">
        <is>
          <t>kg</t>
        </is>
      </c>
      <c r="M2363" s="64" t="e">
        <v>#N/A</v>
      </c>
    </row>
    <row r="2364" ht="14.4" customHeight="1">
      <c r="G2364" s="74" t="inlineStr">
        <is>
          <t>kg</t>
        </is>
      </c>
      <c r="M2364" s="64" t="e">
        <v>#N/A</v>
      </c>
    </row>
    <row r="2365" ht="14.4" customHeight="1">
      <c r="G2365" s="74" t="inlineStr">
        <is>
          <t>kg</t>
        </is>
      </c>
      <c r="M2365" s="64" t="e">
        <v>#N/A</v>
      </c>
    </row>
    <row r="2366" ht="14.4" customHeight="1">
      <c r="G2366" s="74" t="inlineStr">
        <is>
          <t>kg</t>
        </is>
      </c>
      <c r="M2366" s="64" t="e">
        <v>#N/A</v>
      </c>
    </row>
    <row r="2367" ht="14.4" customHeight="1">
      <c r="G2367" s="74" t="inlineStr">
        <is>
          <t>kg</t>
        </is>
      </c>
      <c r="M2367" s="64" t="e">
        <v>#N/A</v>
      </c>
    </row>
    <row r="2368" ht="14.4" customHeight="1">
      <c r="G2368" s="74" t="inlineStr">
        <is>
          <t>kg</t>
        </is>
      </c>
      <c r="M2368" s="64" t="e">
        <v>#N/A</v>
      </c>
    </row>
    <row r="2369" ht="14.4" customHeight="1">
      <c r="G2369" s="74" t="inlineStr">
        <is>
          <t>kg</t>
        </is>
      </c>
      <c r="M2369" s="64" t="e">
        <v>#N/A</v>
      </c>
    </row>
    <row r="2370" ht="14.4" customHeight="1">
      <c r="G2370" s="74" t="inlineStr">
        <is>
          <t>kg</t>
        </is>
      </c>
      <c r="M2370" s="64" t="e">
        <v>#N/A</v>
      </c>
    </row>
    <row r="2371" ht="14.4" customHeight="1">
      <c r="G2371" s="74" t="inlineStr">
        <is>
          <t>kg</t>
        </is>
      </c>
      <c r="M2371" s="64" t="e">
        <v>#N/A</v>
      </c>
    </row>
    <row r="2372" ht="14.4" customHeight="1">
      <c r="G2372" s="74" t="inlineStr">
        <is>
          <t>kg</t>
        </is>
      </c>
      <c r="M2372" s="64" t="e">
        <v>#N/A</v>
      </c>
    </row>
    <row r="2373" ht="14.4" customHeight="1">
      <c r="G2373" s="74" t="inlineStr">
        <is>
          <t>kg</t>
        </is>
      </c>
      <c r="M2373" s="64" t="e">
        <v>#N/A</v>
      </c>
    </row>
    <row r="2374" ht="14.4" customHeight="1">
      <c r="G2374" s="74" t="inlineStr">
        <is>
          <t>kg</t>
        </is>
      </c>
      <c r="M2374" s="64" t="e">
        <v>#N/A</v>
      </c>
    </row>
    <row r="2375" ht="14.4" customHeight="1">
      <c r="G2375" s="74" t="inlineStr">
        <is>
          <t>kg</t>
        </is>
      </c>
      <c r="M2375" s="64" t="e">
        <v>#N/A</v>
      </c>
    </row>
    <row r="2376" ht="14.4" customHeight="1">
      <c r="G2376" s="74" t="inlineStr">
        <is>
          <t>kg</t>
        </is>
      </c>
      <c r="M2376" s="64" t="e">
        <v>#N/A</v>
      </c>
    </row>
    <row r="2377" ht="14.4" customHeight="1">
      <c r="G2377" s="74" t="inlineStr">
        <is>
          <t>kg</t>
        </is>
      </c>
      <c r="M2377" s="64" t="e">
        <v>#N/A</v>
      </c>
    </row>
    <row r="2378" ht="14.4" customHeight="1">
      <c r="G2378" s="74" t="inlineStr">
        <is>
          <t>kg</t>
        </is>
      </c>
      <c r="M2378" s="64" t="e">
        <v>#N/A</v>
      </c>
    </row>
    <row r="2379" ht="14.4" customHeight="1">
      <c r="G2379" s="74" t="inlineStr">
        <is>
          <t>kg</t>
        </is>
      </c>
      <c r="M2379" s="64" t="e">
        <v>#N/A</v>
      </c>
    </row>
    <row r="2380" ht="14.4" customHeight="1">
      <c r="G2380" s="74" t="inlineStr">
        <is>
          <t>kg</t>
        </is>
      </c>
      <c r="M2380" s="64" t="e">
        <v>#N/A</v>
      </c>
    </row>
    <row r="2381" ht="14.4" customHeight="1">
      <c r="G2381" s="74" t="inlineStr">
        <is>
          <t>kg</t>
        </is>
      </c>
      <c r="M2381" s="64" t="e">
        <v>#N/A</v>
      </c>
    </row>
    <row r="2382" ht="14.4" customHeight="1">
      <c r="G2382" s="74" t="inlineStr">
        <is>
          <t>kg</t>
        </is>
      </c>
      <c r="M2382" s="64" t="e">
        <v>#N/A</v>
      </c>
    </row>
    <row r="2383" ht="14.4" customHeight="1">
      <c r="G2383" s="74" t="inlineStr">
        <is>
          <t>kg</t>
        </is>
      </c>
      <c r="M2383" s="64" t="e">
        <v>#N/A</v>
      </c>
    </row>
    <row r="2384" ht="14.4" customHeight="1">
      <c r="G2384" s="74" t="inlineStr">
        <is>
          <t>kg</t>
        </is>
      </c>
      <c r="M2384" s="64" t="e">
        <v>#N/A</v>
      </c>
    </row>
    <row r="2385" ht="14.4" customHeight="1">
      <c r="G2385" s="74" t="inlineStr">
        <is>
          <t>kg</t>
        </is>
      </c>
      <c r="M2385" s="64" t="e">
        <v>#N/A</v>
      </c>
    </row>
    <row r="2386" ht="14.4" customHeight="1">
      <c r="G2386" s="74" t="inlineStr">
        <is>
          <t>kg</t>
        </is>
      </c>
      <c r="M2386" s="64" t="e">
        <v>#N/A</v>
      </c>
    </row>
    <row r="2387" ht="14.4" customHeight="1">
      <c r="G2387" s="74" t="inlineStr">
        <is>
          <t>kg</t>
        </is>
      </c>
      <c r="M2387" s="64" t="e">
        <v>#N/A</v>
      </c>
    </row>
    <row r="2388" ht="14.4" customHeight="1">
      <c r="G2388" s="74" t="inlineStr">
        <is>
          <t>kg</t>
        </is>
      </c>
      <c r="M2388" s="64" t="e">
        <v>#N/A</v>
      </c>
    </row>
    <row r="2389" ht="14.4" customHeight="1">
      <c r="G2389" s="74" t="inlineStr">
        <is>
          <t>kg</t>
        </is>
      </c>
      <c r="M2389" s="64" t="e">
        <v>#N/A</v>
      </c>
    </row>
    <row r="2390" ht="14.4" customHeight="1">
      <c r="G2390" s="74" t="inlineStr">
        <is>
          <t>kg</t>
        </is>
      </c>
      <c r="M2390" s="64" t="e">
        <v>#N/A</v>
      </c>
    </row>
    <row r="2391" ht="14.4" customHeight="1">
      <c r="G2391" s="74" t="inlineStr">
        <is>
          <t>kg</t>
        </is>
      </c>
      <c r="M2391" s="64" t="e">
        <v>#N/A</v>
      </c>
    </row>
    <row r="2392" ht="14.4" customHeight="1">
      <c r="G2392" s="74" t="inlineStr">
        <is>
          <t>kg</t>
        </is>
      </c>
      <c r="M2392" s="64" t="e">
        <v>#N/A</v>
      </c>
    </row>
    <row r="2393" ht="14.4" customHeight="1">
      <c r="G2393" s="74" t="inlineStr">
        <is>
          <t>kg</t>
        </is>
      </c>
      <c r="M2393" s="64" t="e">
        <v>#N/A</v>
      </c>
    </row>
    <row r="2394" ht="14.4" customHeight="1">
      <c r="G2394" s="74" t="inlineStr">
        <is>
          <t>kg</t>
        </is>
      </c>
      <c r="M2394" s="64" t="e">
        <v>#N/A</v>
      </c>
    </row>
    <row r="2395" ht="14.4" customHeight="1">
      <c r="G2395" s="74" t="inlineStr">
        <is>
          <t>kg</t>
        </is>
      </c>
      <c r="M2395" s="64" t="e">
        <v>#N/A</v>
      </c>
    </row>
    <row r="2396" ht="14.4" customHeight="1">
      <c r="G2396" s="74" t="inlineStr">
        <is>
          <t>kg</t>
        </is>
      </c>
      <c r="M2396" s="64" t="e">
        <v>#N/A</v>
      </c>
    </row>
    <row r="2397" ht="14.4" customHeight="1">
      <c r="G2397" s="74" t="inlineStr">
        <is>
          <t>kg</t>
        </is>
      </c>
      <c r="M2397" s="64" t="e">
        <v>#N/A</v>
      </c>
    </row>
    <row r="2398" ht="14.4" customHeight="1">
      <c r="G2398" s="74" t="inlineStr">
        <is>
          <t>kg</t>
        </is>
      </c>
      <c r="M2398" s="64" t="e">
        <v>#N/A</v>
      </c>
    </row>
    <row r="2399" ht="14.4" customHeight="1">
      <c r="G2399" s="74" t="inlineStr">
        <is>
          <t>kg</t>
        </is>
      </c>
      <c r="M2399" s="64" t="e">
        <v>#N/A</v>
      </c>
    </row>
    <row r="2400" ht="14.4" customHeight="1">
      <c r="G2400" s="74" t="inlineStr">
        <is>
          <t>kg</t>
        </is>
      </c>
      <c r="M2400" s="64" t="e">
        <v>#N/A</v>
      </c>
    </row>
    <row r="2401" ht="14.4" customHeight="1">
      <c r="G2401" s="74" t="inlineStr">
        <is>
          <t>kg</t>
        </is>
      </c>
      <c r="M2401" s="64" t="e">
        <v>#N/A</v>
      </c>
    </row>
    <row r="2402" ht="14.4" customHeight="1">
      <c r="G2402" s="74" t="inlineStr">
        <is>
          <t>kg</t>
        </is>
      </c>
      <c r="M2402" s="64" t="e">
        <v>#N/A</v>
      </c>
    </row>
    <row r="2403" ht="14.4" customHeight="1">
      <c r="G2403" s="74" t="inlineStr">
        <is>
          <t>kg</t>
        </is>
      </c>
      <c r="M2403" s="64" t="e">
        <v>#N/A</v>
      </c>
    </row>
    <row r="2404" ht="14.4" customHeight="1">
      <c r="G2404" s="74" t="inlineStr">
        <is>
          <t>kg</t>
        </is>
      </c>
      <c r="M2404" s="64" t="e">
        <v>#N/A</v>
      </c>
    </row>
    <row r="2405" ht="14.4" customHeight="1">
      <c r="G2405" s="74" t="inlineStr">
        <is>
          <t>kg</t>
        </is>
      </c>
      <c r="M2405" s="64" t="e">
        <v>#N/A</v>
      </c>
    </row>
    <row r="2406" ht="14.4" customHeight="1">
      <c r="G2406" s="74" t="inlineStr">
        <is>
          <t>kg</t>
        </is>
      </c>
      <c r="M2406" s="64" t="e">
        <v>#N/A</v>
      </c>
    </row>
    <row r="2407" ht="14.4" customHeight="1">
      <c r="G2407" s="74" t="inlineStr">
        <is>
          <t>kg</t>
        </is>
      </c>
      <c r="M2407" s="64" t="e">
        <v>#N/A</v>
      </c>
    </row>
    <row r="2408" ht="14.4" customHeight="1">
      <c r="G2408" s="74" t="inlineStr">
        <is>
          <t>kg</t>
        </is>
      </c>
      <c r="M2408" s="64" t="e">
        <v>#N/A</v>
      </c>
    </row>
    <row r="2409" ht="14.4" customHeight="1">
      <c r="G2409" s="74" t="inlineStr">
        <is>
          <t>kg</t>
        </is>
      </c>
      <c r="M2409" s="64" t="e">
        <v>#N/A</v>
      </c>
    </row>
    <row r="2410" ht="14.4" customHeight="1">
      <c r="G2410" s="74" t="inlineStr">
        <is>
          <t>kg</t>
        </is>
      </c>
      <c r="M2410" s="64" t="e">
        <v>#N/A</v>
      </c>
    </row>
    <row r="2411" ht="14.4" customHeight="1">
      <c r="G2411" s="74" t="inlineStr">
        <is>
          <t>kg</t>
        </is>
      </c>
      <c r="M2411" s="64" t="e">
        <v>#N/A</v>
      </c>
    </row>
    <row r="2412" ht="14.4" customHeight="1">
      <c r="G2412" s="74" t="inlineStr">
        <is>
          <t>kg</t>
        </is>
      </c>
      <c r="M2412" s="64" t="e">
        <v>#N/A</v>
      </c>
    </row>
    <row r="2413" ht="14.4" customHeight="1">
      <c r="G2413" s="74" t="inlineStr">
        <is>
          <t>kg</t>
        </is>
      </c>
      <c r="M2413" s="64" t="e">
        <v>#N/A</v>
      </c>
    </row>
    <row r="2414" ht="14.4" customHeight="1">
      <c r="G2414" s="74" t="inlineStr">
        <is>
          <t>kg</t>
        </is>
      </c>
      <c r="M2414" s="64" t="e">
        <v>#N/A</v>
      </c>
    </row>
    <row r="2415" ht="14.4" customHeight="1">
      <c r="G2415" s="74" t="inlineStr">
        <is>
          <t>kg</t>
        </is>
      </c>
      <c r="M2415" s="64" t="e">
        <v>#N/A</v>
      </c>
    </row>
    <row r="2416" ht="14.4" customHeight="1">
      <c r="G2416" s="74" t="inlineStr">
        <is>
          <t>kg</t>
        </is>
      </c>
      <c r="M2416" s="64" t="e">
        <v>#N/A</v>
      </c>
    </row>
    <row r="2417" ht="14.4" customHeight="1">
      <c r="G2417" s="74" t="inlineStr">
        <is>
          <t>kg</t>
        </is>
      </c>
      <c r="M2417" s="64" t="e">
        <v>#N/A</v>
      </c>
    </row>
    <row r="2418" ht="14.4" customHeight="1">
      <c r="G2418" s="74" t="inlineStr">
        <is>
          <t>kg</t>
        </is>
      </c>
      <c r="M2418" s="64" t="e">
        <v>#N/A</v>
      </c>
    </row>
    <row r="2419" ht="14.4" customHeight="1">
      <c r="G2419" s="74" t="inlineStr">
        <is>
          <t>kg</t>
        </is>
      </c>
      <c r="M2419" s="64" t="e">
        <v>#N/A</v>
      </c>
    </row>
    <row r="2420" ht="14.4" customHeight="1">
      <c r="G2420" s="74" t="inlineStr">
        <is>
          <t>kg</t>
        </is>
      </c>
      <c r="M2420" s="64" t="e">
        <v>#N/A</v>
      </c>
    </row>
    <row r="2421" ht="14.4" customHeight="1">
      <c r="G2421" s="74" t="inlineStr">
        <is>
          <t>kg</t>
        </is>
      </c>
      <c r="M2421" s="64" t="e">
        <v>#N/A</v>
      </c>
    </row>
    <row r="2422" ht="14.4" customHeight="1">
      <c r="G2422" s="74" t="inlineStr">
        <is>
          <t>kg</t>
        </is>
      </c>
      <c r="M2422" s="64" t="e">
        <v>#N/A</v>
      </c>
    </row>
    <row r="2423" ht="14.4" customHeight="1">
      <c r="G2423" s="74" t="inlineStr">
        <is>
          <t>kg</t>
        </is>
      </c>
      <c r="M2423" s="64" t="e">
        <v>#N/A</v>
      </c>
    </row>
    <row r="2424" ht="14.4" customHeight="1">
      <c r="G2424" s="74" t="inlineStr">
        <is>
          <t>kg</t>
        </is>
      </c>
      <c r="M2424" s="64" t="e">
        <v>#N/A</v>
      </c>
    </row>
    <row r="2425" ht="14.4" customHeight="1">
      <c r="G2425" s="74" t="inlineStr">
        <is>
          <t>kg</t>
        </is>
      </c>
      <c r="M2425" s="64" t="e">
        <v>#N/A</v>
      </c>
    </row>
    <row r="2426" ht="14.4" customHeight="1">
      <c r="G2426" s="74" t="inlineStr">
        <is>
          <t>kg</t>
        </is>
      </c>
      <c r="M2426" s="64" t="e">
        <v>#N/A</v>
      </c>
    </row>
    <row r="2427" ht="14.4" customHeight="1">
      <c r="G2427" s="74" t="inlineStr">
        <is>
          <t>kg</t>
        </is>
      </c>
      <c r="M2427" s="64" t="e">
        <v>#N/A</v>
      </c>
    </row>
    <row r="2428" ht="14.4" customHeight="1">
      <c r="G2428" s="74" t="inlineStr">
        <is>
          <t>kg</t>
        </is>
      </c>
      <c r="M2428" s="64" t="e">
        <v>#N/A</v>
      </c>
    </row>
    <row r="2429" ht="14.4" customHeight="1">
      <c r="G2429" s="74" t="inlineStr">
        <is>
          <t>kg</t>
        </is>
      </c>
      <c r="M2429" s="64" t="e">
        <v>#N/A</v>
      </c>
    </row>
    <row r="2430" ht="14.4" customHeight="1">
      <c r="G2430" s="74" t="inlineStr">
        <is>
          <t>kg</t>
        </is>
      </c>
      <c r="M2430" s="64" t="e">
        <v>#N/A</v>
      </c>
    </row>
    <row r="2431" ht="14.4" customHeight="1">
      <c r="G2431" s="74" t="inlineStr">
        <is>
          <t>kg</t>
        </is>
      </c>
      <c r="M2431" s="64" t="e">
        <v>#N/A</v>
      </c>
    </row>
    <row r="2432" ht="14.4" customHeight="1">
      <c r="G2432" s="74" t="inlineStr">
        <is>
          <t>kg</t>
        </is>
      </c>
      <c r="M2432" s="64" t="e">
        <v>#N/A</v>
      </c>
    </row>
    <row r="2433" ht="14.4" customHeight="1">
      <c r="G2433" s="74" t="inlineStr">
        <is>
          <t>kg</t>
        </is>
      </c>
      <c r="M2433" s="64" t="e">
        <v>#N/A</v>
      </c>
    </row>
    <row r="2434" ht="14.4" customHeight="1">
      <c r="G2434" s="74" t="inlineStr">
        <is>
          <t>kg</t>
        </is>
      </c>
      <c r="M2434" s="64" t="e">
        <v>#N/A</v>
      </c>
    </row>
    <row r="2435" ht="14.4" customHeight="1">
      <c r="G2435" s="74" t="inlineStr">
        <is>
          <t>kg</t>
        </is>
      </c>
      <c r="M2435" s="64" t="e">
        <v>#N/A</v>
      </c>
    </row>
    <row r="2436" ht="14.4" customHeight="1">
      <c r="G2436" s="74" t="inlineStr">
        <is>
          <t>kg</t>
        </is>
      </c>
      <c r="M2436" s="64" t="e">
        <v>#N/A</v>
      </c>
    </row>
    <row r="2437" ht="14.4" customHeight="1">
      <c r="G2437" s="74" t="inlineStr">
        <is>
          <t>kg</t>
        </is>
      </c>
      <c r="M2437" s="64" t="e">
        <v>#N/A</v>
      </c>
    </row>
    <row r="2438" ht="14.4" customHeight="1">
      <c r="G2438" s="74" t="inlineStr">
        <is>
          <t>kg</t>
        </is>
      </c>
      <c r="M2438" s="64" t="e">
        <v>#N/A</v>
      </c>
    </row>
    <row r="2439" ht="14.4" customHeight="1">
      <c r="G2439" s="74" t="inlineStr">
        <is>
          <t>kg</t>
        </is>
      </c>
      <c r="M2439" s="64" t="e">
        <v>#N/A</v>
      </c>
    </row>
    <row r="2440" ht="14.4" customHeight="1">
      <c r="G2440" s="74" t="inlineStr">
        <is>
          <t>kg</t>
        </is>
      </c>
      <c r="M2440" s="64" t="e">
        <v>#N/A</v>
      </c>
    </row>
    <row r="2441" ht="14.4" customHeight="1">
      <c r="G2441" s="74" t="inlineStr">
        <is>
          <t>kg</t>
        </is>
      </c>
      <c r="M2441" s="64" t="e">
        <v>#N/A</v>
      </c>
    </row>
    <row r="2442" ht="14.4" customHeight="1">
      <c r="G2442" s="74" t="inlineStr">
        <is>
          <t>kg</t>
        </is>
      </c>
      <c r="M2442" s="64" t="e">
        <v>#N/A</v>
      </c>
    </row>
    <row r="2443" ht="14.4" customHeight="1">
      <c r="G2443" s="74" t="inlineStr">
        <is>
          <t>kg</t>
        </is>
      </c>
      <c r="M2443" s="64" t="e">
        <v>#N/A</v>
      </c>
    </row>
    <row r="2444" ht="14.4" customHeight="1">
      <c r="G2444" s="74" t="inlineStr">
        <is>
          <t>kg</t>
        </is>
      </c>
      <c r="M2444" s="64" t="e">
        <v>#N/A</v>
      </c>
    </row>
    <row r="2445" ht="14.4" customHeight="1">
      <c r="G2445" s="74" t="inlineStr">
        <is>
          <t>kg</t>
        </is>
      </c>
      <c r="M2445" s="64" t="e">
        <v>#N/A</v>
      </c>
    </row>
    <row r="2446" ht="14.4" customHeight="1">
      <c r="G2446" s="74" t="inlineStr">
        <is>
          <t>kg</t>
        </is>
      </c>
      <c r="M2446" s="64" t="e">
        <v>#N/A</v>
      </c>
    </row>
    <row r="2447" ht="14.4" customHeight="1">
      <c r="G2447" s="74" t="inlineStr">
        <is>
          <t>kg</t>
        </is>
      </c>
      <c r="M2447" s="64" t="e">
        <v>#N/A</v>
      </c>
    </row>
    <row r="2448" ht="14.4" customHeight="1">
      <c r="G2448" s="74" t="inlineStr">
        <is>
          <t>kg</t>
        </is>
      </c>
      <c r="M2448" s="64" t="e">
        <v>#N/A</v>
      </c>
    </row>
    <row r="2449" ht="14.4" customHeight="1">
      <c r="G2449" s="74" t="inlineStr">
        <is>
          <t>kg</t>
        </is>
      </c>
      <c r="M2449" s="64" t="e">
        <v>#N/A</v>
      </c>
    </row>
    <row r="2450" ht="14.4" customHeight="1">
      <c r="G2450" s="74" t="inlineStr">
        <is>
          <t>kg</t>
        </is>
      </c>
      <c r="M2450" s="64" t="e">
        <v>#N/A</v>
      </c>
    </row>
    <row r="2451" ht="14.4" customHeight="1">
      <c r="G2451" s="74" t="inlineStr">
        <is>
          <t>kg</t>
        </is>
      </c>
      <c r="M2451" s="64" t="e">
        <v>#N/A</v>
      </c>
    </row>
    <row r="2452" ht="14.4" customHeight="1">
      <c r="G2452" s="74" t="inlineStr">
        <is>
          <t>kg</t>
        </is>
      </c>
      <c r="M2452" s="64" t="e">
        <v>#N/A</v>
      </c>
    </row>
    <row r="2453" ht="14.4" customHeight="1">
      <c r="G2453" s="74" t="inlineStr">
        <is>
          <t>kg</t>
        </is>
      </c>
      <c r="M2453" s="64" t="e">
        <v>#N/A</v>
      </c>
    </row>
    <row r="2454" ht="14.4" customHeight="1">
      <c r="G2454" s="74" t="inlineStr">
        <is>
          <t>kg</t>
        </is>
      </c>
      <c r="M2454" s="64" t="e">
        <v>#N/A</v>
      </c>
    </row>
    <row r="2455" ht="14.4" customHeight="1">
      <c r="G2455" s="74" t="inlineStr">
        <is>
          <t>kg</t>
        </is>
      </c>
      <c r="M2455" s="64" t="e">
        <v>#N/A</v>
      </c>
    </row>
    <row r="2456" ht="14.4" customHeight="1">
      <c r="G2456" s="74" t="inlineStr">
        <is>
          <t>kg</t>
        </is>
      </c>
      <c r="M2456" s="64" t="e">
        <v>#N/A</v>
      </c>
    </row>
    <row r="2457" ht="14.4" customHeight="1">
      <c r="G2457" s="74" t="inlineStr">
        <is>
          <t>kg</t>
        </is>
      </c>
      <c r="M2457" s="64" t="e">
        <v>#N/A</v>
      </c>
    </row>
    <row r="2458" ht="14.4" customHeight="1">
      <c r="G2458" s="74" t="inlineStr">
        <is>
          <t>kg</t>
        </is>
      </c>
      <c r="M2458" s="64" t="e">
        <v>#N/A</v>
      </c>
    </row>
    <row r="2459" ht="14.4" customHeight="1">
      <c r="G2459" s="74" t="inlineStr">
        <is>
          <t>kg</t>
        </is>
      </c>
      <c r="M2459" s="64" t="e">
        <v>#N/A</v>
      </c>
    </row>
    <row r="2460" ht="14.4" customHeight="1">
      <c r="G2460" s="74" t="inlineStr">
        <is>
          <t>kg</t>
        </is>
      </c>
      <c r="M2460" s="64" t="e">
        <v>#N/A</v>
      </c>
    </row>
    <row r="2461" ht="14.4" customHeight="1">
      <c r="G2461" s="74" t="inlineStr">
        <is>
          <t>kg</t>
        </is>
      </c>
      <c r="M2461" s="64" t="e">
        <v>#N/A</v>
      </c>
    </row>
    <row r="2462" ht="14.4" customHeight="1">
      <c r="G2462" s="74" t="inlineStr">
        <is>
          <t>kg</t>
        </is>
      </c>
      <c r="M2462" s="64" t="e">
        <v>#N/A</v>
      </c>
    </row>
    <row r="2463" ht="14.4" customHeight="1">
      <c r="G2463" s="74" t="inlineStr">
        <is>
          <t>kg</t>
        </is>
      </c>
      <c r="M2463" s="64" t="e">
        <v>#N/A</v>
      </c>
    </row>
    <row r="2464" ht="14.4" customHeight="1">
      <c r="G2464" s="74" t="inlineStr">
        <is>
          <t>kg</t>
        </is>
      </c>
      <c r="M2464" s="64" t="e">
        <v>#N/A</v>
      </c>
    </row>
    <row r="2465" ht="14.4" customHeight="1">
      <c r="G2465" s="74" t="inlineStr">
        <is>
          <t>kg</t>
        </is>
      </c>
      <c r="M2465" s="64" t="e">
        <v>#N/A</v>
      </c>
    </row>
    <row r="2466" ht="14.4" customHeight="1">
      <c r="G2466" s="74" t="inlineStr">
        <is>
          <t>kg</t>
        </is>
      </c>
      <c r="M2466" s="64" t="e">
        <v>#N/A</v>
      </c>
    </row>
    <row r="2467" ht="14.4" customHeight="1">
      <c r="G2467" s="74" t="inlineStr">
        <is>
          <t>kg</t>
        </is>
      </c>
      <c r="M2467" s="64" t="e">
        <v>#N/A</v>
      </c>
    </row>
    <row r="2468" ht="14.4" customHeight="1">
      <c r="G2468" s="74" t="inlineStr">
        <is>
          <t>kg</t>
        </is>
      </c>
      <c r="M2468" s="64" t="e">
        <v>#N/A</v>
      </c>
    </row>
    <row r="2469" ht="14.4" customHeight="1">
      <c r="G2469" s="74" t="inlineStr">
        <is>
          <t>kg</t>
        </is>
      </c>
      <c r="M2469" s="64" t="e">
        <v>#N/A</v>
      </c>
    </row>
    <row r="2470" ht="14.4" customHeight="1">
      <c r="G2470" s="74" t="inlineStr">
        <is>
          <t>kg</t>
        </is>
      </c>
      <c r="M2470" s="64" t="e">
        <v>#N/A</v>
      </c>
    </row>
    <row r="2471" ht="14.4" customHeight="1">
      <c r="G2471" s="74" t="inlineStr">
        <is>
          <t>kg</t>
        </is>
      </c>
      <c r="M2471" s="64" t="e">
        <v>#N/A</v>
      </c>
    </row>
    <row r="2472" ht="14.4" customHeight="1">
      <c r="G2472" s="74" t="inlineStr">
        <is>
          <t>kg</t>
        </is>
      </c>
      <c r="M2472" s="64" t="e">
        <v>#N/A</v>
      </c>
    </row>
    <row r="2473" ht="14.4" customHeight="1">
      <c r="G2473" s="74" t="inlineStr">
        <is>
          <t>kg</t>
        </is>
      </c>
      <c r="M2473" s="64" t="e">
        <v>#N/A</v>
      </c>
    </row>
    <row r="2474" ht="14.4" customHeight="1">
      <c r="G2474" s="74" t="inlineStr">
        <is>
          <t>kg</t>
        </is>
      </c>
      <c r="M2474" s="64" t="e">
        <v>#N/A</v>
      </c>
    </row>
    <row r="2475" ht="14.4" customHeight="1">
      <c r="G2475" s="74" t="inlineStr">
        <is>
          <t>kg</t>
        </is>
      </c>
      <c r="M2475" s="64" t="e">
        <v>#N/A</v>
      </c>
    </row>
    <row r="2476" ht="14.4" customHeight="1">
      <c r="G2476" s="74" t="inlineStr">
        <is>
          <t>kg</t>
        </is>
      </c>
      <c r="M2476" s="64" t="e">
        <v>#N/A</v>
      </c>
    </row>
    <row r="2477" ht="14.4" customHeight="1">
      <c r="G2477" s="74" t="inlineStr">
        <is>
          <t>kg</t>
        </is>
      </c>
      <c r="M2477" s="64" t="e">
        <v>#N/A</v>
      </c>
    </row>
    <row r="2478" ht="14.4" customHeight="1">
      <c r="G2478" s="74" t="inlineStr">
        <is>
          <t>kg</t>
        </is>
      </c>
      <c r="M2478" s="64" t="e">
        <v>#N/A</v>
      </c>
    </row>
    <row r="2479" ht="14.4" customHeight="1">
      <c r="G2479" s="74" t="inlineStr">
        <is>
          <t>kg</t>
        </is>
      </c>
      <c r="M2479" s="64" t="e">
        <v>#N/A</v>
      </c>
    </row>
    <row r="2480" ht="14.4" customHeight="1">
      <c r="G2480" s="74" t="inlineStr">
        <is>
          <t>kg</t>
        </is>
      </c>
      <c r="M2480" s="64" t="e">
        <v>#N/A</v>
      </c>
    </row>
    <row r="2481" ht="14.4" customHeight="1">
      <c r="G2481" s="74" t="inlineStr">
        <is>
          <t>kg</t>
        </is>
      </c>
      <c r="M2481" s="64" t="e">
        <v>#N/A</v>
      </c>
    </row>
    <row r="2482" ht="14.4" customHeight="1">
      <c r="G2482" s="74" t="inlineStr">
        <is>
          <t>kg</t>
        </is>
      </c>
      <c r="M2482" s="64" t="e">
        <v>#N/A</v>
      </c>
    </row>
    <row r="2483" ht="14.4" customHeight="1">
      <c r="G2483" s="74" t="inlineStr">
        <is>
          <t>kg</t>
        </is>
      </c>
      <c r="M2483" s="64" t="e">
        <v>#N/A</v>
      </c>
    </row>
    <row r="2484" ht="14.4" customHeight="1">
      <c r="G2484" s="74" t="inlineStr">
        <is>
          <t>kg</t>
        </is>
      </c>
      <c r="M2484" s="64" t="e">
        <v>#N/A</v>
      </c>
    </row>
    <row r="2485" ht="14.4" customHeight="1">
      <c r="G2485" s="74" t="inlineStr">
        <is>
          <t>kg</t>
        </is>
      </c>
      <c r="M2485" s="64" t="e">
        <v>#N/A</v>
      </c>
    </row>
    <row r="2486" ht="14.4" customHeight="1">
      <c r="G2486" s="74" t="inlineStr">
        <is>
          <t>kg</t>
        </is>
      </c>
      <c r="M2486" s="64" t="e">
        <v>#N/A</v>
      </c>
    </row>
    <row r="2487" ht="14.4" customHeight="1">
      <c r="G2487" s="74" t="inlineStr">
        <is>
          <t>kg</t>
        </is>
      </c>
      <c r="M2487" s="64" t="e">
        <v>#N/A</v>
      </c>
    </row>
    <row r="2488" ht="14.4" customHeight="1">
      <c r="G2488" s="74" t="inlineStr">
        <is>
          <t>kg</t>
        </is>
      </c>
      <c r="M2488" s="64" t="e">
        <v>#N/A</v>
      </c>
    </row>
    <row r="2489" ht="14.4" customHeight="1">
      <c r="G2489" s="74" t="inlineStr">
        <is>
          <t>kg</t>
        </is>
      </c>
      <c r="M2489" s="64" t="e">
        <v>#N/A</v>
      </c>
    </row>
    <row r="2490" ht="14.4" customHeight="1">
      <c r="G2490" s="74" t="inlineStr">
        <is>
          <t>kg</t>
        </is>
      </c>
      <c r="M2490" s="64" t="e">
        <v>#N/A</v>
      </c>
    </row>
    <row r="2491" ht="14.4" customHeight="1">
      <c r="G2491" s="74" t="inlineStr">
        <is>
          <t>kg</t>
        </is>
      </c>
      <c r="M2491" s="64" t="e">
        <v>#N/A</v>
      </c>
    </row>
    <row r="2492" ht="14.4" customHeight="1">
      <c r="G2492" s="74" t="inlineStr">
        <is>
          <t>kg</t>
        </is>
      </c>
      <c r="M2492" s="64" t="e">
        <v>#N/A</v>
      </c>
    </row>
    <row r="2493" ht="14.4" customHeight="1">
      <c r="G2493" s="74" t="inlineStr">
        <is>
          <t>kg</t>
        </is>
      </c>
      <c r="M2493" s="64" t="e">
        <v>#N/A</v>
      </c>
    </row>
    <row r="2494" ht="14.4" customHeight="1">
      <c r="G2494" s="74" t="inlineStr">
        <is>
          <t>kg</t>
        </is>
      </c>
      <c r="M2494" s="64" t="e">
        <v>#N/A</v>
      </c>
    </row>
    <row r="2495" ht="14.4" customHeight="1">
      <c r="G2495" s="74" t="inlineStr">
        <is>
          <t>kg</t>
        </is>
      </c>
      <c r="M2495" s="64" t="e">
        <v>#N/A</v>
      </c>
    </row>
    <row r="2496" ht="14.4" customHeight="1">
      <c r="G2496" s="74" t="inlineStr">
        <is>
          <t>kg</t>
        </is>
      </c>
      <c r="M2496" s="64" t="e">
        <v>#N/A</v>
      </c>
    </row>
    <row r="2497" ht="14.4" customHeight="1">
      <c r="G2497" s="74" t="inlineStr">
        <is>
          <t>kg</t>
        </is>
      </c>
      <c r="M2497" s="64" t="e">
        <v>#N/A</v>
      </c>
    </row>
    <row r="2498" ht="14.4" customHeight="1">
      <c r="G2498" s="74" t="inlineStr">
        <is>
          <t>kg</t>
        </is>
      </c>
      <c r="M2498" s="64" t="e">
        <v>#N/A</v>
      </c>
    </row>
    <row r="2499" ht="14.4" customHeight="1">
      <c r="G2499" s="74" t="inlineStr">
        <is>
          <t>kg</t>
        </is>
      </c>
      <c r="M2499" s="64" t="e">
        <v>#N/A</v>
      </c>
    </row>
    <row r="2500" ht="14.4" customHeight="1">
      <c r="G2500" s="74" t="inlineStr">
        <is>
          <t>kg</t>
        </is>
      </c>
      <c r="M2500" s="64" t="e">
        <v>#N/A</v>
      </c>
    </row>
    <row r="2501" ht="14.4" customHeight="1">
      <c r="G2501" s="74" t="inlineStr">
        <is>
          <t>kg</t>
        </is>
      </c>
      <c r="M2501" s="64" t="e">
        <v>#N/A</v>
      </c>
    </row>
    <row r="2502" ht="14.4" customHeight="1">
      <c r="G2502" s="74" t="inlineStr">
        <is>
          <t>kg</t>
        </is>
      </c>
      <c r="M2502" s="64" t="e">
        <v>#N/A</v>
      </c>
    </row>
    <row r="2503" ht="14.4" customHeight="1">
      <c r="G2503" s="74" t="inlineStr">
        <is>
          <t>kg</t>
        </is>
      </c>
      <c r="M2503" s="64" t="e">
        <v>#N/A</v>
      </c>
    </row>
    <row r="2504" ht="14.4" customHeight="1">
      <c r="G2504" s="74" t="inlineStr">
        <is>
          <t>kg</t>
        </is>
      </c>
      <c r="M2504" s="64" t="e">
        <v>#N/A</v>
      </c>
    </row>
    <row r="2505" ht="14.4" customHeight="1">
      <c r="G2505" s="74" t="inlineStr">
        <is>
          <t>kg</t>
        </is>
      </c>
      <c r="M2505" s="64" t="e">
        <v>#N/A</v>
      </c>
    </row>
    <row r="2506" ht="14.4" customHeight="1">
      <c r="G2506" s="74" t="inlineStr">
        <is>
          <t>kg</t>
        </is>
      </c>
      <c r="M2506" s="64" t="e">
        <v>#N/A</v>
      </c>
    </row>
    <row r="2507" ht="14.4" customHeight="1">
      <c r="G2507" s="74" t="inlineStr">
        <is>
          <t>kg</t>
        </is>
      </c>
      <c r="M2507" s="64" t="e">
        <v>#N/A</v>
      </c>
    </row>
    <row r="2508" ht="14.4" customHeight="1">
      <c r="G2508" s="74" t="inlineStr">
        <is>
          <t>kg</t>
        </is>
      </c>
      <c r="M2508" s="64" t="e">
        <v>#N/A</v>
      </c>
    </row>
    <row r="2509" ht="14.4" customHeight="1">
      <c r="G2509" s="74" t="inlineStr">
        <is>
          <t>kg</t>
        </is>
      </c>
      <c r="M2509" s="64" t="e">
        <v>#N/A</v>
      </c>
    </row>
    <row r="2510" ht="14.4" customHeight="1">
      <c r="G2510" s="74" t="inlineStr">
        <is>
          <t>kg</t>
        </is>
      </c>
      <c r="M2510" s="64" t="e">
        <v>#N/A</v>
      </c>
    </row>
    <row r="2511" ht="14.4" customHeight="1">
      <c r="G2511" s="74" t="inlineStr">
        <is>
          <t>kg</t>
        </is>
      </c>
      <c r="M2511" s="64" t="e">
        <v>#N/A</v>
      </c>
    </row>
    <row r="2512" ht="14.4" customHeight="1">
      <c r="G2512" s="74" t="inlineStr">
        <is>
          <t>kg</t>
        </is>
      </c>
      <c r="M2512" s="64" t="e">
        <v>#N/A</v>
      </c>
    </row>
    <row r="2513" ht="14.4" customHeight="1">
      <c r="G2513" s="74" t="inlineStr">
        <is>
          <t>kg</t>
        </is>
      </c>
      <c r="M2513" s="64" t="e">
        <v>#N/A</v>
      </c>
    </row>
    <row r="2514" ht="14.4" customHeight="1">
      <c r="G2514" s="74" t="inlineStr">
        <is>
          <t>kg</t>
        </is>
      </c>
      <c r="M2514" s="64" t="e">
        <v>#N/A</v>
      </c>
    </row>
    <row r="2515" ht="14.4" customHeight="1">
      <c r="G2515" s="74" t="inlineStr">
        <is>
          <t>kg</t>
        </is>
      </c>
      <c r="M2515" s="64" t="e">
        <v>#N/A</v>
      </c>
    </row>
    <row r="2516" ht="14.4" customHeight="1">
      <c r="G2516" s="74" t="inlineStr">
        <is>
          <t>kg</t>
        </is>
      </c>
      <c r="M2516" s="64" t="e">
        <v>#N/A</v>
      </c>
    </row>
    <row r="2517" ht="14.4" customHeight="1">
      <c r="G2517" s="74" t="inlineStr">
        <is>
          <t>kg</t>
        </is>
      </c>
      <c r="M2517" s="64" t="e">
        <v>#N/A</v>
      </c>
    </row>
    <row r="2518" ht="14.4" customHeight="1">
      <c r="G2518" s="74" t="inlineStr">
        <is>
          <t>kg</t>
        </is>
      </c>
      <c r="M2518" s="64" t="e">
        <v>#N/A</v>
      </c>
    </row>
    <row r="2519" ht="14.4" customHeight="1">
      <c r="G2519" s="74" t="inlineStr">
        <is>
          <t>kg</t>
        </is>
      </c>
      <c r="M2519" s="64" t="e">
        <v>#N/A</v>
      </c>
    </row>
    <row r="2520" ht="14.4" customHeight="1">
      <c r="G2520" s="74" t="inlineStr">
        <is>
          <t>kg</t>
        </is>
      </c>
      <c r="M2520" s="64" t="e">
        <v>#N/A</v>
      </c>
    </row>
    <row r="2521" ht="14.4" customHeight="1">
      <c r="G2521" s="74" t="inlineStr">
        <is>
          <t>kg</t>
        </is>
      </c>
      <c r="M2521" s="64" t="e">
        <v>#N/A</v>
      </c>
    </row>
    <row r="2522" ht="14.4" customHeight="1">
      <c r="G2522" s="74" t="inlineStr">
        <is>
          <t>kg</t>
        </is>
      </c>
      <c r="M2522" s="64" t="e">
        <v>#N/A</v>
      </c>
    </row>
    <row r="2523" ht="14.4" customHeight="1">
      <c r="G2523" s="74" t="inlineStr">
        <is>
          <t>kg</t>
        </is>
      </c>
      <c r="M2523" s="64" t="e">
        <v>#N/A</v>
      </c>
    </row>
    <row r="2524" ht="14.4" customHeight="1">
      <c r="G2524" s="74" t="inlineStr">
        <is>
          <t>kg</t>
        </is>
      </c>
      <c r="M2524" s="64" t="e">
        <v>#N/A</v>
      </c>
    </row>
    <row r="2525" ht="14.4" customHeight="1">
      <c r="G2525" s="74" t="inlineStr">
        <is>
          <t>kg</t>
        </is>
      </c>
      <c r="M2525" s="64" t="e">
        <v>#N/A</v>
      </c>
    </row>
    <row r="2526" ht="14.4" customHeight="1">
      <c r="G2526" s="74" t="inlineStr">
        <is>
          <t>kg</t>
        </is>
      </c>
      <c r="M2526" s="64" t="e">
        <v>#N/A</v>
      </c>
    </row>
    <row r="2527" ht="14.4" customHeight="1">
      <c r="G2527" s="74" t="inlineStr">
        <is>
          <t>kg</t>
        </is>
      </c>
      <c r="M2527" s="64" t="e">
        <v>#N/A</v>
      </c>
    </row>
    <row r="2528" ht="14.4" customHeight="1">
      <c r="G2528" s="74" t="inlineStr">
        <is>
          <t>kg</t>
        </is>
      </c>
      <c r="M2528" s="64" t="e">
        <v>#N/A</v>
      </c>
    </row>
    <row r="2529" ht="14.4" customHeight="1">
      <c r="G2529" s="74" t="inlineStr">
        <is>
          <t>kg</t>
        </is>
      </c>
      <c r="M2529" s="64" t="e">
        <v>#N/A</v>
      </c>
    </row>
    <row r="2530" ht="14.4" customHeight="1">
      <c r="G2530" s="74" t="inlineStr">
        <is>
          <t>kg</t>
        </is>
      </c>
      <c r="M2530" s="64" t="e">
        <v>#N/A</v>
      </c>
    </row>
    <row r="2531" ht="14.4" customHeight="1">
      <c r="G2531" s="74" t="inlineStr">
        <is>
          <t>kg</t>
        </is>
      </c>
      <c r="M2531" s="64" t="e">
        <v>#N/A</v>
      </c>
    </row>
    <row r="2532" ht="14.4" customHeight="1">
      <c r="G2532" s="74" t="inlineStr">
        <is>
          <t>kg</t>
        </is>
      </c>
      <c r="M2532" s="64" t="e">
        <v>#N/A</v>
      </c>
    </row>
    <row r="2533" ht="14.4" customHeight="1">
      <c r="G2533" s="74" t="inlineStr">
        <is>
          <t>kg</t>
        </is>
      </c>
      <c r="M2533" s="64" t="e">
        <v>#N/A</v>
      </c>
    </row>
    <row r="2534" ht="14.4" customHeight="1">
      <c r="G2534" s="74" t="inlineStr">
        <is>
          <t>kg</t>
        </is>
      </c>
      <c r="M2534" s="64" t="e">
        <v>#N/A</v>
      </c>
    </row>
    <row r="2535" ht="14.4" customHeight="1">
      <c r="G2535" s="74" t="inlineStr">
        <is>
          <t>kg</t>
        </is>
      </c>
      <c r="M2535" s="64" t="e">
        <v>#N/A</v>
      </c>
    </row>
    <row r="2536" ht="14.4" customHeight="1">
      <c r="G2536" s="74" t="inlineStr">
        <is>
          <t>kg</t>
        </is>
      </c>
      <c r="M2536" s="64" t="e">
        <v>#N/A</v>
      </c>
    </row>
    <row r="2537" ht="14.4" customHeight="1">
      <c r="G2537" s="74" t="inlineStr">
        <is>
          <t>kg</t>
        </is>
      </c>
      <c r="M2537" s="64" t="e">
        <v>#N/A</v>
      </c>
    </row>
    <row r="2538" ht="14.4" customHeight="1">
      <c r="G2538" s="74" t="inlineStr">
        <is>
          <t>kg</t>
        </is>
      </c>
      <c r="M2538" s="64" t="e">
        <v>#N/A</v>
      </c>
    </row>
    <row r="2539" ht="14.4" customHeight="1">
      <c r="G2539" s="74" t="inlineStr">
        <is>
          <t>kg</t>
        </is>
      </c>
      <c r="M2539" s="64" t="e">
        <v>#N/A</v>
      </c>
    </row>
    <row r="2540" ht="14.4" customHeight="1">
      <c r="G2540" s="74" t="inlineStr">
        <is>
          <t>kg</t>
        </is>
      </c>
      <c r="M2540" s="64" t="e">
        <v>#N/A</v>
      </c>
    </row>
    <row r="2541" ht="14.4" customHeight="1">
      <c r="G2541" s="74" t="inlineStr">
        <is>
          <t>kg</t>
        </is>
      </c>
      <c r="M2541" s="64" t="e">
        <v>#N/A</v>
      </c>
    </row>
    <row r="2542" ht="14.4" customHeight="1">
      <c r="G2542" s="74" t="inlineStr">
        <is>
          <t>kg</t>
        </is>
      </c>
      <c r="M2542" s="64" t="e">
        <v>#N/A</v>
      </c>
    </row>
    <row r="2543" ht="14.4" customHeight="1">
      <c r="G2543" s="74" t="inlineStr">
        <is>
          <t>kg</t>
        </is>
      </c>
      <c r="M2543" s="64" t="e">
        <v>#N/A</v>
      </c>
    </row>
    <row r="2544" ht="14.4" customHeight="1">
      <c r="G2544" s="74" t="inlineStr">
        <is>
          <t>kg</t>
        </is>
      </c>
      <c r="M2544" s="64" t="e">
        <v>#N/A</v>
      </c>
    </row>
    <row r="2545" ht="14.4" customHeight="1">
      <c r="G2545" s="74" t="inlineStr">
        <is>
          <t>kg</t>
        </is>
      </c>
      <c r="M2545" s="64" t="e">
        <v>#N/A</v>
      </c>
    </row>
    <row r="2546" ht="14.4" customHeight="1">
      <c r="G2546" s="74" t="inlineStr">
        <is>
          <t>kg</t>
        </is>
      </c>
      <c r="M2546" s="64" t="e">
        <v>#N/A</v>
      </c>
    </row>
    <row r="2547" ht="14.4" customHeight="1">
      <c r="G2547" s="74" t="inlineStr">
        <is>
          <t>kg</t>
        </is>
      </c>
      <c r="M2547" s="64" t="e">
        <v>#N/A</v>
      </c>
    </row>
    <row r="2548" ht="14.4" customHeight="1">
      <c r="G2548" s="74" t="inlineStr">
        <is>
          <t>kg</t>
        </is>
      </c>
      <c r="M2548" s="64" t="e">
        <v>#N/A</v>
      </c>
    </row>
    <row r="2549" ht="14.4" customHeight="1">
      <c r="G2549" s="74" t="inlineStr">
        <is>
          <t>kg</t>
        </is>
      </c>
      <c r="M2549" s="64" t="e">
        <v>#N/A</v>
      </c>
    </row>
    <row r="2550" ht="14.4" customHeight="1">
      <c r="G2550" s="74" t="inlineStr">
        <is>
          <t>kg</t>
        </is>
      </c>
      <c r="M2550" s="64" t="e">
        <v>#N/A</v>
      </c>
    </row>
    <row r="2551" ht="14.4" customHeight="1">
      <c r="G2551" s="74" t="inlineStr">
        <is>
          <t>kg</t>
        </is>
      </c>
      <c r="M2551" s="64" t="e">
        <v>#N/A</v>
      </c>
    </row>
    <row r="2552" ht="14.4" customHeight="1">
      <c r="G2552" s="74" t="inlineStr">
        <is>
          <t>kg</t>
        </is>
      </c>
      <c r="M2552" s="64" t="e">
        <v>#N/A</v>
      </c>
    </row>
    <row r="2553" ht="14.4" customHeight="1">
      <c r="G2553" s="74" t="inlineStr">
        <is>
          <t>kg</t>
        </is>
      </c>
      <c r="M2553" s="64" t="e">
        <v>#N/A</v>
      </c>
    </row>
    <row r="2554" ht="14.4" customHeight="1">
      <c r="G2554" s="74" t="inlineStr">
        <is>
          <t>kg</t>
        </is>
      </c>
      <c r="M2554" s="64" t="e">
        <v>#N/A</v>
      </c>
    </row>
    <row r="2555" ht="14.4" customHeight="1">
      <c r="G2555" s="74" t="inlineStr">
        <is>
          <t>kg</t>
        </is>
      </c>
      <c r="M2555" s="64" t="e">
        <v>#N/A</v>
      </c>
    </row>
    <row r="2556" ht="14.4" customHeight="1">
      <c r="G2556" s="74" t="inlineStr">
        <is>
          <t>kg</t>
        </is>
      </c>
      <c r="M2556" s="64" t="e">
        <v>#N/A</v>
      </c>
    </row>
    <row r="2557" ht="14.4" customHeight="1">
      <c r="G2557" s="74" t="inlineStr">
        <is>
          <t>kg</t>
        </is>
      </c>
      <c r="M2557" s="64" t="e">
        <v>#N/A</v>
      </c>
    </row>
    <row r="2558" ht="14.4" customHeight="1">
      <c r="G2558" s="74" t="inlineStr">
        <is>
          <t>kg</t>
        </is>
      </c>
      <c r="M2558" s="64" t="e">
        <v>#N/A</v>
      </c>
    </row>
    <row r="2559" ht="14.4" customHeight="1">
      <c r="G2559" s="74" t="inlineStr">
        <is>
          <t>kg</t>
        </is>
      </c>
      <c r="M2559" s="64" t="e">
        <v>#N/A</v>
      </c>
    </row>
    <row r="2560" ht="14.4" customHeight="1">
      <c r="G2560" s="74" t="inlineStr">
        <is>
          <t>kg</t>
        </is>
      </c>
      <c r="M2560" s="64" t="e">
        <v>#N/A</v>
      </c>
    </row>
    <row r="2561" ht="14.4" customHeight="1">
      <c r="G2561" s="74" t="inlineStr">
        <is>
          <t>kg</t>
        </is>
      </c>
      <c r="M2561" s="64" t="e">
        <v>#N/A</v>
      </c>
    </row>
    <row r="2562" ht="14.4" customHeight="1">
      <c r="G2562" s="74" t="inlineStr">
        <is>
          <t>kg</t>
        </is>
      </c>
      <c r="M2562" s="64" t="e">
        <v>#N/A</v>
      </c>
    </row>
    <row r="2563" ht="14.4" customHeight="1">
      <c r="G2563" s="74" t="inlineStr">
        <is>
          <t>kg</t>
        </is>
      </c>
      <c r="M2563" s="64" t="e">
        <v>#N/A</v>
      </c>
    </row>
    <row r="2564" ht="14.4" customHeight="1">
      <c r="G2564" s="74" t="inlineStr">
        <is>
          <t>kg</t>
        </is>
      </c>
      <c r="M2564" s="64" t="e">
        <v>#N/A</v>
      </c>
    </row>
    <row r="2565" ht="14.4" customHeight="1">
      <c r="G2565" s="74" t="inlineStr">
        <is>
          <t>kg</t>
        </is>
      </c>
      <c r="M2565" s="64" t="e">
        <v>#N/A</v>
      </c>
    </row>
    <row r="2566" ht="14.4" customHeight="1">
      <c r="G2566" s="74" t="inlineStr">
        <is>
          <t>kg</t>
        </is>
      </c>
      <c r="M2566" s="64" t="e">
        <v>#N/A</v>
      </c>
    </row>
    <row r="2567" ht="14.4" customHeight="1">
      <c r="G2567" s="74" t="inlineStr">
        <is>
          <t>kg</t>
        </is>
      </c>
      <c r="M2567" s="64" t="e">
        <v>#N/A</v>
      </c>
    </row>
    <row r="2568" ht="14.4" customHeight="1">
      <c r="G2568" s="74" t="inlineStr">
        <is>
          <t>kg</t>
        </is>
      </c>
      <c r="M2568" s="64" t="e">
        <v>#N/A</v>
      </c>
    </row>
    <row r="2569" ht="14.4" customHeight="1">
      <c r="G2569" s="74" t="inlineStr">
        <is>
          <t>kg</t>
        </is>
      </c>
      <c r="M2569" s="64" t="e">
        <v>#N/A</v>
      </c>
    </row>
    <row r="2570" ht="14.4" customHeight="1">
      <c r="G2570" s="74" t="inlineStr">
        <is>
          <t>kg</t>
        </is>
      </c>
      <c r="M2570" s="64" t="e">
        <v>#N/A</v>
      </c>
    </row>
    <row r="2571" ht="14.4" customHeight="1">
      <c r="G2571" s="74" t="inlineStr">
        <is>
          <t>kg</t>
        </is>
      </c>
      <c r="M2571" s="64" t="e">
        <v>#N/A</v>
      </c>
    </row>
    <row r="2572" ht="14.4" customHeight="1">
      <c r="G2572" s="74" t="inlineStr">
        <is>
          <t>kg</t>
        </is>
      </c>
      <c r="M2572" s="64" t="e">
        <v>#N/A</v>
      </c>
    </row>
    <row r="2573" ht="14.4" customHeight="1">
      <c r="G2573" s="74" t="inlineStr">
        <is>
          <t>kg</t>
        </is>
      </c>
      <c r="M2573" s="64" t="e">
        <v>#N/A</v>
      </c>
    </row>
    <row r="2574" ht="14.4" customHeight="1">
      <c r="G2574" s="74" t="inlineStr">
        <is>
          <t>kg</t>
        </is>
      </c>
      <c r="M2574" s="64" t="e">
        <v>#N/A</v>
      </c>
    </row>
    <row r="2575" ht="14.4" customHeight="1">
      <c r="G2575" s="74" t="inlineStr">
        <is>
          <t>kg</t>
        </is>
      </c>
      <c r="M2575" s="64" t="e">
        <v>#N/A</v>
      </c>
    </row>
    <row r="2576" ht="14.4" customHeight="1">
      <c r="G2576" s="74" t="inlineStr">
        <is>
          <t>kg</t>
        </is>
      </c>
      <c r="M2576" s="64" t="e">
        <v>#N/A</v>
      </c>
    </row>
    <row r="2577" ht="14.4" customHeight="1">
      <c r="G2577" s="74" t="inlineStr">
        <is>
          <t>kg</t>
        </is>
      </c>
      <c r="M2577" s="64" t="e">
        <v>#N/A</v>
      </c>
    </row>
    <row r="2578" ht="14.4" customHeight="1">
      <c r="G2578" s="74" t="inlineStr">
        <is>
          <t>kg</t>
        </is>
      </c>
      <c r="M2578" s="64" t="e">
        <v>#N/A</v>
      </c>
    </row>
    <row r="2579" ht="14.4" customHeight="1">
      <c r="G2579" s="74" t="inlineStr">
        <is>
          <t>kg</t>
        </is>
      </c>
      <c r="M2579" s="64" t="e">
        <v>#N/A</v>
      </c>
    </row>
    <row r="2580" ht="14.4" customHeight="1">
      <c r="G2580" s="74" t="inlineStr">
        <is>
          <t>kg</t>
        </is>
      </c>
      <c r="M2580" s="64" t="e">
        <v>#N/A</v>
      </c>
    </row>
    <row r="2581" ht="14.4" customHeight="1">
      <c r="G2581" s="74" t="inlineStr">
        <is>
          <t>kg</t>
        </is>
      </c>
      <c r="M2581" s="64" t="e">
        <v>#N/A</v>
      </c>
    </row>
    <row r="2582" ht="14.4" customHeight="1">
      <c r="G2582" s="74" t="inlineStr">
        <is>
          <t>kg</t>
        </is>
      </c>
      <c r="M2582" s="64" t="e">
        <v>#N/A</v>
      </c>
    </row>
    <row r="2583" ht="14.4" customHeight="1">
      <c r="G2583" s="74" t="inlineStr">
        <is>
          <t>kg</t>
        </is>
      </c>
      <c r="M2583" s="64" t="e">
        <v>#N/A</v>
      </c>
    </row>
    <row r="2584" ht="14.4" customHeight="1">
      <c r="G2584" s="74" t="inlineStr">
        <is>
          <t>kg</t>
        </is>
      </c>
      <c r="M2584" s="64" t="e">
        <v>#N/A</v>
      </c>
    </row>
    <row r="2585" ht="14.4" customHeight="1">
      <c r="G2585" s="74" t="inlineStr">
        <is>
          <t>kg</t>
        </is>
      </c>
      <c r="M2585" s="64" t="e">
        <v>#N/A</v>
      </c>
    </row>
    <row r="2586" ht="14.4" customHeight="1">
      <c r="G2586" s="74" t="inlineStr">
        <is>
          <t>kg</t>
        </is>
      </c>
      <c r="M2586" s="64" t="e">
        <v>#N/A</v>
      </c>
    </row>
    <row r="2587" ht="14.4" customHeight="1">
      <c r="G2587" s="74" t="inlineStr">
        <is>
          <t>kg</t>
        </is>
      </c>
      <c r="M2587" s="64" t="e">
        <v>#N/A</v>
      </c>
    </row>
    <row r="2588" ht="14.4" customHeight="1">
      <c r="G2588" s="74" t="inlineStr">
        <is>
          <t>kg</t>
        </is>
      </c>
      <c r="M2588" s="64" t="e">
        <v>#N/A</v>
      </c>
    </row>
    <row r="2589" ht="14.4" customHeight="1">
      <c r="G2589" s="74" t="inlineStr">
        <is>
          <t>kg</t>
        </is>
      </c>
      <c r="M2589" s="64" t="e">
        <v>#N/A</v>
      </c>
    </row>
    <row r="2590" ht="14.4" customHeight="1">
      <c r="G2590" s="74" t="inlineStr">
        <is>
          <t>kg</t>
        </is>
      </c>
      <c r="M2590" s="64" t="e">
        <v>#N/A</v>
      </c>
    </row>
    <row r="2591" ht="14.4" customHeight="1">
      <c r="G2591" s="74" t="inlineStr">
        <is>
          <t>kg</t>
        </is>
      </c>
      <c r="M2591" s="64" t="e">
        <v>#N/A</v>
      </c>
    </row>
    <row r="2592" ht="14.4" customHeight="1">
      <c r="G2592" s="74" t="inlineStr">
        <is>
          <t>kg</t>
        </is>
      </c>
      <c r="M2592" s="64" t="e">
        <v>#N/A</v>
      </c>
    </row>
    <row r="2593" ht="14.4" customHeight="1">
      <c r="G2593" s="74" t="inlineStr">
        <is>
          <t>kg</t>
        </is>
      </c>
      <c r="M2593" s="64" t="e">
        <v>#N/A</v>
      </c>
    </row>
    <row r="2594" ht="14.4" customHeight="1">
      <c r="G2594" s="74" t="inlineStr">
        <is>
          <t>kg</t>
        </is>
      </c>
      <c r="M2594" s="64" t="e">
        <v>#N/A</v>
      </c>
    </row>
    <row r="2595" ht="14.4" customHeight="1">
      <c r="G2595" s="74" t="inlineStr">
        <is>
          <t>kg</t>
        </is>
      </c>
      <c r="M2595" s="64" t="e">
        <v>#N/A</v>
      </c>
    </row>
    <row r="2596" ht="14.4" customHeight="1">
      <c r="G2596" s="74" t="inlineStr">
        <is>
          <t>kg</t>
        </is>
      </c>
      <c r="M2596" s="64" t="e">
        <v>#N/A</v>
      </c>
    </row>
    <row r="2597" ht="14.4" customHeight="1">
      <c r="G2597" s="74" t="inlineStr">
        <is>
          <t>kg</t>
        </is>
      </c>
      <c r="M2597" s="64" t="e">
        <v>#N/A</v>
      </c>
    </row>
    <row r="2598" ht="14.4" customHeight="1">
      <c r="G2598" s="74" t="inlineStr">
        <is>
          <t>kg</t>
        </is>
      </c>
      <c r="M2598" s="64" t="e">
        <v>#N/A</v>
      </c>
    </row>
    <row r="2599" ht="14.4" customHeight="1">
      <c r="G2599" s="74" t="inlineStr">
        <is>
          <t>kg</t>
        </is>
      </c>
      <c r="M2599" s="64" t="e">
        <v>#N/A</v>
      </c>
    </row>
    <row r="2600" ht="14.4" customHeight="1">
      <c r="G2600" s="74" t="inlineStr">
        <is>
          <t>kg</t>
        </is>
      </c>
      <c r="M2600" s="64" t="e">
        <v>#N/A</v>
      </c>
    </row>
    <row r="2601" ht="14.4" customHeight="1">
      <c r="G2601" s="74" t="inlineStr">
        <is>
          <t>kg</t>
        </is>
      </c>
      <c r="M2601" s="64" t="e">
        <v>#N/A</v>
      </c>
    </row>
    <row r="2602" ht="14.4" customHeight="1">
      <c r="G2602" s="74" t="inlineStr">
        <is>
          <t>kg</t>
        </is>
      </c>
      <c r="M2602" s="64" t="e">
        <v>#N/A</v>
      </c>
    </row>
    <row r="2603" ht="14.4" customHeight="1">
      <c r="G2603" s="74" t="inlineStr">
        <is>
          <t>kg</t>
        </is>
      </c>
      <c r="M2603" s="64" t="e">
        <v>#N/A</v>
      </c>
    </row>
    <row r="2604" ht="14.4" customHeight="1">
      <c r="G2604" s="74" t="inlineStr">
        <is>
          <t>kg</t>
        </is>
      </c>
      <c r="M2604" s="64" t="e">
        <v>#N/A</v>
      </c>
    </row>
    <row r="2605" ht="14.4" customHeight="1">
      <c r="G2605" s="74" t="inlineStr">
        <is>
          <t>kg</t>
        </is>
      </c>
      <c r="M2605" s="64" t="e">
        <v>#N/A</v>
      </c>
    </row>
    <row r="2606" ht="14.4" customHeight="1">
      <c r="G2606" s="74" t="inlineStr">
        <is>
          <t>kg</t>
        </is>
      </c>
      <c r="M2606" s="64" t="e">
        <v>#N/A</v>
      </c>
    </row>
    <row r="2607" ht="14.4" customHeight="1">
      <c r="G2607" s="74" t="inlineStr">
        <is>
          <t>kg</t>
        </is>
      </c>
      <c r="M2607" s="64" t="e">
        <v>#N/A</v>
      </c>
    </row>
    <row r="2608" ht="14.4" customHeight="1">
      <c r="G2608" s="74" t="inlineStr">
        <is>
          <t>kg</t>
        </is>
      </c>
      <c r="M2608" s="64" t="e">
        <v>#N/A</v>
      </c>
    </row>
    <row r="2609" ht="14.4" customHeight="1">
      <c r="G2609" s="74" t="inlineStr">
        <is>
          <t>kg</t>
        </is>
      </c>
      <c r="M2609" s="64" t="e">
        <v>#N/A</v>
      </c>
    </row>
    <row r="2610" ht="14.4" customHeight="1">
      <c r="G2610" s="74" t="inlineStr">
        <is>
          <t>kg</t>
        </is>
      </c>
      <c r="M2610" s="64" t="e">
        <v>#N/A</v>
      </c>
    </row>
    <row r="2611" ht="14.4" customHeight="1">
      <c r="G2611" s="74" t="inlineStr">
        <is>
          <t>kg</t>
        </is>
      </c>
      <c r="M2611" s="64" t="e">
        <v>#N/A</v>
      </c>
    </row>
    <row r="2612" ht="14.4" customHeight="1">
      <c r="G2612" s="74" t="inlineStr">
        <is>
          <t>kg</t>
        </is>
      </c>
      <c r="M2612" s="64" t="e">
        <v>#N/A</v>
      </c>
    </row>
    <row r="2613" ht="14.4" customHeight="1">
      <c r="G2613" s="74" t="inlineStr">
        <is>
          <t>kg</t>
        </is>
      </c>
      <c r="M2613" s="64" t="e">
        <v>#N/A</v>
      </c>
    </row>
    <row r="2614" ht="14.4" customHeight="1">
      <c r="G2614" s="74" t="inlineStr">
        <is>
          <t>kg</t>
        </is>
      </c>
      <c r="M2614" s="64" t="e">
        <v>#N/A</v>
      </c>
    </row>
    <row r="2615" ht="14.4" customHeight="1">
      <c r="G2615" s="74" t="inlineStr">
        <is>
          <t>kg</t>
        </is>
      </c>
      <c r="M2615" s="64" t="e">
        <v>#N/A</v>
      </c>
    </row>
    <row r="2616" ht="14.4" customHeight="1">
      <c r="G2616" s="74" t="inlineStr">
        <is>
          <t>kg</t>
        </is>
      </c>
      <c r="M2616" s="64" t="e">
        <v>#N/A</v>
      </c>
    </row>
    <row r="2617" ht="14.4" customHeight="1">
      <c r="G2617" s="74" t="inlineStr">
        <is>
          <t>kg</t>
        </is>
      </c>
      <c r="M2617" s="64" t="e">
        <v>#N/A</v>
      </c>
    </row>
    <row r="2618" ht="14.4" customHeight="1">
      <c r="G2618" s="74" t="inlineStr">
        <is>
          <t>kg</t>
        </is>
      </c>
      <c r="M2618" s="64" t="e">
        <v>#N/A</v>
      </c>
    </row>
    <row r="2619" ht="14.4" customHeight="1">
      <c r="G2619" s="74" t="inlineStr">
        <is>
          <t>kg</t>
        </is>
      </c>
      <c r="M2619" s="64" t="e">
        <v>#N/A</v>
      </c>
    </row>
    <row r="2620" ht="14.4" customHeight="1">
      <c r="G2620" s="74" t="inlineStr">
        <is>
          <t>kg</t>
        </is>
      </c>
      <c r="M2620" s="64" t="e">
        <v>#N/A</v>
      </c>
    </row>
    <row r="2621" ht="14.4" customHeight="1">
      <c r="G2621" s="74" t="inlineStr">
        <is>
          <t>kg</t>
        </is>
      </c>
      <c r="M2621" s="64" t="e">
        <v>#N/A</v>
      </c>
    </row>
    <row r="2622" ht="14.4" customHeight="1">
      <c r="G2622" s="74" t="inlineStr">
        <is>
          <t>kg</t>
        </is>
      </c>
      <c r="M2622" s="64" t="e">
        <v>#N/A</v>
      </c>
    </row>
    <row r="2623" ht="14.4" customHeight="1">
      <c r="G2623" s="74" t="inlineStr">
        <is>
          <t>kg</t>
        </is>
      </c>
      <c r="M2623" s="64" t="e">
        <v>#N/A</v>
      </c>
    </row>
    <row r="2624" ht="14.4" customHeight="1">
      <c r="G2624" s="74" t="inlineStr">
        <is>
          <t>kg</t>
        </is>
      </c>
      <c r="M2624" s="64" t="e">
        <v>#N/A</v>
      </c>
    </row>
    <row r="2625" ht="14.4" customHeight="1">
      <c r="G2625" s="74" t="inlineStr">
        <is>
          <t>kg</t>
        </is>
      </c>
      <c r="M2625" s="64" t="e">
        <v>#N/A</v>
      </c>
    </row>
    <row r="2626" ht="14.4" customHeight="1">
      <c r="G2626" s="74" t="inlineStr">
        <is>
          <t>kg</t>
        </is>
      </c>
      <c r="M2626" s="64" t="e">
        <v>#N/A</v>
      </c>
    </row>
    <row r="2627" ht="14.4" customHeight="1">
      <c r="G2627" s="74" t="inlineStr">
        <is>
          <t>kg</t>
        </is>
      </c>
      <c r="M2627" s="64" t="e">
        <v>#N/A</v>
      </c>
    </row>
    <row r="2628" ht="14.4" customHeight="1">
      <c r="G2628" s="74" t="inlineStr">
        <is>
          <t>kg</t>
        </is>
      </c>
      <c r="M2628" s="64" t="e">
        <v>#N/A</v>
      </c>
    </row>
    <row r="2629" ht="14.4" customHeight="1">
      <c r="G2629" s="74" t="inlineStr">
        <is>
          <t>kg</t>
        </is>
      </c>
      <c r="M2629" s="64" t="e">
        <v>#N/A</v>
      </c>
    </row>
    <row r="2630" ht="14.4" customHeight="1">
      <c r="G2630" s="74" t="inlineStr">
        <is>
          <t>kg</t>
        </is>
      </c>
      <c r="M2630" s="64" t="e">
        <v>#N/A</v>
      </c>
    </row>
    <row r="2631" ht="14.4" customHeight="1">
      <c r="G2631" s="74" t="inlineStr">
        <is>
          <t>kg</t>
        </is>
      </c>
      <c r="M2631" s="64" t="e">
        <v>#N/A</v>
      </c>
    </row>
    <row r="2632" ht="14.4" customHeight="1">
      <c r="G2632" s="74" t="inlineStr">
        <is>
          <t>kg</t>
        </is>
      </c>
      <c r="M2632" s="64" t="e">
        <v>#N/A</v>
      </c>
    </row>
    <row r="2633" ht="14.4" customHeight="1">
      <c r="G2633" s="74" t="inlineStr">
        <is>
          <t>kg</t>
        </is>
      </c>
      <c r="M2633" s="64" t="e">
        <v>#N/A</v>
      </c>
    </row>
    <row r="2634" ht="14.4" customHeight="1">
      <c r="G2634" s="74" t="inlineStr">
        <is>
          <t>kg</t>
        </is>
      </c>
      <c r="M2634" s="64" t="e">
        <v>#N/A</v>
      </c>
    </row>
    <row r="2635" ht="14.4" customHeight="1">
      <c r="G2635" s="74" t="inlineStr">
        <is>
          <t>kg</t>
        </is>
      </c>
      <c r="M2635" s="64" t="e">
        <v>#N/A</v>
      </c>
    </row>
    <row r="2636" ht="14.4" customHeight="1">
      <c r="G2636" s="74" t="inlineStr">
        <is>
          <t>kg</t>
        </is>
      </c>
      <c r="M2636" s="64" t="e">
        <v>#N/A</v>
      </c>
    </row>
    <row r="2637" ht="14.4" customHeight="1">
      <c r="G2637" s="74" t="inlineStr">
        <is>
          <t>kg</t>
        </is>
      </c>
      <c r="M2637" s="64" t="e">
        <v>#N/A</v>
      </c>
    </row>
    <row r="2638" ht="14.4" customHeight="1">
      <c r="G2638" s="74" t="inlineStr">
        <is>
          <t>kg</t>
        </is>
      </c>
      <c r="M2638" s="64" t="e">
        <v>#N/A</v>
      </c>
    </row>
    <row r="2639" ht="14.4" customHeight="1">
      <c r="G2639" s="74" t="inlineStr">
        <is>
          <t>kg</t>
        </is>
      </c>
      <c r="M2639" s="64" t="e">
        <v>#N/A</v>
      </c>
    </row>
    <row r="2640" ht="14.4" customHeight="1">
      <c r="G2640" s="74" t="inlineStr">
        <is>
          <t>kg</t>
        </is>
      </c>
      <c r="M2640" s="64" t="e">
        <v>#N/A</v>
      </c>
    </row>
    <row r="2641" ht="14.4" customHeight="1">
      <c r="G2641" s="74" t="inlineStr">
        <is>
          <t>kg</t>
        </is>
      </c>
      <c r="M2641" s="64" t="e">
        <v>#N/A</v>
      </c>
    </row>
    <row r="2642" ht="14.4" customHeight="1">
      <c r="G2642" s="74" t="inlineStr">
        <is>
          <t>kg</t>
        </is>
      </c>
      <c r="M2642" s="64" t="e">
        <v>#N/A</v>
      </c>
    </row>
    <row r="2643" ht="14.4" customHeight="1">
      <c r="G2643" s="74" t="inlineStr">
        <is>
          <t>kg</t>
        </is>
      </c>
      <c r="M2643" s="64" t="e">
        <v>#N/A</v>
      </c>
    </row>
    <row r="2644" ht="14.4" customHeight="1">
      <c r="G2644" s="74" t="inlineStr">
        <is>
          <t>kg</t>
        </is>
      </c>
      <c r="M2644" s="64" t="e">
        <v>#N/A</v>
      </c>
    </row>
    <row r="2645" ht="14.4" customHeight="1">
      <c r="G2645" s="74" t="inlineStr">
        <is>
          <t>kg</t>
        </is>
      </c>
      <c r="M2645" s="64" t="e">
        <v>#N/A</v>
      </c>
    </row>
    <row r="2646" ht="14.4" customHeight="1">
      <c r="G2646" s="74" t="inlineStr">
        <is>
          <t>kg</t>
        </is>
      </c>
      <c r="M2646" s="64" t="e">
        <v>#N/A</v>
      </c>
    </row>
    <row r="2647" ht="14.4" customHeight="1">
      <c r="G2647" s="74" t="inlineStr">
        <is>
          <t>kg</t>
        </is>
      </c>
      <c r="M2647" s="64" t="e">
        <v>#N/A</v>
      </c>
    </row>
    <row r="2648" ht="14.4" customHeight="1">
      <c r="G2648" s="74" t="inlineStr">
        <is>
          <t>kg</t>
        </is>
      </c>
      <c r="M2648" s="64" t="e">
        <v>#N/A</v>
      </c>
    </row>
    <row r="2649" ht="14.4" customHeight="1">
      <c r="G2649" s="74" t="inlineStr">
        <is>
          <t>kg</t>
        </is>
      </c>
      <c r="M2649" s="64" t="e">
        <v>#N/A</v>
      </c>
    </row>
    <row r="2650" ht="14.4" customHeight="1">
      <c r="G2650" s="74" t="inlineStr">
        <is>
          <t>kg</t>
        </is>
      </c>
      <c r="M2650" s="64" t="e">
        <v>#N/A</v>
      </c>
    </row>
    <row r="2651" ht="14.4" customHeight="1">
      <c r="G2651" s="74" t="inlineStr">
        <is>
          <t>kg</t>
        </is>
      </c>
      <c r="M2651" s="64" t="e">
        <v>#N/A</v>
      </c>
    </row>
    <row r="2652" ht="14.4" customHeight="1">
      <c r="G2652" s="74" t="inlineStr">
        <is>
          <t>kg</t>
        </is>
      </c>
      <c r="M2652" s="64" t="e">
        <v>#N/A</v>
      </c>
    </row>
    <row r="2653" ht="14.4" customHeight="1">
      <c r="G2653" s="74" t="inlineStr">
        <is>
          <t>kg</t>
        </is>
      </c>
      <c r="M2653" s="64" t="e">
        <v>#N/A</v>
      </c>
    </row>
    <row r="2654" ht="14.4" customHeight="1">
      <c r="G2654" s="74" t="inlineStr">
        <is>
          <t>kg</t>
        </is>
      </c>
      <c r="M2654" s="64" t="e">
        <v>#N/A</v>
      </c>
    </row>
    <row r="2655" ht="14.4" customHeight="1">
      <c r="G2655" s="74" t="inlineStr">
        <is>
          <t>kg</t>
        </is>
      </c>
      <c r="M2655" s="64" t="e">
        <v>#N/A</v>
      </c>
    </row>
    <row r="2656" ht="14.4" customHeight="1">
      <c r="G2656" s="74" t="inlineStr">
        <is>
          <t>kg</t>
        </is>
      </c>
      <c r="M2656" s="64" t="e">
        <v>#N/A</v>
      </c>
    </row>
    <row r="2657" ht="14.4" customHeight="1">
      <c r="G2657" s="74" t="inlineStr">
        <is>
          <t>kg</t>
        </is>
      </c>
      <c r="M2657" s="64" t="e">
        <v>#N/A</v>
      </c>
    </row>
    <row r="2658" ht="14.4" customHeight="1">
      <c r="G2658" s="74" t="inlineStr">
        <is>
          <t>kg</t>
        </is>
      </c>
      <c r="M2658" s="64" t="e">
        <v>#N/A</v>
      </c>
    </row>
    <row r="2659" ht="14.4" customHeight="1">
      <c r="G2659" s="74" t="inlineStr">
        <is>
          <t>kg</t>
        </is>
      </c>
      <c r="M2659" s="64" t="e">
        <v>#N/A</v>
      </c>
    </row>
    <row r="2660" ht="14.4" customHeight="1">
      <c r="G2660" s="74" t="inlineStr">
        <is>
          <t>kg</t>
        </is>
      </c>
      <c r="M2660" s="64" t="e">
        <v>#N/A</v>
      </c>
    </row>
    <row r="2661" ht="14.4" customHeight="1">
      <c r="G2661" s="74" t="inlineStr">
        <is>
          <t>kg</t>
        </is>
      </c>
      <c r="M2661" s="64" t="e">
        <v>#N/A</v>
      </c>
    </row>
    <row r="2662" ht="14.4" customHeight="1">
      <c r="G2662" s="74" t="inlineStr">
        <is>
          <t>kg</t>
        </is>
      </c>
      <c r="M2662" s="64" t="e">
        <v>#N/A</v>
      </c>
    </row>
    <row r="2663" ht="14.4" customHeight="1">
      <c r="G2663" s="74" t="inlineStr">
        <is>
          <t>kg</t>
        </is>
      </c>
      <c r="M2663" s="64" t="e">
        <v>#N/A</v>
      </c>
    </row>
    <row r="2664" ht="14.4" customHeight="1">
      <c r="G2664" s="74" t="inlineStr">
        <is>
          <t>kg</t>
        </is>
      </c>
      <c r="M2664" s="64" t="e">
        <v>#N/A</v>
      </c>
    </row>
    <row r="2665" ht="14.4" customHeight="1">
      <c r="G2665" s="74" t="inlineStr">
        <is>
          <t>kg</t>
        </is>
      </c>
      <c r="M2665" s="64" t="e">
        <v>#N/A</v>
      </c>
    </row>
    <row r="2666" ht="14.4" customHeight="1">
      <c r="G2666" s="74" t="inlineStr">
        <is>
          <t>kg</t>
        </is>
      </c>
      <c r="M2666" s="64" t="e">
        <v>#N/A</v>
      </c>
    </row>
    <row r="2667" ht="14.4" customHeight="1">
      <c r="G2667" s="74" t="inlineStr">
        <is>
          <t>kg</t>
        </is>
      </c>
      <c r="M2667" s="64" t="e">
        <v>#N/A</v>
      </c>
    </row>
    <row r="2668" ht="14.4" customHeight="1">
      <c r="G2668" s="74" t="inlineStr">
        <is>
          <t>kg</t>
        </is>
      </c>
      <c r="M2668" s="64" t="e">
        <v>#N/A</v>
      </c>
    </row>
    <row r="2669" ht="14.4" customHeight="1">
      <c r="G2669" s="74" t="inlineStr">
        <is>
          <t>kg</t>
        </is>
      </c>
      <c r="M2669" s="64" t="e">
        <v>#N/A</v>
      </c>
    </row>
    <row r="2670" ht="14.4" customHeight="1">
      <c r="G2670" s="74" t="inlineStr">
        <is>
          <t>kg</t>
        </is>
      </c>
      <c r="M2670" s="64" t="e">
        <v>#N/A</v>
      </c>
    </row>
    <row r="2671" ht="14.4" customHeight="1">
      <c r="G2671" s="74" t="inlineStr">
        <is>
          <t>kg</t>
        </is>
      </c>
      <c r="M2671" s="64" t="e">
        <v>#N/A</v>
      </c>
    </row>
    <row r="2672" ht="14.4" customHeight="1">
      <c r="G2672" s="74" t="inlineStr">
        <is>
          <t>kg</t>
        </is>
      </c>
      <c r="M2672" s="64" t="e">
        <v>#N/A</v>
      </c>
    </row>
    <row r="2673" ht="14.4" customHeight="1">
      <c r="G2673" s="74" t="inlineStr">
        <is>
          <t>kg</t>
        </is>
      </c>
      <c r="M2673" s="64" t="e">
        <v>#N/A</v>
      </c>
    </row>
    <row r="2674" ht="14.4" customHeight="1">
      <c r="G2674" s="74" t="inlineStr">
        <is>
          <t>kg</t>
        </is>
      </c>
      <c r="M2674" s="64" t="e">
        <v>#N/A</v>
      </c>
    </row>
    <row r="2675" ht="14.4" customHeight="1">
      <c r="G2675" s="74" t="inlineStr">
        <is>
          <t>kg</t>
        </is>
      </c>
      <c r="M2675" s="64" t="e">
        <v>#N/A</v>
      </c>
    </row>
    <row r="2676" ht="14.4" customHeight="1">
      <c r="G2676" s="74" t="inlineStr">
        <is>
          <t>kg</t>
        </is>
      </c>
      <c r="M2676" s="64" t="e">
        <v>#N/A</v>
      </c>
    </row>
    <row r="2677" ht="14.4" customHeight="1">
      <c r="G2677" s="74" t="inlineStr">
        <is>
          <t>kg</t>
        </is>
      </c>
      <c r="M2677" s="64" t="e">
        <v>#N/A</v>
      </c>
    </row>
    <row r="2678" ht="14.4" customHeight="1">
      <c r="G2678" s="74" t="inlineStr">
        <is>
          <t>kg</t>
        </is>
      </c>
      <c r="M2678" s="64" t="e">
        <v>#N/A</v>
      </c>
    </row>
    <row r="2679" ht="14.4" customHeight="1">
      <c r="G2679" s="74" t="inlineStr">
        <is>
          <t>kg</t>
        </is>
      </c>
      <c r="M2679" s="64" t="e">
        <v>#N/A</v>
      </c>
    </row>
    <row r="2680" ht="14.4" customHeight="1">
      <c r="G2680" s="74" t="inlineStr">
        <is>
          <t>kg</t>
        </is>
      </c>
      <c r="M2680" s="64" t="e">
        <v>#N/A</v>
      </c>
    </row>
    <row r="2681" ht="14.4" customHeight="1">
      <c r="G2681" s="74" t="inlineStr">
        <is>
          <t>kg</t>
        </is>
      </c>
      <c r="M2681" s="64" t="e">
        <v>#N/A</v>
      </c>
    </row>
    <row r="2682" ht="14.4" customHeight="1">
      <c r="G2682" s="74" t="inlineStr">
        <is>
          <t>kg</t>
        </is>
      </c>
      <c r="M2682" s="64" t="e">
        <v>#N/A</v>
      </c>
    </row>
    <row r="2683" ht="14.4" customHeight="1">
      <c r="G2683" s="74" t="inlineStr">
        <is>
          <t>kg</t>
        </is>
      </c>
      <c r="M2683" s="64" t="e">
        <v>#N/A</v>
      </c>
    </row>
    <row r="2684" ht="14.4" customHeight="1">
      <c r="G2684" s="74" t="inlineStr">
        <is>
          <t>kg</t>
        </is>
      </c>
      <c r="M2684" s="64" t="e">
        <v>#N/A</v>
      </c>
    </row>
    <row r="2685" ht="14.4" customHeight="1">
      <c r="G2685" s="74" t="inlineStr">
        <is>
          <t>kg</t>
        </is>
      </c>
      <c r="M2685" s="64" t="e">
        <v>#N/A</v>
      </c>
    </row>
    <row r="2686" ht="14.4" customHeight="1">
      <c r="G2686" s="74" t="inlineStr">
        <is>
          <t>kg</t>
        </is>
      </c>
      <c r="M2686" s="64" t="e">
        <v>#N/A</v>
      </c>
    </row>
    <row r="2687" ht="14.4" customHeight="1">
      <c r="G2687" s="74" t="inlineStr">
        <is>
          <t>kg</t>
        </is>
      </c>
      <c r="M2687" s="64" t="e">
        <v>#N/A</v>
      </c>
    </row>
    <row r="2688" ht="14.4" customHeight="1">
      <c r="G2688" s="74" t="inlineStr">
        <is>
          <t>kg</t>
        </is>
      </c>
      <c r="M2688" s="64" t="e">
        <v>#N/A</v>
      </c>
    </row>
    <row r="2689" ht="14.4" customHeight="1">
      <c r="G2689" s="74" t="inlineStr">
        <is>
          <t>kg</t>
        </is>
      </c>
      <c r="M2689" s="64" t="e">
        <v>#N/A</v>
      </c>
    </row>
    <row r="2690" ht="14.4" customHeight="1">
      <c r="G2690" s="74" t="inlineStr">
        <is>
          <t>kg</t>
        </is>
      </c>
      <c r="M2690" s="64" t="e">
        <v>#N/A</v>
      </c>
    </row>
    <row r="2691" ht="14.4" customHeight="1">
      <c r="G2691" s="74" t="inlineStr">
        <is>
          <t>kg</t>
        </is>
      </c>
      <c r="M2691" s="64" t="e">
        <v>#N/A</v>
      </c>
    </row>
    <row r="2692" ht="14.4" customHeight="1">
      <c r="G2692" s="74" t="inlineStr">
        <is>
          <t>kg</t>
        </is>
      </c>
      <c r="M2692" s="64" t="e">
        <v>#N/A</v>
      </c>
    </row>
    <row r="2693" ht="14.4" customHeight="1">
      <c r="G2693" s="74" t="inlineStr">
        <is>
          <t>kg</t>
        </is>
      </c>
      <c r="M2693" s="64" t="e">
        <v>#N/A</v>
      </c>
    </row>
    <row r="2694" ht="14.4" customHeight="1">
      <c r="G2694" s="74" t="inlineStr">
        <is>
          <t>kg</t>
        </is>
      </c>
      <c r="M2694" s="64" t="e">
        <v>#N/A</v>
      </c>
    </row>
    <row r="2695" ht="14.4" customHeight="1">
      <c r="G2695" s="74" t="inlineStr">
        <is>
          <t>kg</t>
        </is>
      </c>
      <c r="M2695" s="64" t="e">
        <v>#N/A</v>
      </c>
    </row>
    <row r="2696" ht="14.4" customHeight="1">
      <c r="G2696" s="74" t="inlineStr">
        <is>
          <t>kg</t>
        </is>
      </c>
      <c r="M2696" s="64" t="e">
        <v>#N/A</v>
      </c>
    </row>
    <row r="2697" ht="14.4" customHeight="1">
      <c r="G2697" s="74" t="inlineStr">
        <is>
          <t>kg</t>
        </is>
      </c>
      <c r="M2697" s="64" t="e">
        <v>#N/A</v>
      </c>
    </row>
    <row r="2698" ht="14.4" customHeight="1">
      <c r="G2698" s="74" t="inlineStr">
        <is>
          <t>kg</t>
        </is>
      </c>
      <c r="M2698" s="64" t="e">
        <v>#N/A</v>
      </c>
    </row>
    <row r="2699" ht="14.4" customHeight="1">
      <c r="G2699" s="74" t="inlineStr">
        <is>
          <t>kg</t>
        </is>
      </c>
      <c r="M2699" s="64" t="e">
        <v>#N/A</v>
      </c>
    </row>
    <row r="2700" ht="14.4" customHeight="1">
      <c r="G2700" s="74" t="inlineStr">
        <is>
          <t>kg</t>
        </is>
      </c>
      <c r="M2700" s="64" t="e">
        <v>#N/A</v>
      </c>
    </row>
    <row r="2701" ht="14.4" customHeight="1">
      <c r="G2701" s="74" t="inlineStr">
        <is>
          <t>kg</t>
        </is>
      </c>
      <c r="M2701" s="64" t="e">
        <v>#N/A</v>
      </c>
    </row>
    <row r="2702" ht="14.4" customHeight="1">
      <c r="G2702" s="74" t="inlineStr">
        <is>
          <t>kg</t>
        </is>
      </c>
      <c r="M2702" s="64" t="e">
        <v>#N/A</v>
      </c>
    </row>
    <row r="2703" ht="14.4" customHeight="1">
      <c r="G2703" s="74" t="inlineStr">
        <is>
          <t>kg</t>
        </is>
      </c>
      <c r="M2703" s="64" t="e">
        <v>#N/A</v>
      </c>
    </row>
    <row r="2704" ht="14.4" customHeight="1">
      <c r="G2704" s="74" t="inlineStr">
        <is>
          <t>kg</t>
        </is>
      </c>
      <c r="M2704" s="64" t="e">
        <v>#N/A</v>
      </c>
    </row>
    <row r="2705" ht="14.4" customHeight="1">
      <c r="G2705" s="74" t="inlineStr">
        <is>
          <t>kg</t>
        </is>
      </c>
      <c r="M2705" s="64" t="e">
        <v>#N/A</v>
      </c>
    </row>
    <row r="2706" ht="14.4" customHeight="1">
      <c r="G2706" s="74" t="inlineStr">
        <is>
          <t>kg</t>
        </is>
      </c>
      <c r="M2706" s="64" t="e">
        <v>#N/A</v>
      </c>
    </row>
    <row r="2707" ht="14.4" customHeight="1">
      <c r="G2707" s="74" t="inlineStr">
        <is>
          <t>kg</t>
        </is>
      </c>
      <c r="M2707" s="64" t="e">
        <v>#N/A</v>
      </c>
    </row>
    <row r="2708" ht="14.4" customHeight="1">
      <c r="G2708" s="74" t="inlineStr">
        <is>
          <t>kg</t>
        </is>
      </c>
      <c r="M2708" s="64" t="e">
        <v>#N/A</v>
      </c>
    </row>
    <row r="2709" ht="14.4" customHeight="1">
      <c r="G2709" s="74" t="inlineStr">
        <is>
          <t>kg</t>
        </is>
      </c>
      <c r="M2709" s="64" t="e">
        <v>#N/A</v>
      </c>
    </row>
    <row r="2710" ht="14.4" customHeight="1">
      <c r="G2710" s="74" t="inlineStr">
        <is>
          <t>kg</t>
        </is>
      </c>
      <c r="M2710" s="64" t="e">
        <v>#N/A</v>
      </c>
    </row>
    <row r="2711" ht="14.4" customHeight="1">
      <c r="G2711" s="74" t="inlineStr">
        <is>
          <t>kg</t>
        </is>
      </c>
      <c r="M2711" s="64" t="e">
        <v>#N/A</v>
      </c>
    </row>
    <row r="2712" ht="14.4" customHeight="1">
      <c r="G2712" s="74" t="inlineStr">
        <is>
          <t>kg</t>
        </is>
      </c>
      <c r="M2712" s="64" t="e">
        <v>#N/A</v>
      </c>
    </row>
    <row r="2713" ht="14.4" customHeight="1">
      <c r="G2713" s="74" t="inlineStr">
        <is>
          <t>kg</t>
        </is>
      </c>
      <c r="M2713" s="64" t="e">
        <v>#N/A</v>
      </c>
    </row>
    <row r="2714" ht="14.4" customHeight="1">
      <c r="G2714" s="74" t="inlineStr">
        <is>
          <t>kg</t>
        </is>
      </c>
      <c r="M2714" s="64" t="e">
        <v>#N/A</v>
      </c>
    </row>
    <row r="2715" ht="14.4" customHeight="1">
      <c r="G2715" s="74" t="inlineStr">
        <is>
          <t>kg</t>
        </is>
      </c>
      <c r="M2715" s="64" t="e">
        <v>#N/A</v>
      </c>
    </row>
    <row r="2716" ht="14.4" customHeight="1">
      <c r="G2716" s="74" t="inlineStr">
        <is>
          <t>kg</t>
        </is>
      </c>
      <c r="M2716" s="64" t="e">
        <v>#N/A</v>
      </c>
    </row>
    <row r="2717" ht="14.4" customHeight="1">
      <c r="G2717" s="74" t="inlineStr">
        <is>
          <t>kg</t>
        </is>
      </c>
      <c r="M2717" s="64" t="e">
        <v>#N/A</v>
      </c>
    </row>
    <row r="2718" ht="14.4" customHeight="1">
      <c r="G2718" s="74" t="inlineStr">
        <is>
          <t>kg</t>
        </is>
      </c>
      <c r="M2718" s="64" t="e">
        <v>#N/A</v>
      </c>
    </row>
    <row r="2719" ht="14.4" customHeight="1">
      <c r="G2719" s="74" t="inlineStr">
        <is>
          <t>kg</t>
        </is>
      </c>
      <c r="M2719" s="64" t="e">
        <v>#N/A</v>
      </c>
    </row>
    <row r="2720" ht="14.4" customHeight="1">
      <c r="G2720" s="74" t="inlineStr">
        <is>
          <t>kg</t>
        </is>
      </c>
      <c r="M2720" s="64" t="e">
        <v>#N/A</v>
      </c>
    </row>
    <row r="2721" ht="14.4" customHeight="1">
      <c r="G2721" s="74" t="inlineStr">
        <is>
          <t>kg</t>
        </is>
      </c>
      <c r="M2721" s="64" t="e">
        <v>#N/A</v>
      </c>
    </row>
    <row r="2722" ht="14.4" customHeight="1">
      <c r="G2722" s="74" t="inlineStr">
        <is>
          <t>kg</t>
        </is>
      </c>
      <c r="M2722" s="64" t="e">
        <v>#N/A</v>
      </c>
    </row>
    <row r="2723" ht="14.4" customHeight="1">
      <c r="G2723" s="74" t="inlineStr">
        <is>
          <t>kg</t>
        </is>
      </c>
      <c r="M2723" s="64" t="e">
        <v>#N/A</v>
      </c>
    </row>
    <row r="2724" ht="14.4" customHeight="1">
      <c r="G2724" s="74" t="inlineStr">
        <is>
          <t>kg</t>
        </is>
      </c>
      <c r="M2724" s="64" t="e">
        <v>#N/A</v>
      </c>
    </row>
    <row r="2725" ht="14.4" customHeight="1">
      <c r="G2725" s="74" t="inlineStr">
        <is>
          <t>kg</t>
        </is>
      </c>
      <c r="M2725" s="64" t="e">
        <v>#N/A</v>
      </c>
    </row>
    <row r="2726" ht="14.4" customHeight="1">
      <c r="G2726" s="74" t="inlineStr">
        <is>
          <t>kg</t>
        </is>
      </c>
      <c r="M2726" s="64" t="e">
        <v>#N/A</v>
      </c>
    </row>
    <row r="2727" ht="14.4" customHeight="1">
      <c r="G2727" s="74" t="inlineStr">
        <is>
          <t>kg</t>
        </is>
      </c>
      <c r="M2727" s="64" t="e">
        <v>#N/A</v>
      </c>
    </row>
    <row r="2728" ht="14.4" customHeight="1">
      <c r="G2728" s="74" t="inlineStr">
        <is>
          <t>kg</t>
        </is>
      </c>
      <c r="M2728" s="64" t="e">
        <v>#N/A</v>
      </c>
    </row>
    <row r="2729" ht="14.4" customHeight="1">
      <c r="G2729" s="74" t="inlineStr">
        <is>
          <t>kg</t>
        </is>
      </c>
      <c r="M2729" s="64" t="e">
        <v>#N/A</v>
      </c>
    </row>
    <row r="2730" ht="14.4" customHeight="1">
      <c r="G2730" s="74" t="inlineStr">
        <is>
          <t>kg</t>
        </is>
      </c>
      <c r="M2730" s="64" t="e">
        <v>#N/A</v>
      </c>
    </row>
    <row r="2731" ht="14.4" customHeight="1">
      <c r="G2731" s="74" t="inlineStr">
        <is>
          <t>kg</t>
        </is>
      </c>
      <c r="M2731" s="64" t="e">
        <v>#N/A</v>
      </c>
    </row>
    <row r="2732" ht="14.4" customHeight="1">
      <c r="G2732" s="74" t="inlineStr">
        <is>
          <t>kg</t>
        </is>
      </c>
      <c r="M2732" s="64" t="e">
        <v>#N/A</v>
      </c>
    </row>
    <row r="2733" ht="14.4" customHeight="1">
      <c r="G2733" s="74" t="inlineStr">
        <is>
          <t>kg</t>
        </is>
      </c>
      <c r="M2733" s="64" t="e">
        <v>#N/A</v>
      </c>
    </row>
    <row r="2734" ht="14.4" customHeight="1">
      <c r="G2734" s="74" t="inlineStr">
        <is>
          <t>kg</t>
        </is>
      </c>
      <c r="M2734" s="64" t="e">
        <v>#N/A</v>
      </c>
    </row>
    <row r="2735" ht="14.4" customHeight="1">
      <c r="G2735" s="74" t="inlineStr">
        <is>
          <t>kg</t>
        </is>
      </c>
      <c r="M2735" s="64" t="e">
        <v>#N/A</v>
      </c>
    </row>
    <row r="2736" ht="14.4" customHeight="1">
      <c r="G2736" s="74" t="inlineStr">
        <is>
          <t>kg</t>
        </is>
      </c>
      <c r="M2736" s="64" t="e">
        <v>#N/A</v>
      </c>
    </row>
    <row r="2737" ht="14.4" customHeight="1">
      <c r="G2737" s="74" t="inlineStr">
        <is>
          <t>kg</t>
        </is>
      </c>
      <c r="M2737" s="64" t="e">
        <v>#N/A</v>
      </c>
    </row>
    <row r="2738" ht="14.4" customHeight="1">
      <c r="G2738" s="74" t="inlineStr">
        <is>
          <t>kg</t>
        </is>
      </c>
      <c r="M2738" s="64" t="e">
        <v>#N/A</v>
      </c>
    </row>
    <row r="2739" ht="14.4" customHeight="1">
      <c r="G2739" s="74" t="inlineStr">
        <is>
          <t>kg</t>
        </is>
      </c>
      <c r="M2739" s="64" t="e">
        <v>#N/A</v>
      </c>
    </row>
    <row r="2740" ht="14.4" customHeight="1">
      <c r="G2740" s="74" t="inlineStr">
        <is>
          <t>kg</t>
        </is>
      </c>
      <c r="M2740" s="64" t="e">
        <v>#N/A</v>
      </c>
    </row>
    <row r="2741" ht="14.4" customHeight="1">
      <c r="G2741" s="74" t="inlineStr">
        <is>
          <t>kg</t>
        </is>
      </c>
      <c r="M2741" s="64" t="e">
        <v>#N/A</v>
      </c>
    </row>
    <row r="2742" ht="14.4" customHeight="1">
      <c r="G2742" s="74" t="inlineStr">
        <is>
          <t>kg</t>
        </is>
      </c>
      <c r="M2742" s="64" t="e">
        <v>#N/A</v>
      </c>
    </row>
    <row r="2743" ht="14.4" customHeight="1">
      <c r="G2743" s="74" t="inlineStr">
        <is>
          <t>kg</t>
        </is>
      </c>
      <c r="M2743" s="64" t="e">
        <v>#N/A</v>
      </c>
    </row>
    <row r="2744" ht="14.4" customHeight="1">
      <c r="G2744" s="74" t="inlineStr">
        <is>
          <t>kg</t>
        </is>
      </c>
      <c r="M2744" s="64" t="e">
        <v>#N/A</v>
      </c>
    </row>
    <row r="2745" ht="14.4" customHeight="1">
      <c r="G2745" s="74" t="inlineStr">
        <is>
          <t>kg</t>
        </is>
      </c>
      <c r="M2745" s="64" t="e">
        <v>#N/A</v>
      </c>
    </row>
    <row r="2746" ht="14.4" customHeight="1">
      <c r="G2746" s="74" t="inlineStr">
        <is>
          <t>kg</t>
        </is>
      </c>
      <c r="M2746" s="64" t="e">
        <v>#N/A</v>
      </c>
    </row>
    <row r="2747" ht="14.4" customHeight="1">
      <c r="G2747" s="74" t="inlineStr">
        <is>
          <t>kg</t>
        </is>
      </c>
      <c r="M2747" s="64" t="e">
        <v>#N/A</v>
      </c>
    </row>
    <row r="2748" ht="14.4" customHeight="1">
      <c r="G2748" s="74" t="inlineStr">
        <is>
          <t>kg</t>
        </is>
      </c>
      <c r="M2748" s="64" t="e">
        <v>#N/A</v>
      </c>
    </row>
    <row r="2749" ht="14.4" customHeight="1">
      <c r="G2749" s="74" t="inlineStr">
        <is>
          <t>kg</t>
        </is>
      </c>
      <c r="M2749" s="64" t="e">
        <v>#N/A</v>
      </c>
    </row>
    <row r="2750" ht="14.4" customHeight="1">
      <c r="G2750" s="74" t="inlineStr">
        <is>
          <t>kg</t>
        </is>
      </c>
      <c r="M2750" s="64" t="e">
        <v>#N/A</v>
      </c>
    </row>
    <row r="2751" ht="14.4" customHeight="1">
      <c r="G2751" s="74" t="inlineStr">
        <is>
          <t>kg</t>
        </is>
      </c>
      <c r="M2751" s="64" t="e">
        <v>#N/A</v>
      </c>
    </row>
    <row r="2752" ht="14.4" customHeight="1">
      <c r="G2752" s="74" t="inlineStr">
        <is>
          <t>kg</t>
        </is>
      </c>
      <c r="M2752" s="64" t="e">
        <v>#N/A</v>
      </c>
    </row>
    <row r="2753" ht="14.4" customHeight="1">
      <c r="G2753" s="74" t="inlineStr">
        <is>
          <t>kg</t>
        </is>
      </c>
      <c r="M2753" s="64" t="e">
        <v>#N/A</v>
      </c>
    </row>
    <row r="2754" ht="14.4" customHeight="1">
      <c r="G2754" s="74" t="inlineStr">
        <is>
          <t>kg</t>
        </is>
      </c>
      <c r="M2754" s="64" t="e">
        <v>#N/A</v>
      </c>
    </row>
    <row r="2755" ht="14.4" customHeight="1">
      <c r="G2755" s="74" t="inlineStr">
        <is>
          <t>kg</t>
        </is>
      </c>
      <c r="M2755" s="64" t="e">
        <v>#N/A</v>
      </c>
    </row>
    <row r="2756" ht="14.4" customHeight="1">
      <c r="G2756" s="74" t="inlineStr">
        <is>
          <t>kg</t>
        </is>
      </c>
      <c r="M2756" s="64" t="e">
        <v>#N/A</v>
      </c>
    </row>
    <row r="2757" ht="14.4" customHeight="1">
      <c r="G2757" s="74" t="inlineStr">
        <is>
          <t>kg</t>
        </is>
      </c>
      <c r="M2757" s="64" t="e">
        <v>#N/A</v>
      </c>
    </row>
    <row r="2758" ht="14.4" customHeight="1">
      <c r="G2758" s="74" t="inlineStr">
        <is>
          <t>kg</t>
        </is>
      </c>
      <c r="M2758" s="64" t="e">
        <v>#N/A</v>
      </c>
    </row>
    <row r="2759" ht="14.4" customHeight="1">
      <c r="G2759" s="74" t="inlineStr">
        <is>
          <t>kg</t>
        </is>
      </c>
      <c r="M2759" s="64" t="e">
        <v>#N/A</v>
      </c>
    </row>
    <row r="2760" ht="14.4" customHeight="1">
      <c r="G2760" s="74" t="inlineStr">
        <is>
          <t>kg</t>
        </is>
      </c>
      <c r="M2760" s="64" t="e">
        <v>#N/A</v>
      </c>
    </row>
    <row r="2761" ht="14.4" customHeight="1">
      <c r="G2761" s="74" t="inlineStr">
        <is>
          <t>kg</t>
        </is>
      </c>
      <c r="M2761" s="64" t="e">
        <v>#N/A</v>
      </c>
    </row>
    <row r="2762" ht="14.4" customHeight="1">
      <c r="G2762" s="74" t="inlineStr">
        <is>
          <t>kg</t>
        </is>
      </c>
      <c r="M2762" s="64" t="e">
        <v>#N/A</v>
      </c>
    </row>
    <row r="2763" ht="14.4" customHeight="1">
      <c r="G2763" s="74" t="inlineStr">
        <is>
          <t>kg</t>
        </is>
      </c>
      <c r="M2763" s="64" t="e">
        <v>#N/A</v>
      </c>
    </row>
    <row r="2764" ht="14.4" customHeight="1">
      <c r="G2764" s="74" t="inlineStr">
        <is>
          <t>kg</t>
        </is>
      </c>
      <c r="M2764" s="64" t="e">
        <v>#N/A</v>
      </c>
    </row>
    <row r="2765" ht="14.4" customHeight="1">
      <c r="G2765" s="74" t="inlineStr">
        <is>
          <t>kg</t>
        </is>
      </c>
      <c r="M2765" s="64" t="e">
        <v>#N/A</v>
      </c>
    </row>
    <row r="2766" ht="14.4" customHeight="1">
      <c r="G2766" s="74" t="inlineStr">
        <is>
          <t>kg</t>
        </is>
      </c>
      <c r="M2766" s="64" t="e">
        <v>#N/A</v>
      </c>
    </row>
    <row r="2767" ht="14.4" customHeight="1">
      <c r="G2767" s="74" t="inlineStr">
        <is>
          <t>kg</t>
        </is>
      </c>
      <c r="M2767" s="64" t="e">
        <v>#N/A</v>
      </c>
    </row>
    <row r="2768" ht="14.4" customHeight="1">
      <c r="G2768" s="74" t="inlineStr">
        <is>
          <t>kg</t>
        </is>
      </c>
      <c r="M2768" s="64" t="e">
        <v>#N/A</v>
      </c>
    </row>
    <row r="2769" ht="14.4" customHeight="1">
      <c r="G2769" s="74" t="inlineStr">
        <is>
          <t>kg</t>
        </is>
      </c>
      <c r="M2769" s="64" t="e">
        <v>#N/A</v>
      </c>
    </row>
    <row r="2770" ht="14.4" customHeight="1">
      <c r="G2770" s="74" t="inlineStr">
        <is>
          <t>kg</t>
        </is>
      </c>
      <c r="M2770" s="64" t="e">
        <v>#N/A</v>
      </c>
    </row>
    <row r="2771" ht="14.4" customHeight="1">
      <c r="G2771" s="74" t="inlineStr">
        <is>
          <t>kg</t>
        </is>
      </c>
      <c r="M2771" s="64" t="e">
        <v>#N/A</v>
      </c>
    </row>
    <row r="2772" ht="14.4" customHeight="1">
      <c r="G2772" s="74" t="inlineStr">
        <is>
          <t>kg</t>
        </is>
      </c>
      <c r="M2772" s="64" t="e">
        <v>#N/A</v>
      </c>
    </row>
    <row r="2773" ht="14.4" customHeight="1">
      <c r="G2773" s="74" t="inlineStr">
        <is>
          <t>kg</t>
        </is>
      </c>
      <c r="M2773" s="64" t="e">
        <v>#N/A</v>
      </c>
    </row>
    <row r="2774" ht="14.4" customHeight="1">
      <c r="G2774" s="74" t="inlineStr">
        <is>
          <t>kg</t>
        </is>
      </c>
      <c r="M2774" s="64" t="e">
        <v>#N/A</v>
      </c>
    </row>
    <row r="2775" ht="14.4" customHeight="1">
      <c r="G2775" s="74" t="inlineStr">
        <is>
          <t>kg</t>
        </is>
      </c>
      <c r="M2775" s="64" t="e">
        <v>#N/A</v>
      </c>
    </row>
    <row r="2776" ht="14.4" customHeight="1">
      <c r="G2776" s="74" t="inlineStr">
        <is>
          <t>kg</t>
        </is>
      </c>
      <c r="M2776" s="64" t="e">
        <v>#N/A</v>
      </c>
    </row>
    <row r="2777" ht="14.4" customHeight="1">
      <c r="G2777" s="74" t="inlineStr">
        <is>
          <t>kg</t>
        </is>
      </c>
      <c r="M2777" s="64" t="e">
        <v>#N/A</v>
      </c>
    </row>
    <row r="2778" ht="14.4" customHeight="1">
      <c r="G2778" s="74" t="inlineStr">
        <is>
          <t>kg</t>
        </is>
      </c>
      <c r="M2778" s="64" t="e">
        <v>#N/A</v>
      </c>
    </row>
    <row r="2779" ht="14.4" customHeight="1">
      <c r="G2779" s="74" t="inlineStr">
        <is>
          <t>kg</t>
        </is>
      </c>
      <c r="M2779" s="64" t="e">
        <v>#N/A</v>
      </c>
    </row>
    <row r="2780" ht="14.4" customHeight="1">
      <c r="G2780" s="74" t="inlineStr">
        <is>
          <t>kg</t>
        </is>
      </c>
      <c r="M2780" s="64" t="e">
        <v>#N/A</v>
      </c>
    </row>
    <row r="2781" ht="14.4" customHeight="1">
      <c r="G2781" s="74" t="inlineStr">
        <is>
          <t>kg</t>
        </is>
      </c>
      <c r="M2781" s="64" t="e">
        <v>#N/A</v>
      </c>
    </row>
    <row r="2782" ht="14.4" customHeight="1">
      <c r="G2782" s="74" t="inlineStr">
        <is>
          <t>kg</t>
        </is>
      </c>
      <c r="M2782" s="64" t="e">
        <v>#N/A</v>
      </c>
    </row>
    <row r="2783" ht="14.4" customHeight="1">
      <c r="G2783" s="74" t="inlineStr">
        <is>
          <t>kg</t>
        </is>
      </c>
      <c r="M2783" s="64" t="e">
        <v>#N/A</v>
      </c>
    </row>
    <row r="2784" ht="14.4" customHeight="1">
      <c r="G2784" s="74" t="inlineStr">
        <is>
          <t>kg</t>
        </is>
      </c>
      <c r="M2784" s="64" t="e">
        <v>#N/A</v>
      </c>
    </row>
    <row r="2785" ht="14.4" customHeight="1">
      <c r="G2785" s="74" t="inlineStr">
        <is>
          <t>kg</t>
        </is>
      </c>
      <c r="M2785" s="64" t="e">
        <v>#N/A</v>
      </c>
    </row>
    <row r="2786" ht="14.4" customHeight="1">
      <c r="G2786" s="74" t="inlineStr">
        <is>
          <t>kg</t>
        </is>
      </c>
      <c r="M2786" s="64" t="e">
        <v>#N/A</v>
      </c>
    </row>
    <row r="2787" ht="14.4" customHeight="1">
      <c r="G2787" s="74" t="inlineStr">
        <is>
          <t>kg</t>
        </is>
      </c>
      <c r="M2787" s="64" t="e">
        <v>#N/A</v>
      </c>
    </row>
    <row r="2788" ht="14.4" customHeight="1">
      <c r="G2788" s="74" t="inlineStr">
        <is>
          <t>kg</t>
        </is>
      </c>
      <c r="M2788" s="64" t="e">
        <v>#N/A</v>
      </c>
    </row>
    <row r="2789" ht="14.4" customHeight="1">
      <c r="G2789" s="74" t="inlineStr">
        <is>
          <t>kg</t>
        </is>
      </c>
      <c r="M2789" s="64" t="e">
        <v>#N/A</v>
      </c>
    </row>
    <row r="2790" ht="14.4" customHeight="1">
      <c r="G2790" s="74" t="inlineStr">
        <is>
          <t>kg</t>
        </is>
      </c>
      <c r="M2790" s="64" t="e">
        <v>#N/A</v>
      </c>
    </row>
    <row r="2791" ht="14.4" customHeight="1">
      <c r="G2791" s="74" t="inlineStr">
        <is>
          <t>kg</t>
        </is>
      </c>
      <c r="M2791" s="64" t="e">
        <v>#N/A</v>
      </c>
    </row>
    <row r="2792" ht="14.4" customHeight="1">
      <c r="G2792" s="74" t="inlineStr">
        <is>
          <t>kg</t>
        </is>
      </c>
      <c r="M2792" s="64" t="e">
        <v>#N/A</v>
      </c>
    </row>
    <row r="2793" ht="14.4" customHeight="1">
      <c r="G2793" s="74" t="inlineStr">
        <is>
          <t>kg</t>
        </is>
      </c>
      <c r="M2793" s="64" t="e">
        <v>#N/A</v>
      </c>
    </row>
    <row r="2794" ht="14.4" customHeight="1">
      <c r="G2794" s="74" t="inlineStr">
        <is>
          <t>kg</t>
        </is>
      </c>
      <c r="M2794" s="64" t="e">
        <v>#N/A</v>
      </c>
    </row>
    <row r="2795" ht="14.4" customHeight="1">
      <c r="G2795" s="74" t="inlineStr">
        <is>
          <t>kg</t>
        </is>
      </c>
      <c r="M2795" s="64" t="e">
        <v>#N/A</v>
      </c>
    </row>
    <row r="2796" ht="14.4" customHeight="1">
      <c r="G2796" s="74" t="inlineStr">
        <is>
          <t>kg</t>
        </is>
      </c>
      <c r="M2796" s="64" t="e">
        <v>#N/A</v>
      </c>
    </row>
    <row r="2797" ht="14.4" customHeight="1">
      <c r="G2797" s="74" t="inlineStr">
        <is>
          <t>kg</t>
        </is>
      </c>
      <c r="M2797" s="64" t="e">
        <v>#N/A</v>
      </c>
    </row>
    <row r="2798" ht="14.4" customHeight="1">
      <c r="G2798" s="74" t="inlineStr">
        <is>
          <t>kg</t>
        </is>
      </c>
      <c r="M2798" s="64" t="e">
        <v>#N/A</v>
      </c>
    </row>
    <row r="2799" ht="14.4" customHeight="1">
      <c r="G2799" s="74" t="inlineStr">
        <is>
          <t>kg</t>
        </is>
      </c>
      <c r="M2799" s="64" t="e">
        <v>#N/A</v>
      </c>
    </row>
    <row r="2800" ht="14.4" customHeight="1">
      <c r="G2800" s="74" t="inlineStr">
        <is>
          <t>kg</t>
        </is>
      </c>
      <c r="M2800" s="64" t="e">
        <v>#N/A</v>
      </c>
    </row>
    <row r="2801" ht="14.4" customHeight="1">
      <c r="G2801" s="74" t="inlineStr">
        <is>
          <t>kg</t>
        </is>
      </c>
      <c r="M2801" s="64" t="e">
        <v>#N/A</v>
      </c>
    </row>
    <row r="2802" ht="14.4" customHeight="1">
      <c r="G2802" s="74" t="inlineStr">
        <is>
          <t>kg</t>
        </is>
      </c>
      <c r="M2802" s="64" t="e">
        <v>#N/A</v>
      </c>
    </row>
    <row r="2803" ht="14.4" customHeight="1">
      <c r="G2803" s="74" t="inlineStr">
        <is>
          <t>kg</t>
        </is>
      </c>
      <c r="M2803" s="64" t="e">
        <v>#N/A</v>
      </c>
    </row>
    <row r="2804" ht="14.4" customHeight="1">
      <c r="G2804" s="74" t="inlineStr">
        <is>
          <t>kg</t>
        </is>
      </c>
      <c r="M2804" s="64" t="e">
        <v>#N/A</v>
      </c>
    </row>
    <row r="2805" ht="14.4" customHeight="1">
      <c r="G2805" s="74" t="inlineStr">
        <is>
          <t>kg</t>
        </is>
      </c>
      <c r="M2805" s="64" t="e">
        <v>#N/A</v>
      </c>
    </row>
    <row r="2806" ht="14.4" customHeight="1">
      <c r="G2806" s="74" t="inlineStr">
        <is>
          <t>kg</t>
        </is>
      </c>
      <c r="M2806" s="64" t="e">
        <v>#N/A</v>
      </c>
    </row>
    <row r="2807" ht="14.4" customHeight="1">
      <c r="G2807" s="74" t="inlineStr">
        <is>
          <t>kg</t>
        </is>
      </c>
      <c r="M2807" s="64" t="e">
        <v>#N/A</v>
      </c>
    </row>
    <row r="2808" ht="14.4" customHeight="1">
      <c r="G2808" s="74" t="inlineStr">
        <is>
          <t>kg</t>
        </is>
      </c>
      <c r="M2808" s="64" t="e">
        <v>#N/A</v>
      </c>
    </row>
    <row r="2809" ht="14.4" customHeight="1">
      <c r="G2809" s="74" t="inlineStr">
        <is>
          <t>kg</t>
        </is>
      </c>
      <c r="M2809" s="64" t="e">
        <v>#N/A</v>
      </c>
    </row>
    <row r="2810" ht="14.4" customHeight="1">
      <c r="G2810" s="74" t="inlineStr">
        <is>
          <t>kg</t>
        </is>
      </c>
      <c r="M2810" s="64" t="e">
        <v>#N/A</v>
      </c>
    </row>
    <row r="2811" ht="14.4" customHeight="1">
      <c r="G2811" s="74" t="inlineStr">
        <is>
          <t>kg</t>
        </is>
      </c>
      <c r="M2811" s="64" t="e">
        <v>#N/A</v>
      </c>
    </row>
    <row r="2812" ht="14.4" customHeight="1">
      <c r="G2812" s="74" t="inlineStr">
        <is>
          <t>kg</t>
        </is>
      </c>
      <c r="M2812" s="64" t="e">
        <v>#N/A</v>
      </c>
    </row>
    <row r="2813" ht="14.4" customHeight="1">
      <c r="G2813" s="74" t="inlineStr">
        <is>
          <t>kg</t>
        </is>
      </c>
      <c r="M2813" s="64" t="e">
        <v>#N/A</v>
      </c>
    </row>
    <row r="2814" ht="14.4" customHeight="1">
      <c r="G2814" s="74" t="inlineStr">
        <is>
          <t>kg</t>
        </is>
      </c>
      <c r="M2814" s="64" t="e">
        <v>#N/A</v>
      </c>
    </row>
    <row r="2815" ht="14.4" customHeight="1">
      <c r="G2815" s="74" t="inlineStr">
        <is>
          <t>kg</t>
        </is>
      </c>
      <c r="M2815" s="64" t="e">
        <v>#N/A</v>
      </c>
    </row>
    <row r="2816" ht="14.4" customHeight="1">
      <c r="G2816" s="74" t="inlineStr">
        <is>
          <t>kg</t>
        </is>
      </c>
      <c r="M2816" s="64" t="e">
        <v>#N/A</v>
      </c>
    </row>
    <row r="2817" ht="14.4" customHeight="1">
      <c r="G2817" s="74" t="inlineStr">
        <is>
          <t>kg</t>
        </is>
      </c>
      <c r="M2817" s="64" t="e">
        <v>#N/A</v>
      </c>
    </row>
    <row r="2818" ht="14.4" customHeight="1">
      <c r="G2818" s="74" t="inlineStr">
        <is>
          <t>kg</t>
        </is>
      </c>
      <c r="M2818" s="64" t="e">
        <v>#N/A</v>
      </c>
    </row>
    <row r="2819" ht="14.4" customHeight="1">
      <c r="G2819" s="74" t="inlineStr">
        <is>
          <t>kg</t>
        </is>
      </c>
      <c r="M2819" s="64" t="e">
        <v>#N/A</v>
      </c>
    </row>
    <row r="2820" ht="14.4" customHeight="1">
      <c r="G2820" s="74" t="inlineStr">
        <is>
          <t>kg</t>
        </is>
      </c>
      <c r="M2820" s="64" t="e">
        <v>#N/A</v>
      </c>
    </row>
    <row r="2821" ht="14.4" customHeight="1">
      <c r="G2821" s="74" t="inlineStr">
        <is>
          <t>kg</t>
        </is>
      </c>
      <c r="M2821" s="64" t="e">
        <v>#N/A</v>
      </c>
    </row>
    <row r="2822" ht="14.4" customHeight="1">
      <c r="G2822" s="74" t="inlineStr">
        <is>
          <t>kg</t>
        </is>
      </c>
      <c r="M2822" s="64" t="e">
        <v>#N/A</v>
      </c>
    </row>
    <row r="2823" ht="14.4" customHeight="1">
      <c r="G2823" s="74" t="inlineStr">
        <is>
          <t>kg</t>
        </is>
      </c>
      <c r="M2823" s="64" t="e">
        <v>#N/A</v>
      </c>
    </row>
    <row r="2824" ht="14.4" customHeight="1">
      <c r="G2824" s="74" t="inlineStr">
        <is>
          <t>kg</t>
        </is>
      </c>
      <c r="M2824" s="64" t="e">
        <v>#N/A</v>
      </c>
    </row>
    <row r="2825" ht="14.4" customHeight="1">
      <c r="G2825" s="74" t="inlineStr">
        <is>
          <t>kg</t>
        </is>
      </c>
      <c r="M2825" s="64" t="e">
        <v>#N/A</v>
      </c>
    </row>
    <row r="2826" ht="14.4" customHeight="1">
      <c r="G2826" s="74" t="inlineStr">
        <is>
          <t>kg</t>
        </is>
      </c>
      <c r="M2826" s="64" t="e">
        <v>#N/A</v>
      </c>
    </row>
    <row r="2827" ht="14.4" customHeight="1">
      <c r="G2827" s="74" t="inlineStr">
        <is>
          <t>kg</t>
        </is>
      </c>
      <c r="M2827" s="64" t="e">
        <v>#N/A</v>
      </c>
    </row>
    <row r="2828" ht="14.4" customHeight="1">
      <c r="G2828" s="74" t="inlineStr">
        <is>
          <t>kg</t>
        </is>
      </c>
      <c r="M2828" s="64" t="e">
        <v>#N/A</v>
      </c>
    </row>
    <row r="2829" ht="14.4" customHeight="1">
      <c r="G2829" s="74" t="inlineStr">
        <is>
          <t>kg</t>
        </is>
      </c>
      <c r="M2829" s="64" t="e">
        <v>#N/A</v>
      </c>
    </row>
    <row r="2830" ht="14.4" customHeight="1">
      <c r="G2830" s="74" t="inlineStr">
        <is>
          <t>kg</t>
        </is>
      </c>
      <c r="M2830" s="64" t="e">
        <v>#N/A</v>
      </c>
    </row>
    <row r="2831" ht="14.4" customHeight="1">
      <c r="G2831" s="74" t="inlineStr">
        <is>
          <t>kg</t>
        </is>
      </c>
      <c r="M2831" s="64" t="e">
        <v>#N/A</v>
      </c>
    </row>
    <row r="2832" ht="14.4" customHeight="1">
      <c r="G2832" s="74" t="inlineStr">
        <is>
          <t>kg</t>
        </is>
      </c>
      <c r="M2832" s="64" t="e">
        <v>#N/A</v>
      </c>
    </row>
    <row r="2833" ht="14.4" customHeight="1">
      <c r="G2833" s="74" t="inlineStr">
        <is>
          <t>kg</t>
        </is>
      </c>
      <c r="M2833" s="64" t="e">
        <v>#N/A</v>
      </c>
    </row>
    <row r="2834" ht="14.4" customHeight="1">
      <c r="G2834" s="74" t="inlineStr">
        <is>
          <t>kg</t>
        </is>
      </c>
      <c r="M2834" s="64" t="e">
        <v>#N/A</v>
      </c>
    </row>
    <row r="2835" ht="14.4" customHeight="1">
      <c r="G2835" s="74" t="inlineStr">
        <is>
          <t>kg</t>
        </is>
      </c>
      <c r="M2835" s="64" t="e">
        <v>#N/A</v>
      </c>
    </row>
    <row r="2836" ht="14.4" customHeight="1">
      <c r="G2836" s="74" t="inlineStr">
        <is>
          <t>kg</t>
        </is>
      </c>
      <c r="M2836" s="64" t="e">
        <v>#N/A</v>
      </c>
    </row>
    <row r="2837" ht="14.4" customHeight="1">
      <c r="G2837" s="74" t="inlineStr">
        <is>
          <t>kg</t>
        </is>
      </c>
      <c r="M2837" s="64" t="e">
        <v>#N/A</v>
      </c>
    </row>
    <row r="2838" ht="14.4" customHeight="1">
      <c r="G2838" s="74" t="inlineStr">
        <is>
          <t>kg</t>
        </is>
      </c>
      <c r="M2838" s="64" t="e">
        <v>#N/A</v>
      </c>
    </row>
    <row r="2839" ht="14.4" customHeight="1">
      <c r="G2839" s="74" t="inlineStr">
        <is>
          <t>kg</t>
        </is>
      </c>
      <c r="M2839" s="64" t="e">
        <v>#N/A</v>
      </c>
    </row>
    <row r="2840" ht="14.4" customHeight="1">
      <c r="G2840" s="74" t="inlineStr">
        <is>
          <t>kg</t>
        </is>
      </c>
      <c r="M2840" s="64" t="e">
        <v>#N/A</v>
      </c>
    </row>
    <row r="2841" ht="14.4" customHeight="1">
      <c r="G2841" s="74" t="inlineStr">
        <is>
          <t>kg</t>
        </is>
      </c>
      <c r="M2841" s="64" t="e">
        <v>#N/A</v>
      </c>
    </row>
    <row r="2842" ht="14.4" customHeight="1">
      <c r="G2842" s="74" t="inlineStr">
        <is>
          <t>kg</t>
        </is>
      </c>
      <c r="M2842" s="64" t="e">
        <v>#N/A</v>
      </c>
    </row>
    <row r="2843" ht="14.4" customHeight="1">
      <c r="G2843" s="74" t="inlineStr">
        <is>
          <t>kg</t>
        </is>
      </c>
      <c r="M2843" s="64" t="e">
        <v>#N/A</v>
      </c>
    </row>
    <row r="2844" ht="14.4" customHeight="1">
      <c r="G2844" s="74" t="inlineStr">
        <is>
          <t>kg</t>
        </is>
      </c>
      <c r="M2844" s="64" t="e">
        <v>#N/A</v>
      </c>
    </row>
    <row r="2845" ht="14.4" customHeight="1">
      <c r="G2845" s="74" t="inlineStr">
        <is>
          <t>kg</t>
        </is>
      </c>
      <c r="M2845" s="64" t="e">
        <v>#N/A</v>
      </c>
    </row>
    <row r="2846" ht="14.4" customHeight="1">
      <c r="G2846" s="74" t="inlineStr">
        <is>
          <t>kg</t>
        </is>
      </c>
      <c r="M2846" s="64" t="e">
        <v>#N/A</v>
      </c>
    </row>
    <row r="2847" ht="14.4" customHeight="1">
      <c r="G2847" s="74" t="inlineStr">
        <is>
          <t>kg</t>
        </is>
      </c>
      <c r="M2847" s="64" t="e">
        <v>#N/A</v>
      </c>
    </row>
    <row r="2848" ht="14.4" customHeight="1">
      <c r="G2848" s="74" t="inlineStr">
        <is>
          <t>kg</t>
        </is>
      </c>
      <c r="M2848" s="64" t="e">
        <v>#N/A</v>
      </c>
    </row>
    <row r="2849" ht="14.4" customHeight="1">
      <c r="G2849" s="74" t="inlineStr">
        <is>
          <t>kg</t>
        </is>
      </c>
      <c r="M2849" s="64" t="e">
        <v>#N/A</v>
      </c>
    </row>
    <row r="2850" ht="14.4" customHeight="1">
      <c r="G2850" s="74" t="inlineStr">
        <is>
          <t>kg</t>
        </is>
      </c>
      <c r="M2850" s="64" t="e">
        <v>#N/A</v>
      </c>
    </row>
    <row r="2851" ht="14.4" customHeight="1">
      <c r="G2851" s="74" t="inlineStr">
        <is>
          <t>kg</t>
        </is>
      </c>
      <c r="M2851" s="64" t="e">
        <v>#N/A</v>
      </c>
    </row>
    <row r="2852" ht="14.4" customHeight="1">
      <c r="G2852" s="74" t="inlineStr">
        <is>
          <t>kg</t>
        </is>
      </c>
      <c r="M2852" s="64" t="e">
        <v>#N/A</v>
      </c>
    </row>
    <row r="2853" ht="36.6" customHeight="1">
      <c r="G2853" s="74" t="inlineStr">
        <is>
          <t>kg</t>
        </is>
      </c>
      <c r="M2853" s="64">
        <f>VLOOKUP(B2853,[1]Main!$C$18:$G$211,5,0)</f>
        <v/>
      </c>
    </row>
    <row r="2854" ht="54.6" customHeight="1">
      <c r="G2854" s="74" t="inlineStr">
        <is>
          <t>kg</t>
        </is>
      </c>
      <c r="M2854" s="64">
        <f>VLOOKUP(B2854,[1]Main!$C$18:$G$211,5,0)</f>
        <v/>
      </c>
    </row>
    <row r="2855" ht="27.6" customHeight="1">
      <c r="G2855" s="74" t="inlineStr">
        <is>
          <t>kg</t>
        </is>
      </c>
      <c r="M2855" s="64">
        <f>VLOOKUP(B2855,[1]Main!$C$18:$G$211,5,0)</f>
        <v/>
      </c>
    </row>
    <row r="2856" ht="31.2" customHeight="1">
      <c r="B2856" s="64" t="inlineStr">
        <is>
          <t>bánh rán</t>
        </is>
      </c>
      <c r="H2856" s="76" t="n">
        <v>2500</v>
      </c>
      <c r="M2856" s="64">
        <f>VLOOKUP(B2856,[1]Main!$C$18:$G$211,5,0)</f>
        <v/>
      </c>
    </row>
    <row r="2857" ht="31.2" customHeight="1">
      <c r="D2857" s="64" t="n">
        <v>105.6</v>
      </c>
      <c r="M2857" s="64">
        <f>VLOOKUP(B2857,[1]Main!$C$18:$G$211,5,0)</f>
        <v/>
      </c>
    </row>
    <row r="2859" ht="31.2" customHeight="1">
      <c r="H2859" s="64" t="n">
        <v>0</v>
      </c>
    </row>
  </sheetData>
  <autoFilter ref="A4:M2857">
    <sortState ref="A10:M10">
      <sortCondition descending="1" ref="B4:B2857"/>
    </sortState>
  </autoFilter>
  <pageMargins left="0.7" right="0.7" top="0.75" bottom="0.75" header="0.3" footer="0.3"/>
  <pageSetup orientation="portrait" paperSize="9" verticalDpi="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S37"/>
  <sheetViews>
    <sheetView zoomScale="55" zoomScaleNormal="55" workbookViewId="0">
      <selection activeCell="L13" sqref="L13"/>
    </sheetView>
  </sheetViews>
  <sheetFormatPr baseColWidth="8" defaultRowHeight="14.4"/>
  <cols>
    <col width="16.88671875" customWidth="1" min="2" max="2"/>
    <col width="74.6640625" customWidth="1" min="3" max="3"/>
    <col hidden="1" width="15.33203125" customWidth="1" min="4" max="6"/>
    <col width="15.33203125" customWidth="1" min="7" max="7"/>
    <col width="17.44140625" customWidth="1" min="8" max="8"/>
    <col hidden="1" width="17.44140625" customWidth="1" min="9" max="9"/>
    <col hidden="1" width="15.109375" customWidth="1" min="10" max="10"/>
    <col width="31" customWidth="1" min="11" max="11"/>
    <col width="56" customWidth="1" min="12" max="12"/>
    <col width="13" customWidth="1" min="13" max="13"/>
    <col width="48.5546875" customWidth="1" min="14" max="14"/>
  </cols>
  <sheetData>
    <row r="2" ht="21" customHeight="1">
      <c r="A2" s="30" t="n">
        <v>0</v>
      </c>
      <c r="B2" s="30" t="n"/>
      <c r="C2" s="30" t="n"/>
      <c r="D2" s="30" t="inlineStr">
        <is>
          <t xml:space="preserve">ĐƠN GỌI HÀNG </t>
        </is>
      </c>
      <c r="E2" s="30" t="n"/>
      <c r="F2" s="30" t="inlineStr">
        <is>
          <t xml:space="preserve">ĐƠN GỌI HÀNG </t>
        </is>
      </c>
      <c r="G2" s="30" t="n"/>
      <c r="H2" s="30" t="n"/>
      <c r="I2" s="30" t="n"/>
      <c r="J2" s="30" t="n"/>
      <c r="K2" s="30" t="n"/>
    </row>
    <row r="3" ht="26.4" customHeight="1"/>
    <row r="4" ht="25.2" customHeight="1">
      <c r="A4" s="31" t="inlineStr">
        <is>
          <t>STT</t>
        </is>
      </c>
      <c r="B4" s="31" t="inlineStr">
        <is>
          <t xml:space="preserve">MÃ HÀNG </t>
        </is>
      </c>
      <c r="C4" s="31" t="inlineStr">
        <is>
          <t xml:space="preserve">TÊN HÀNG </t>
        </is>
      </c>
      <c r="D4" s="31" t="inlineStr">
        <is>
          <t>SỐ LƯỢNG</t>
        </is>
      </c>
      <c r="E4" s="31" t="n"/>
      <c r="F4" s="31" t="inlineStr">
        <is>
          <t>SỐ LƯỢNG</t>
        </is>
      </c>
      <c r="G4" s="31" t="n"/>
      <c r="H4" s="31" t="inlineStr">
        <is>
          <t>ĐVT</t>
        </is>
      </c>
      <c r="I4" s="31" t="n"/>
      <c r="J4" s="31" t="inlineStr">
        <is>
          <t>NCC</t>
        </is>
      </c>
      <c r="K4" s="31" t="inlineStr">
        <is>
          <t>THỜI GIAN GIAO</t>
        </is>
      </c>
      <c r="L4" s="31" t="inlineStr">
        <is>
          <t>ghi chú</t>
        </is>
      </c>
    </row>
    <row r="5" ht="21" customFormat="1" customHeight="1" s="34">
      <c r="A5" s="32" t="n">
        <v>21</v>
      </c>
      <c r="B5" s="33">
        <f>VLOOKUP(C5,'Báo giá'!B:L,11,0)</f>
        <v/>
      </c>
      <c r="C5" s="33">
        <f t="array" ref="C5:C29">_xlfn.UNIQUE(TRIM(N:N))</f>
        <v/>
      </c>
      <c r="D5" s="33" t="n"/>
      <c r="E5" s="33">
        <f>SUMIF('Thứ 2'!D4:D43,ORDER!C5,'Thứ 2'!G4:G43)</f>
        <v/>
      </c>
      <c r="F5" s="33" t="n"/>
      <c r="G5" s="33" t="n"/>
      <c r="H5" s="33" t="inlineStr">
        <is>
          <t>cái</t>
        </is>
      </c>
      <c r="I5" s="33" t="n"/>
      <c r="J5" s="33">
        <f>VLOOKUP(C5,'Báo giá'!B:H,3,0)</f>
        <v/>
      </c>
      <c r="K5" s="53" t="n"/>
      <c r="L5" s="55" t="n"/>
      <c r="N5" s="34" t="inlineStr"/>
    </row>
    <row r="6" ht="21" customHeight="1">
      <c r="B6" s="33">
        <f>VLOOKUP(C6,'Báo giá'!B:L,11,0)</f>
        <v/>
      </c>
      <c r="C6" s="33" t="inlineStr">
        <is>
          <t>Bánh nếp</t>
        </is>
      </c>
      <c r="D6" s="33">
        <f>SUMIF('Thứ 6'!D:D,ORDER!C6,'Thứ 6'!G:G)</f>
        <v/>
      </c>
      <c r="E6" s="33">
        <f>SUMIF('Thứ 4'!E:E,ORDER!D6,'Thứ 4'!H:H)</f>
        <v/>
      </c>
      <c r="F6" s="33" t="n">
        <v>3030</v>
      </c>
      <c r="G6" s="33">
        <f>SUMIF('Chủ nhật'!D:D,ORDER!C6,'Chủ nhật'!G:G)</f>
        <v/>
      </c>
      <c r="H6" s="33" t="inlineStr">
        <is>
          <t>cái</t>
        </is>
      </c>
      <c r="I6" s="33">
        <f>VLOOKUP(C6,[2]Sheet1!$F:$H,3,0)</f>
        <v/>
      </c>
      <c r="J6" s="33">
        <f>+D6-I6</f>
        <v/>
      </c>
      <c r="K6" s="53" t="inlineStr">
        <is>
          <t>3h</t>
        </is>
      </c>
      <c r="L6" s="55" t="n"/>
      <c r="M6">
        <f>VLOOKUP(N6,[3]BG!D:I,6,0)</f>
        <v/>
      </c>
      <c r="N6" t="inlineStr">
        <is>
          <t>Bánh nếp</t>
        </is>
      </c>
      <c r="O6">
        <f>SUMIF(C:C,N6,D:D)</f>
        <v/>
      </c>
    </row>
    <row r="7" ht="21" customHeight="1">
      <c r="B7" s="33">
        <f>VLOOKUP(C7,'Báo giá'!B:L,11,0)</f>
        <v/>
      </c>
      <c r="C7" s="33" t="inlineStr">
        <is>
          <t>Trứng gà CN 1,9-2.1kg/khay</t>
        </is>
      </c>
      <c r="D7" s="33">
        <f>SUMIF('Thứ 6'!D:D,ORDER!C7,'Thứ 6'!G:G)</f>
        <v/>
      </c>
      <c r="E7" s="33">
        <f>SUMIF('Thứ 2'!D35:D46,ORDER!C7,'Thứ 2'!G35:G46)</f>
        <v/>
      </c>
      <c r="F7" s="33" t="n">
        <v>1200</v>
      </c>
      <c r="G7" s="33" t="n">
        <v>300</v>
      </c>
      <c r="H7" s="33" t="inlineStr">
        <is>
          <t>quả</t>
        </is>
      </c>
      <c r="I7" s="33">
        <f>VLOOKUP(C7,[2]Sheet1!$F:$H,3,0)</f>
        <v/>
      </c>
      <c r="J7" s="33">
        <f>+D7-I7</f>
        <v/>
      </c>
      <c r="K7" s="53" t="inlineStr">
        <is>
          <t>3h30</t>
        </is>
      </c>
      <c r="L7" s="55" t="n"/>
      <c r="M7">
        <f>VLOOKUP(N7,[3]BG!D:I,6,0)</f>
        <v/>
      </c>
      <c r="N7" t="inlineStr">
        <is>
          <t>Trứng gà CN 1,9-2.1kg/khay</t>
        </is>
      </c>
      <c r="O7">
        <f>SUMIF(C:C,N7,D:D)</f>
        <v/>
      </c>
    </row>
    <row r="8" ht="21" customHeight="1">
      <c r="B8" s="33">
        <f>VLOOKUP(C8,'Báo giá'!B:L,11,0)</f>
        <v/>
      </c>
      <c r="C8" s="33" t="inlineStr">
        <is>
          <t>Sữa TUS dâu</t>
        </is>
      </c>
      <c r="D8" s="33">
        <f>SUMIF('Thứ 6'!D:D,ORDER!C8,'Thứ 6'!G:G)</f>
        <v/>
      </c>
      <c r="E8" s="33">
        <f>SUMIF('Thứ 2'!D37:D46,ORDER!C8,'Thứ 2'!G37:G46)</f>
        <v/>
      </c>
      <c r="F8" s="33" t="n">
        <v>0</v>
      </c>
      <c r="G8" s="33" t="n">
        <v>0</v>
      </c>
      <c r="H8" s="33">
        <f>VLOOKUP(C8,'Báo giá'!B:H,6,0)</f>
        <v/>
      </c>
      <c r="I8" s="33">
        <f>VLOOKUP(C8,[2]Sheet1!$F:$H,3,0)</f>
        <v/>
      </c>
      <c r="J8" s="33">
        <f>+D8-I8</f>
        <v/>
      </c>
      <c r="K8" s="53" t="inlineStr">
        <is>
          <t>3h30</t>
        </is>
      </c>
      <c r="L8" s="55" t="n"/>
      <c r="M8">
        <f>VLOOKUP(N8,[3]BG!D:I,6,0)</f>
        <v/>
      </c>
      <c r="N8" t="inlineStr">
        <is>
          <t>Sữa TUS dâu</t>
        </is>
      </c>
      <c r="O8">
        <f>SUMIF(C:C,N8,D:D)</f>
        <v/>
      </c>
    </row>
    <row r="9" ht="21" customHeight="1">
      <c r="B9" s="33">
        <f>VLOOKUP(C9,'Báo giá'!B:L,11,0)</f>
        <v/>
      </c>
      <c r="C9" s="33" t="inlineStr">
        <is>
          <t>Thịt Trâu ĐL Má Đào 20kg/thùng</t>
        </is>
      </c>
      <c r="D9" s="33">
        <f>SUMIF('Thứ 6'!D:D,ORDER!C9,'Thứ 6'!G:G)</f>
        <v/>
      </c>
      <c r="E9" s="33">
        <f>SUMIF('Thứ 2'!D43:D46,ORDER!C9,'Thứ 2'!G43:G46)</f>
        <v/>
      </c>
      <c r="F9" s="33" t="n">
        <v>30</v>
      </c>
      <c r="G9" s="33" t="n">
        <v>0</v>
      </c>
      <c r="H9" s="33">
        <f>VLOOKUP(C9,'Báo giá'!B:H,6,0)</f>
        <v/>
      </c>
      <c r="I9" s="33">
        <f>VLOOKUP(C9,[2]Sheet1!$F:$H,3,0)</f>
        <v/>
      </c>
      <c r="J9" s="33">
        <f>+D9-I9</f>
        <v/>
      </c>
      <c r="K9" s="53" t="inlineStr">
        <is>
          <t>3h30</t>
        </is>
      </c>
      <c r="L9" s="55" t="n"/>
      <c r="M9">
        <f>VLOOKUP(N9,[3]BG!D:I,6,0)</f>
        <v/>
      </c>
      <c r="N9" t="inlineStr">
        <is>
          <t>Thịt Trâu ĐL Má Đào 20kg/thùng</t>
        </is>
      </c>
      <c r="O9">
        <f>SUMIF(C:C,N9,D:D)</f>
        <v/>
      </c>
    </row>
    <row r="10" ht="21" customHeight="1">
      <c r="B10" s="33">
        <f>VLOOKUP(C10,'Báo giá'!B:L,11,0)</f>
        <v/>
      </c>
      <c r="C10" s="33" t="inlineStr">
        <is>
          <t>khoai tây</t>
        </is>
      </c>
      <c r="D10" s="33">
        <f>SUMIF('Thứ 6'!D:D,ORDER!C10,'Thứ 6'!G:G)</f>
        <v/>
      </c>
      <c r="E10" s="33">
        <f>SUMIF('Thứ 2'!D44:D51,ORDER!C10,'Thứ 2'!G44:G51)</f>
        <v/>
      </c>
      <c r="F10" s="33" t="n">
        <v>40</v>
      </c>
      <c r="G10" s="33">
        <f>SUMIF('Chủ nhật'!D:D,ORDER!C10,'Chủ nhật'!G:G)</f>
        <v/>
      </c>
      <c r="H10" s="33" t="inlineStr">
        <is>
          <t>kg</t>
        </is>
      </c>
      <c r="I10" s="33">
        <f>VLOOKUP(C10,[2]Sheet1!$F:$H,3,0)</f>
        <v/>
      </c>
      <c r="J10" s="33">
        <f>+D10-I10</f>
        <v/>
      </c>
      <c r="K10" s="53" t="inlineStr">
        <is>
          <t>3h30</t>
        </is>
      </c>
      <c r="L10" s="55" t="n"/>
      <c r="M10">
        <f>VLOOKUP(N10,[3]BG!D:I,6,0)</f>
        <v/>
      </c>
      <c r="N10" t="inlineStr">
        <is>
          <t>khoai tây</t>
        </is>
      </c>
      <c r="O10">
        <f>SUMIF(C:C,N10,D:D)</f>
        <v/>
      </c>
    </row>
    <row r="11" ht="21" customHeight="1">
      <c r="B11" s="33">
        <f>VLOOKUP(C11,'Báo giá'!B:L,11,0)</f>
        <v/>
      </c>
      <c r="C11" s="33" t="inlineStr">
        <is>
          <t>cà rốt</t>
        </is>
      </c>
      <c r="D11" s="33">
        <f>SUMIF('Thứ 6'!D:D,ORDER!C11,'Thứ 6'!G:G)</f>
        <v/>
      </c>
      <c r="E11" s="33">
        <f>SUMIF('Thứ 2'!D46:D51,ORDER!C11,'Thứ 2'!G46:G51)</f>
        <v/>
      </c>
      <c r="F11" s="33" t="n">
        <v>32</v>
      </c>
      <c r="G11" s="33">
        <f>SUMIF('Chủ nhật'!D:D,ORDER!C11,'Chủ nhật'!G:G)</f>
        <v/>
      </c>
      <c r="H11" s="33">
        <f>VLOOKUP(C11,'Báo giá'!B:H,6,0)</f>
        <v/>
      </c>
      <c r="I11" s="33">
        <f>VLOOKUP(C11,[2]Sheet1!$F:$H,3,0)</f>
        <v/>
      </c>
      <c r="J11" s="33">
        <f>+D11-I11</f>
        <v/>
      </c>
      <c r="K11" s="53" t="inlineStr">
        <is>
          <t>3h30</t>
        </is>
      </c>
      <c r="L11" s="55" t="n"/>
      <c r="M11">
        <f>VLOOKUP(N11,[3]BG!D:I,6,0)</f>
        <v/>
      </c>
      <c r="N11" t="inlineStr">
        <is>
          <t>cà rốt</t>
        </is>
      </c>
      <c r="O11">
        <f>SUMIF(C:C,N11,D:D)</f>
        <v/>
      </c>
    </row>
    <row r="12" ht="21" customHeight="1">
      <c r="B12" s="33">
        <f>VLOOKUP(C12,'Báo giá'!B:L,11,0)</f>
        <v/>
      </c>
      <c r="C12" s="33" t="inlineStr">
        <is>
          <t>Miến dong Túi 0.5kg/ túi</t>
        </is>
      </c>
      <c r="D12" s="33">
        <f>SUMIF('Thứ 6'!D:D,ORDER!C12,'Thứ 6'!G:G)</f>
        <v/>
      </c>
      <c r="E12" s="33">
        <f>SUMIF('Thứ 2'!D46:D55,ORDER!C12,'Thứ 2'!G46:G55)</f>
        <v/>
      </c>
      <c r="F12" s="33" t="n">
        <v>160</v>
      </c>
      <c r="G12" s="33" t="n">
        <v>6</v>
      </c>
      <c r="H12" s="33">
        <f>VLOOKUP(C12,'Báo giá'!B:H,6,0)</f>
        <v/>
      </c>
      <c r="I12" s="33">
        <f>VLOOKUP(C12,[2]Sheet1!$F:$H,3,0)</f>
        <v/>
      </c>
      <c r="J12" s="33">
        <f>+D12-I12</f>
        <v/>
      </c>
      <c r="K12" s="53" t="inlineStr">
        <is>
          <t>3h30</t>
        </is>
      </c>
      <c r="L12" s="54" t="n"/>
      <c r="M12">
        <f>VLOOKUP(N12,[3]BG!D:I,6,0)</f>
        <v/>
      </c>
      <c r="N12" t="inlineStr">
        <is>
          <t>Trứng gà CN 1,9-2.1kg/khay</t>
        </is>
      </c>
      <c r="O12">
        <f>SUMIF(C:C,N12,D:D)</f>
        <v/>
      </c>
    </row>
    <row r="13" ht="21" customHeight="1">
      <c r="B13" s="33">
        <f>VLOOKUP(C13,'Báo giá'!B:L,11,0)</f>
        <v/>
      </c>
      <c r="C13" s="33" t="inlineStr">
        <is>
          <t>Chả lụa đông lạnh Dabaco</t>
        </is>
      </c>
      <c r="D13" s="33">
        <f>SUMIF('Thứ 6'!D:D,ORDER!C13,'Thứ 6'!G:G)</f>
        <v/>
      </c>
      <c r="E13" s="33">
        <f>SUMIF('Thứ 2'!D46:D55,ORDER!C13,'Thứ 2'!G46:G55)</f>
        <v/>
      </c>
      <c r="F13" s="33" t="n">
        <v>40.8</v>
      </c>
      <c r="G13" s="33">
        <f>SUMIF('Chủ nhật'!D:D,ORDER!C13,'Chủ nhật'!G:G)</f>
        <v/>
      </c>
      <c r="H13" s="33">
        <f>VLOOKUP(C13,'Báo giá'!B:H,6,0)</f>
        <v/>
      </c>
      <c r="I13" s="33">
        <f>VLOOKUP(C13,[2]Sheet1!$F:$H,3,0)</f>
        <v/>
      </c>
      <c r="J13" s="33">
        <f>+D13-I13</f>
        <v/>
      </c>
      <c r="K13" s="53" t="inlineStr">
        <is>
          <t>3h30</t>
        </is>
      </c>
      <c r="L13" s="54" t="n"/>
      <c r="M13">
        <f>VLOOKUP(N13,[3]BG!D:I,6,0)</f>
        <v/>
      </c>
      <c r="N13" t="inlineStr">
        <is>
          <t>Miến dong Túi 0.5kg/ túi</t>
        </is>
      </c>
      <c r="O13">
        <f>SUMIF(C:C,N13,D:D)</f>
        <v/>
      </c>
    </row>
    <row r="14" ht="21" customHeight="1">
      <c r="B14" s="33">
        <f>VLOOKUP(C14,'Báo giá'!B:L,11,0)</f>
        <v/>
      </c>
      <c r="C14" s="33" t="inlineStr">
        <is>
          <t>bắp cải trắng</t>
        </is>
      </c>
      <c r="D14" s="33">
        <f>SUMIF('Thứ 6'!D:D,ORDER!C14,'Thứ 6'!G:G)</f>
        <v/>
      </c>
      <c r="E14" s="33">
        <f>SUMIF('Thứ 2'!D47:D62,ORDER!C14,'Thứ 2'!G47:G62)</f>
        <v/>
      </c>
      <c r="F14" s="33" t="n">
        <v>1</v>
      </c>
      <c r="G14" s="33">
        <f>SUMIF('Chủ nhật'!D:D,ORDER!C14,'Chủ nhật'!G:G)</f>
        <v/>
      </c>
      <c r="H14" s="33">
        <f>VLOOKUP(C14,'Báo giá'!B:H,6,0)</f>
        <v/>
      </c>
      <c r="I14" s="33">
        <f>VLOOKUP(C14,[2]Sheet1!$F:$H,3,0)</f>
        <v/>
      </c>
      <c r="J14" s="33">
        <f>+D14-I14</f>
        <v/>
      </c>
      <c r="K14" s="53" t="inlineStr">
        <is>
          <t>3h30</t>
        </is>
      </c>
      <c r="L14" s="54" t="n"/>
      <c r="M14">
        <f>VLOOKUP(N14,[3]BG!D:I,6,0)</f>
        <v/>
      </c>
      <c r="N14" t="inlineStr">
        <is>
          <t>Chả lụa đông lạnh Dabaco</t>
        </is>
      </c>
      <c r="O14">
        <f>SUMIF(C:C,N14,D:D)</f>
        <v/>
      </c>
      <c r="S14">
        <f>70*750</f>
        <v/>
      </c>
    </row>
    <row r="15" ht="23.4" customHeight="1">
      <c r="B15" s="33">
        <f>VLOOKUP(C15,'Báo giá'!B:L,11,0)</f>
        <v/>
      </c>
      <c r="C15" s="35" t="inlineStr">
        <is>
          <t>Măng khô</t>
        </is>
      </c>
      <c r="D15" s="33">
        <f>SUMIF('Thứ 6'!D:D,ORDER!C15,'Thứ 6'!G:G)</f>
        <v/>
      </c>
      <c r="E15" s="33">
        <f>SUMIF('Thứ 2'!D47:D63,ORDER!C15,'Thứ 2'!G47:G63)</f>
        <v/>
      </c>
      <c r="F15" s="33" t="n">
        <v>0</v>
      </c>
      <c r="G15" s="33" t="n">
        <v>0.5</v>
      </c>
      <c r="H15" s="33" t="inlineStr">
        <is>
          <t>kg</t>
        </is>
      </c>
      <c r="I15" s="33">
        <f>VLOOKUP(C15,[2]Sheet1!$F:$H,3,0)</f>
        <v/>
      </c>
      <c r="J15" s="33">
        <f>+D15-I15</f>
        <v/>
      </c>
      <c r="K15" s="53" t="inlineStr">
        <is>
          <t>3h30</t>
        </is>
      </c>
      <c r="L15" s="54" t="n"/>
      <c r="M15">
        <f>VLOOKUP(N15,[3]BG!D:I,6,0)</f>
        <v/>
      </c>
      <c r="N15" t="inlineStr">
        <is>
          <t>bắp cải trắng</t>
        </is>
      </c>
      <c r="O15">
        <f>SUMIF(C:C,N15,D:D)</f>
        <v/>
      </c>
    </row>
    <row r="16" ht="21" customHeight="1">
      <c r="B16" s="33">
        <f>VLOOKUP(C16,'Báo giá'!B:L,11,0)</f>
        <v/>
      </c>
      <c r="C16" s="33" t="inlineStr">
        <is>
          <t>cải ngồng</t>
        </is>
      </c>
      <c r="D16" s="33">
        <f>SUMIF('Thứ 6'!D:D,ORDER!C16,'Thứ 6'!G:G)</f>
        <v/>
      </c>
      <c r="E16" s="33">
        <f>SUMIF('Thứ 2'!D52:D64,ORDER!C16,'Thứ 2'!G52:G64)</f>
        <v/>
      </c>
      <c r="F16" s="33" t="n">
        <v>0</v>
      </c>
      <c r="G16" s="33" t="n">
        <v>73</v>
      </c>
      <c r="H16" s="33">
        <f>VLOOKUP(C16,'Báo giá'!B:H,6,0)</f>
        <v/>
      </c>
      <c r="I16" s="33">
        <f>VLOOKUP(C16,[2]Sheet1!$F:$H,3,0)</f>
        <v/>
      </c>
      <c r="J16" s="33">
        <f>+D16-I16</f>
        <v/>
      </c>
      <c r="K16" s="53" t="inlineStr">
        <is>
          <t>3h30</t>
        </is>
      </c>
      <c r="L16" s="54" t="n"/>
      <c r="M16">
        <f>VLOOKUP(N16,[3]BG!D:I,6,0)</f>
        <v/>
      </c>
      <c r="N16" t="inlineStr">
        <is>
          <t>Măng khô</t>
        </is>
      </c>
      <c r="O16">
        <f>SUMIF(C:C,N16,D:D)</f>
        <v/>
      </c>
    </row>
    <row r="17" ht="21" customHeight="1">
      <c r="B17" s="33">
        <f>VLOOKUP(C17,'Báo giá'!B:L,11,0)</f>
        <v/>
      </c>
      <c r="C17" s="33" t="inlineStr">
        <is>
          <t>gạo bắc hương</t>
        </is>
      </c>
      <c r="D17" s="33">
        <f>SUMIF('Thứ 6'!D:D,ORDER!C17,'Thứ 6'!G:G)</f>
        <v/>
      </c>
      <c r="E17" s="33">
        <f>SUMIF('Thứ 2'!D55:D65,ORDER!C17,'Thứ 2'!G55:G65)</f>
        <v/>
      </c>
      <c r="F17" s="33" t="n">
        <v>90</v>
      </c>
      <c r="G17" s="33" t="n">
        <v>0</v>
      </c>
      <c r="H17" s="33">
        <f>VLOOKUP(C17,'Báo giá'!B:H,6,0)</f>
        <v/>
      </c>
      <c r="I17" s="33">
        <f>VLOOKUP(C17,[2]Sheet1!$F:$H,3,0)</f>
        <v/>
      </c>
      <c r="J17" s="33">
        <f>+D17-I17</f>
        <v/>
      </c>
      <c r="K17" s="53" t="inlineStr">
        <is>
          <t>3h30</t>
        </is>
      </c>
      <c r="M17">
        <f>VLOOKUP(N17,[3]BG!D:I,6,0)</f>
        <v/>
      </c>
      <c r="N17" t="inlineStr">
        <is>
          <t>cải ngồng</t>
        </is>
      </c>
      <c r="O17">
        <f>SUMIF(C:C,N17,D:D)</f>
        <v/>
      </c>
    </row>
    <row r="18" ht="21" customHeight="1">
      <c r="B18" s="33">
        <f>VLOOKUP(C18,'Báo giá'!B:L,11,0)</f>
        <v/>
      </c>
      <c r="C18" s="33" t="inlineStr">
        <is>
          <t>rau mồng tơi</t>
        </is>
      </c>
      <c r="D18" s="33">
        <f>SUMIF('Thứ 6'!D:D,ORDER!C18,'Thứ 6'!G:G)</f>
        <v/>
      </c>
      <c r="E18" s="33">
        <f>SUMIF('Thứ 2'!D55:D65,ORDER!C18,'Thứ 2'!G55:G65)</f>
        <v/>
      </c>
      <c r="F18" s="33" t="n">
        <v>10</v>
      </c>
      <c r="G18" s="33" t="n">
        <v>8</v>
      </c>
      <c r="H18" s="33">
        <f>VLOOKUP(C18,'Báo giá'!B:H,6,0)</f>
        <v/>
      </c>
      <c r="I18" s="33">
        <f>VLOOKUP(C18,[2]Sheet1!$F:$H,3,0)</f>
        <v/>
      </c>
      <c r="J18" s="33">
        <f>+D18-I18</f>
        <v/>
      </c>
      <c r="K18" s="53" t="inlineStr">
        <is>
          <t>3h30</t>
        </is>
      </c>
      <c r="L18" s="54" t="n"/>
      <c r="M18">
        <f>VLOOKUP(N18,[3]BG!D:I,6,0)</f>
        <v/>
      </c>
      <c r="N18" t="inlineStr">
        <is>
          <t>gạo bắc hương</t>
        </is>
      </c>
      <c r="O18">
        <f>SUMIF(C:C,N18,D:D)</f>
        <v/>
      </c>
    </row>
    <row r="19" ht="21" customHeight="1">
      <c r="B19" s="33">
        <f>VLOOKUP(C19,'Báo giá'!B:L,11,0)</f>
        <v/>
      </c>
      <c r="C19" s="36" t="inlineStr">
        <is>
          <t>Quả ổi 3-5 quả/kg</t>
        </is>
      </c>
      <c r="D19" s="33">
        <f>SUMIF('Thứ 6'!D:D,ORDER!C19,'Thứ 6'!G:G)</f>
        <v/>
      </c>
      <c r="E19" s="33">
        <f>SUMIF('Thứ 2'!D61:D65,ORDER!C19,'Thứ 2'!G61:G65)</f>
        <v/>
      </c>
      <c r="F19" s="33" t="n">
        <v>132</v>
      </c>
      <c r="G19" s="33">
        <f>SUMIF('Chủ nhật'!D:D,ORDER!C19,'Chủ nhật'!G:G)</f>
        <v/>
      </c>
      <c r="H19" s="33" t="inlineStr">
        <is>
          <t>kg</t>
        </is>
      </c>
      <c r="I19" s="33">
        <f>VLOOKUP(C19,[2]Sheet1!$F:$H,3,0)</f>
        <v/>
      </c>
      <c r="J19" s="33">
        <f>+D19-I19</f>
        <v/>
      </c>
      <c r="K19" s="53" t="inlineStr">
        <is>
          <t>3h30</t>
        </is>
      </c>
      <c r="M19">
        <f>VLOOKUP(N19,[3]BG!D:I,6,0)</f>
        <v/>
      </c>
      <c r="N19" t="inlineStr">
        <is>
          <t>rau mồng tơi</t>
        </is>
      </c>
      <c r="O19">
        <f>SUMIF(C:C,N19,D:D)</f>
        <v/>
      </c>
    </row>
    <row r="20" ht="21" customHeight="1">
      <c r="B20" s="33">
        <f>VLOOKUP(C20,'Báo giá'!B:L,11,0)</f>
        <v/>
      </c>
      <c r="C20" s="33" t="inlineStr">
        <is>
          <t>Thịt gà CN không đầu, cổ cánh &gt;1.8kg/con</t>
        </is>
      </c>
      <c r="D20" s="33">
        <f>SUMIF('Thứ 6'!D:D,ORDER!C20,'Thứ 6'!G:G)</f>
        <v/>
      </c>
      <c r="E20" s="33">
        <f>SUMIF('Thứ 2'!D63:D65,ORDER!C20,'Thứ 2'!G63:G65)</f>
        <v/>
      </c>
      <c r="F20" s="33" t="n">
        <v>0</v>
      </c>
      <c r="G20" s="33" t="n">
        <v>70</v>
      </c>
      <c r="H20" s="33">
        <f>VLOOKUP(C20,'Báo giá'!B:H,6,0)</f>
        <v/>
      </c>
      <c r="I20" s="33">
        <f>VLOOKUP(C20,[2]Sheet1!$F:$H,3,0)</f>
        <v/>
      </c>
      <c r="J20" s="33">
        <f>+D20-I20</f>
        <v/>
      </c>
      <c r="K20" s="53" t="inlineStr">
        <is>
          <t>3h30</t>
        </is>
      </c>
      <c r="L20" s="54" t="n"/>
      <c r="M20">
        <f>VLOOKUP(N20,[3]BG!D:I,6,0)</f>
        <v/>
      </c>
      <c r="N20" t="inlineStr">
        <is>
          <t>Quả ổi 3-5 quả/kg</t>
        </is>
      </c>
      <c r="O20">
        <f>SUMIF(C:C,N20,D:D)</f>
        <v/>
      </c>
    </row>
    <row r="21" ht="21" customHeight="1">
      <c r="B21" s="33">
        <f>VLOOKUP(C21,'Báo giá'!B:L,11,0)</f>
        <v/>
      </c>
      <c r="C21" s="33" t="inlineStr">
        <is>
          <t>lá chanh (kg)</t>
        </is>
      </c>
      <c r="D21" s="33">
        <f>SUMIF('Thứ 6'!D:D,ORDER!C21,'Thứ 6'!G:G)</f>
        <v/>
      </c>
      <c r="E21" s="33">
        <f>SUMIF('Thứ 2'!D63:D66,ORDER!C21,'Thứ 2'!G63:G66)</f>
        <v/>
      </c>
      <c r="F21" s="33" t="n">
        <v>16</v>
      </c>
      <c r="G21" s="33" t="n">
        <v>0.1</v>
      </c>
      <c r="H21" s="33">
        <f>VLOOKUP(C21,'Báo giá'!B:H,6,0)</f>
        <v/>
      </c>
      <c r="I21" s="33">
        <f>VLOOKUP(C21,[2]Sheet1!$F:$H,3,0)</f>
        <v/>
      </c>
      <c r="J21" s="33">
        <f>+D21-I21</f>
        <v/>
      </c>
      <c r="K21" s="53" t="inlineStr">
        <is>
          <t>3h30</t>
        </is>
      </c>
      <c r="L21" s="54" t="n"/>
      <c r="M21">
        <f>VLOOKUP(N21,[3]BG!D:I,6,0)</f>
        <v/>
      </c>
      <c r="N21" t="inlineStr">
        <is>
          <t>Thịt gà CN không đầu, cổ cánh &gt;1.8kg/con</t>
        </is>
      </c>
      <c r="O21">
        <f>SUMIF(C:C,N21,D:D)</f>
        <v/>
      </c>
    </row>
    <row r="22" ht="21" customHeight="1">
      <c r="B22" s="33">
        <f>VLOOKUP(C22,'Báo giá'!B:L,11,0)</f>
        <v/>
      </c>
      <c r="C22" s="33" t="inlineStr">
        <is>
          <t>Ức gà không xương không ra</t>
        </is>
      </c>
      <c r="D22" s="33">
        <f>SUMIF('Thứ 6'!D:D,ORDER!C22,'Thứ 6'!G:G)</f>
        <v/>
      </c>
      <c r="E22" s="33">
        <f>SUMIF('Thứ 2'!D63:D69,ORDER!C22,'Thứ 2'!G63:G69)</f>
        <v/>
      </c>
      <c r="F22" s="33" t="n">
        <v>1020</v>
      </c>
      <c r="G22" s="33" t="n">
        <v>17</v>
      </c>
      <c r="H22" s="33">
        <f>VLOOKUP(C22,'Báo giá'!B:H,6,0)</f>
        <v/>
      </c>
      <c r="I22" s="33">
        <f>VLOOKUP(C22,[2]Sheet1!$F:$H,3,0)</f>
        <v/>
      </c>
      <c r="J22" s="33">
        <f>+D22-I22</f>
        <v/>
      </c>
      <c r="K22" s="53" t="inlineStr">
        <is>
          <t>3h30</t>
        </is>
      </c>
      <c r="L22" s="54" t="n"/>
      <c r="M22">
        <f>VLOOKUP(N22,[3]BG!D:I,6,0)</f>
        <v/>
      </c>
      <c r="N22" t="inlineStr">
        <is>
          <t>lá chanh (kg)</t>
        </is>
      </c>
      <c r="O22">
        <f>SUMIF(C:C,N22,D:D)</f>
        <v/>
      </c>
    </row>
    <row r="23" ht="21" customHeight="1">
      <c r="B23" s="33">
        <f>VLOOKUP(C23,'Báo giá'!B:L,11,0)</f>
        <v/>
      </c>
      <c r="C23" s="33" t="inlineStr">
        <is>
          <t>Mỡ khổ</t>
        </is>
      </c>
      <c r="D23" s="33">
        <f>SUMIF('Thứ 6'!D:D,ORDER!C23,'Thứ 6'!G:G)</f>
        <v/>
      </c>
      <c r="E23" s="33">
        <f>SUMIF('Thứ 2'!D65:D70,ORDER!C23,'Thứ 2'!G65:G70)</f>
        <v/>
      </c>
      <c r="F23" s="33" t="n">
        <v>70</v>
      </c>
      <c r="G23" s="33" t="n">
        <v>3.7</v>
      </c>
      <c r="H23" s="33" t="inlineStr">
        <is>
          <t>kg</t>
        </is>
      </c>
      <c r="I23" s="33">
        <f>VLOOKUP(C23,[2]Sheet1!$F:$H,3,0)</f>
        <v/>
      </c>
      <c r="J23" s="33">
        <f>+D23-I23</f>
        <v/>
      </c>
      <c r="K23" s="53" t="inlineStr">
        <is>
          <t>3h30</t>
        </is>
      </c>
      <c r="L23" s="54" t="n"/>
      <c r="M23">
        <f>VLOOKUP(N23,[3]BG!D:I,6,0)</f>
        <v/>
      </c>
      <c r="N23" t="inlineStr">
        <is>
          <t>Chả lụa đông lạnh Dabaco</t>
        </is>
      </c>
      <c r="O23">
        <f>SUMIF(C:C,N23,D:D)</f>
        <v/>
      </c>
    </row>
    <row r="24" ht="21" customHeight="1">
      <c r="B24" s="33">
        <f>VLOOKUP(C24,'Báo giá'!B:L,11,0)</f>
        <v/>
      </c>
      <c r="C24" s="33" t="inlineStr">
        <is>
          <t>Lá lốt không cành kg</t>
        </is>
      </c>
      <c r="D24" s="33">
        <f>SUMIF('Thứ 6'!D:D,ORDER!C24,'Thứ 6'!G:G)</f>
        <v/>
      </c>
      <c r="E24" s="33">
        <f>SUMIF('Thứ 2'!D65:D71,ORDER!C24,'Thứ 2'!G65:G71)</f>
        <v/>
      </c>
      <c r="F24" s="33" t="n">
        <v>50</v>
      </c>
      <c r="G24" s="33" t="n">
        <v>6</v>
      </c>
      <c r="H24" s="33" t="inlineStr">
        <is>
          <t>kg</t>
        </is>
      </c>
      <c r="I24" s="33">
        <f>VLOOKUP(C24,[2]Sheet1!$F:$H,3,0)</f>
        <v/>
      </c>
      <c r="J24" s="33">
        <f>+D24-I24</f>
        <v/>
      </c>
      <c r="K24" s="53" t="inlineStr">
        <is>
          <t>3h30</t>
        </is>
      </c>
      <c r="L24" s="54" t="n"/>
      <c r="M24">
        <f>VLOOKUP(N24,[3]BG!D:I,6,0)</f>
        <v/>
      </c>
      <c r="N24" t="inlineStr">
        <is>
          <t>Ức gà không xương không ra</t>
        </is>
      </c>
      <c r="O24">
        <f>SUMIF(C:C,N24,D:D)</f>
        <v/>
      </c>
    </row>
    <row r="25" ht="21" customHeight="1">
      <c r="B25" s="33">
        <f>VLOOKUP(C25,'Báo giá'!B:L,11,0)</f>
        <v/>
      </c>
      <c r="C25" s="33" t="inlineStr">
        <is>
          <t>su su</t>
        </is>
      </c>
      <c r="D25" s="33">
        <f>SUMIF('Thứ 6'!D:D,ORDER!C25,'Thứ 6'!G:G)</f>
        <v/>
      </c>
      <c r="E25" s="33">
        <f>SUMIF('Thứ 2'!D66:D72,ORDER!C25,'Thứ 2'!G66:G72)</f>
        <v/>
      </c>
      <c r="F25" s="33" t="n">
        <v>80</v>
      </c>
      <c r="G25" s="33" t="n">
        <v>60</v>
      </c>
      <c r="H25" s="33" t="inlineStr">
        <is>
          <t>kg</t>
        </is>
      </c>
      <c r="I25" s="33">
        <f>VLOOKUP(C25,[2]Sheet1!$F:$H,3,0)</f>
        <v/>
      </c>
      <c r="J25" s="33">
        <f>+D25-I25</f>
        <v/>
      </c>
      <c r="K25" s="53" t="inlineStr">
        <is>
          <t>3h30</t>
        </is>
      </c>
      <c r="L25" s="54" t="n"/>
      <c r="M25">
        <f>VLOOKUP(N25,[3]BG!D:I,6,0)</f>
        <v/>
      </c>
      <c r="N25" t="inlineStr">
        <is>
          <t>Mỡ khổ</t>
        </is>
      </c>
      <c r="O25">
        <f>SUMIF(C:C,N25,D:D)</f>
        <v/>
      </c>
    </row>
    <row r="26" ht="21" customHeight="1">
      <c r="B26" s="33">
        <f>VLOOKUP(C26,'Báo giá'!B:L,11,0)</f>
        <v/>
      </c>
      <c r="C26" s="33" t="inlineStr">
        <is>
          <t>Cải xanh cắt gốc (kg)</t>
        </is>
      </c>
      <c r="D26" s="33">
        <f>SUMIF('Thứ 6'!D:D,ORDER!C26,'Thứ 6'!G:G)</f>
        <v/>
      </c>
      <c r="E26" s="33">
        <f>SUMIF('Thứ 2'!D66:D77,ORDER!C26,'Thứ 2'!G66:G77)</f>
        <v/>
      </c>
      <c r="F26" s="33" t="n">
        <v>15</v>
      </c>
      <c r="G26" s="33">
        <f>SUMIF('Chủ nhật'!D:D,ORDER!C26,'Chủ nhật'!G:G)</f>
        <v/>
      </c>
      <c r="H26" s="33" t="inlineStr">
        <is>
          <t>kg</t>
        </is>
      </c>
      <c r="I26" s="33">
        <f>VLOOKUP(C26,[2]Sheet1!$F:$H,3,0)</f>
        <v/>
      </c>
      <c r="J26" s="33">
        <f>+D26-I26</f>
        <v/>
      </c>
      <c r="K26" s="53" t="inlineStr">
        <is>
          <t>3h30</t>
        </is>
      </c>
      <c r="L26" s="54" t="n"/>
      <c r="M26">
        <f>VLOOKUP(N26,[3]BG!D:I,6,0)</f>
        <v/>
      </c>
      <c r="N26" t="inlineStr">
        <is>
          <t>Lá lốt không cành kg</t>
        </is>
      </c>
      <c r="O26">
        <f>SUMIF(C:C,N26,D:D)</f>
        <v/>
      </c>
    </row>
    <row r="27" ht="21" customHeight="1">
      <c r="B27" s="33">
        <f>VLOOKUP(C27,'Báo giá'!B:L,11,0)</f>
        <v/>
      </c>
      <c r="C27" s="33" t="inlineStr">
        <is>
          <t>gừng củ</t>
        </is>
      </c>
      <c r="D27" s="33">
        <f>SUMIF('Thứ 6'!D:D,ORDER!C27,'Thứ 6'!G:G)</f>
        <v/>
      </c>
      <c r="E27" s="33">
        <f>SUMIF('Thứ 2'!D66:D77,ORDER!C27,'Thứ 2'!G66:G77)</f>
        <v/>
      </c>
      <c r="F27" s="33" t="n">
        <v>90</v>
      </c>
      <c r="G27" s="33" t="n">
        <v>0</v>
      </c>
      <c r="H27" s="33" t="inlineStr">
        <is>
          <t>kg</t>
        </is>
      </c>
      <c r="I27" s="33">
        <f>VLOOKUP(C27,[2]Sheet1!$F:$H,3,0)</f>
        <v/>
      </c>
      <c r="J27" s="33">
        <f>+D27-I27</f>
        <v/>
      </c>
      <c r="K27" s="53" t="inlineStr">
        <is>
          <t>3h30</t>
        </is>
      </c>
      <c r="L27" s="54" t="n"/>
      <c r="M27">
        <f>VLOOKUP(N27,[3]BG!D:I,6,0)</f>
        <v/>
      </c>
      <c r="N27" t="inlineStr">
        <is>
          <t>cà rốt</t>
        </is>
      </c>
      <c r="O27">
        <f>SUMIF(C:C,N27,D:D)</f>
        <v/>
      </c>
    </row>
    <row r="28" ht="21" customHeight="1">
      <c r="B28" s="33">
        <f>VLOOKUP(C28,'Báo giá'!B:L,11,0)</f>
        <v/>
      </c>
      <c r="C28" s="33" t="inlineStr">
        <is>
          <t>Cam sành 4-6 quả/kg</t>
        </is>
      </c>
      <c r="D28" s="33">
        <f>SUMIF('Thứ 6'!D:D,ORDER!C28,'Thứ 6'!G:G)</f>
        <v/>
      </c>
      <c r="E28" s="33">
        <f>SUMIF('Thứ 2'!D66:D77,ORDER!C28,'Thứ 2'!G66:G77)</f>
        <v/>
      </c>
      <c r="F28" s="33" t="n">
        <v>1</v>
      </c>
      <c r="G28" s="33">
        <f>SUMIF('Chủ nhật'!D:D,ORDER!C28,'Chủ nhật'!G:G)</f>
        <v/>
      </c>
      <c r="H28" s="33" t="inlineStr">
        <is>
          <t>kg</t>
        </is>
      </c>
      <c r="I28" s="33">
        <f>VLOOKUP(C28,[2]Sheet1!$F:$H,3,0)</f>
        <v/>
      </c>
      <c r="J28" s="33">
        <f>+D28-I28</f>
        <v/>
      </c>
      <c r="K28" s="33" t="inlineStr">
        <is>
          <t>5h</t>
        </is>
      </c>
      <c r="L28" s="54" t="n"/>
      <c r="M28">
        <f>VLOOKUP(N28,[3]BG!D:I,6,0)</f>
        <v/>
      </c>
      <c r="N28" t="inlineStr">
        <is>
          <t>su su</t>
        </is>
      </c>
    </row>
    <row r="29" ht="21" customHeight="1">
      <c r="B29" s="33">
        <f>VLOOKUP(C29,'Báo giá'!B:L,11,0)</f>
        <v/>
      </c>
      <c r="C29" s="33" t="inlineStr">
        <is>
          <t>50</t>
        </is>
      </c>
      <c r="D29" s="33">
        <f>SUMIF('Thứ 6'!D:D,ORDER!C29,'Thứ 6'!G:G)</f>
        <v/>
      </c>
      <c r="E29" s="33">
        <f>SUMIF('Thứ 2'!D69:D77,ORDER!C29,'Thứ 2'!G69:G77)</f>
        <v/>
      </c>
      <c r="F29" s="33" t="n">
        <v>1</v>
      </c>
      <c r="G29" s="33" t="n">
        <v>0</v>
      </c>
      <c r="H29" s="33" t="inlineStr">
        <is>
          <t>quả</t>
        </is>
      </c>
      <c r="I29" s="33">
        <f>VLOOKUP(C29,[2]Sheet1!$F:$H,3,0)</f>
        <v/>
      </c>
      <c r="J29" s="33">
        <f>+D29-I29</f>
        <v/>
      </c>
      <c r="K29" s="33" t="inlineStr">
        <is>
          <t>5h</t>
        </is>
      </c>
      <c r="L29" s="54" t="n"/>
      <c r="M29">
        <f>VLOOKUP(N29,[3]BG!D:I,6,0)</f>
        <v/>
      </c>
      <c r="N29" t="inlineStr">
        <is>
          <t>gạo bắc hương</t>
        </is>
      </c>
    </row>
    <row r="30" ht="21" customHeight="1">
      <c r="B30" s="33">
        <f>VLOOKUP(C30,'Báo giá'!B:L,11,0)</f>
        <v/>
      </c>
      <c r="C30" s="33" t="inlineStr">
        <is>
          <t>Trứng gà CN  bóc vỏ 1,9-2.1kg/khay</t>
        </is>
      </c>
      <c r="D30" s="33">
        <f>SUMIF('Thứ 6'!D:D,ORDER!C30,'Thứ 6'!G:G)</f>
        <v/>
      </c>
      <c r="E30" s="33">
        <f>SUMIF('Thứ 2'!D70:D77,ORDER!C30,'Thứ 2'!G70:G77)</f>
        <v/>
      </c>
      <c r="F30" s="33" t="n">
        <v>0</v>
      </c>
      <c r="G30" s="33" t="n">
        <v>520</v>
      </c>
      <c r="H30" s="33" t="inlineStr">
        <is>
          <t>kg</t>
        </is>
      </c>
      <c r="I30" s="33">
        <f>VLOOKUP(C30,[2]Sheet1!$F:$H,3,0)</f>
        <v/>
      </c>
      <c r="J30" s="33">
        <f>+D30-I30</f>
        <v/>
      </c>
      <c r="K30" s="53" t="inlineStr">
        <is>
          <t>3h30</t>
        </is>
      </c>
      <c r="L30" s="54" t="n"/>
      <c r="N30" t="inlineStr">
        <is>
          <t>Cải xanh cắt gốc (kg)</t>
        </is>
      </c>
    </row>
    <row r="31" ht="25.2" customHeight="1">
      <c r="C31" s="33" t="n"/>
      <c r="D31" s="33">
        <f>SUMIF('Thứ 6'!D:D,ORDER!C31,'Thứ 6'!G:G)</f>
        <v/>
      </c>
      <c r="F31" t="n">
        <v>5</v>
      </c>
      <c r="H31" s="33" t="inlineStr">
        <is>
          <t>kg</t>
        </is>
      </c>
      <c r="I31" s="33" t="n"/>
      <c r="J31" s="33" t="n"/>
      <c r="K31" s="53" t="inlineStr">
        <is>
          <t>3h30</t>
        </is>
      </c>
      <c r="L31" s="54" t="n"/>
      <c r="N31" t="inlineStr">
        <is>
          <t>gừng củ</t>
        </is>
      </c>
    </row>
    <row r="32" ht="19.95" customHeight="1">
      <c r="B32" s="33" t="n"/>
      <c r="C32" s="33" t="n"/>
      <c r="D32" s="33">
        <f>SUMIF('Thứ 6'!D:D,ORDER!C32,'Thứ 6'!G:G)</f>
        <v/>
      </c>
      <c r="E32" s="33" t="n"/>
      <c r="F32" s="33" t="n">
        <v>30</v>
      </c>
      <c r="G32" s="33" t="n"/>
      <c r="H32" s="33" t="inlineStr">
        <is>
          <t>túi</t>
        </is>
      </c>
      <c r="I32" s="33" t="n"/>
      <c r="J32" s="33" t="n"/>
      <c r="K32" s="53" t="inlineStr">
        <is>
          <t>3h30</t>
        </is>
      </c>
      <c r="L32" s="33" t="n"/>
      <c r="N32" t="inlineStr">
        <is>
          <t>Cam sành 4-6 quả/kg</t>
        </is>
      </c>
    </row>
    <row r="33" ht="21" customHeight="1">
      <c r="B33" s="33" t="n"/>
      <c r="C33" s="33" t="n"/>
      <c r="D33" s="33">
        <f>SUMIF('Thứ 6'!D:D,ORDER!C33,'Thứ 6'!G:G)</f>
        <v/>
      </c>
      <c r="E33" s="33" t="n"/>
      <c r="F33" s="33" t="n">
        <v>1</v>
      </c>
      <c r="G33" s="33" t="n"/>
      <c r="H33" s="33" t="inlineStr">
        <is>
          <t>kg</t>
        </is>
      </c>
      <c r="I33" s="33" t="n"/>
      <c r="J33" s="33" t="n"/>
      <c r="K33" s="53" t="inlineStr">
        <is>
          <t>3h30</t>
        </is>
      </c>
      <c r="L33" s="33" t="n"/>
    </row>
    <row r="34" ht="21" customHeight="1">
      <c r="B34" s="33" t="n"/>
      <c r="C34" s="33" t="inlineStr">
        <is>
          <t>Xúc xích ĐV Chicago 0.5kg/gói</t>
        </is>
      </c>
      <c r="D34" s="33">
        <f>SUMIF('Thứ 6'!D:D,ORDER!C34,'Thứ 6'!G:G)</f>
        <v/>
      </c>
      <c r="E34" s="33" t="n"/>
      <c r="F34" s="33" t="n">
        <v>0</v>
      </c>
      <c r="G34" s="33" t="n">
        <v>30</v>
      </c>
      <c r="H34" s="33" t="inlineStr">
        <is>
          <t>kg</t>
        </is>
      </c>
      <c r="I34" s="33" t="n"/>
      <c r="J34" s="33" t="n"/>
      <c r="K34" s="53" t="inlineStr">
        <is>
          <t>3h30</t>
        </is>
      </c>
      <c r="L34" s="33" t="n"/>
      <c r="N34" t="n">
        <v>50</v>
      </c>
    </row>
    <row r="35" ht="21" customHeight="1">
      <c r="C35" s="33" t="inlineStr">
        <is>
          <t>Dầu ăn orchid 19.8 lít / thùng</t>
        </is>
      </c>
      <c r="D35" s="33">
        <f>SUMIF('Thứ 6'!D:D,ORDER!C35,'Thứ 6'!G:G)</f>
        <v/>
      </c>
      <c r="E35" s="54" t="n"/>
      <c r="F35" s="54" t="n">
        <v>2</v>
      </c>
      <c r="G35" s="33" t="n">
        <v>2</v>
      </c>
      <c r="H35" s="33" t="inlineStr">
        <is>
          <t>Thùng</t>
        </is>
      </c>
      <c r="I35" s="33" t="n"/>
      <c r="J35" s="54" t="n"/>
      <c r="K35" s="53" t="inlineStr">
        <is>
          <t>3h30</t>
        </is>
      </c>
      <c r="L35" s="54" t="n"/>
    </row>
    <row r="36" ht="21" customHeight="1">
      <c r="C36" s="33" t="inlineStr">
        <is>
          <t>ớt cay</t>
        </is>
      </c>
      <c r="D36" s="33">
        <f>SUMIF('Thứ 6'!D:D,ORDER!C36,'Thứ 6'!G:G)</f>
        <v/>
      </c>
      <c r="E36" s="54" t="n"/>
      <c r="F36" s="54" t="n">
        <v>2.5</v>
      </c>
      <c r="G36" s="33" t="n">
        <v>1</v>
      </c>
      <c r="H36" s="33" t="inlineStr">
        <is>
          <t>kg</t>
        </is>
      </c>
      <c r="I36" s="33" t="n"/>
      <c r="J36" s="54" t="n"/>
      <c r="K36" s="53" t="inlineStr">
        <is>
          <t>3h30</t>
        </is>
      </c>
      <c r="L36" s="54" t="n"/>
    </row>
    <row r="37" ht="21" customHeight="1">
      <c r="C37" s="33" t="inlineStr">
        <is>
          <t>Thịt nạc vai ĐL Brazin ( 17-28)kg/thùng</t>
        </is>
      </c>
      <c r="D37" s="54" t="n"/>
      <c r="E37" s="54" t="n"/>
      <c r="F37" s="54" t="n"/>
      <c r="G37" s="54" t="n">
        <v>40</v>
      </c>
      <c r="H37" s="33" t="inlineStr">
        <is>
          <t>kg</t>
        </is>
      </c>
      <c r="I37" s="54" t="n"/>
      <c r="J37" s="54" t="n"/>
      <c r="K37" s="54" t="n"/>
      <c r="L37" s="54" t="n"/>
    </row>
  </sheetData>
  <autoFilter ref="A4:S37"/>
  <conditionalFormatting sqref="H1:I32 H31:H34 H35:I1048576">
    <cfRule type="duplicateValues" priority="2" dxfId="0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2024-08-23T04:38:49Z</dcterms:created>
  <dcterms:modified xsi:type="dcterms:W3CDTF">2026-10-01T04:12:19Z</dcterms:modified>
  <cp:lastModifiedBy>My PC</cp:lastModifiedBy>
  <cp:lastPrinted>2026-08-16T08:00:59Z</cp:lastPrinted>
</cp:coreProperties>
</file>